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aras\Downloads\"/>
    </mc:Choice>
  </mc:AlternateContent>
  <xr:revisionPtr revIDLastSave="0" documentId="8_{7DDD7929-1EF6-4348-B040-0DC4226B0E71}" xr6:coauthVersionLast="47" xr6:coauthVersionMax="47" xr10:uidLastSave="{00000000-0000-0000-0000-000000000000}"/>
  <bookViews>
    <workbookView xWindow="-108" yWindow="-108" windowWidth="23256" windowHeight="13176" firstSheet="3" activeTab="5" xr2:uid="{8396A3A4-1633-4049-BDD7-B7F3016EC310}"/>
  </bookViews>
  <sheets>
    <sheet name="Solution 2" sheetId="11" r:id="rId1"/>
    <sheet name="Consumer price index" sheetId="2" r:id="rId2"/>
    <sheet name="solution 4" sheetId="15" r:id="rId3"/>
    <sheet name="solution 3" sheetId="13" r:id="rId4"/>
    <sheet name="Solution 1" sheetId="7" r:id="rId5"/>
    <sheet name="Dashboard1" sheetId="17" r:id="rId6"/>
    <sheet name="solution 5" sheetId="16" r:id="rId7"/>
    <sheet name="Consumer price index 2" sheetId="5" r:id="rId8"/>
    <sheet name="Problem Statements " sheetId="1" r:id="rId9"/>
    <sheet name="Data Dictionary" sheetId="3" r:id="rId10"/>
    <sheet name="Handle Missing Value Sheet only" sheetId="4" r:id="rId11"/>
  </sheets>
  <definedNames>
    <definedName name="_xlnm._FilterDatabase" localSheetId="3" hidden="1">'solution 3'!$A$1:$BB$38</definedName>
    <definedName name="_xlnm._FilterDatabase" localSheetId="2" hidden="1">'solution 4'!$A$1:$E$31</definedName>
    <definedName name="_xlnm._FilterDatabase" localSheetId="6" hidden="1">'solution 5'!$A$1:$AN$30</definedName>
    <definedName name="ExternalData_1" localSheetId="1" hidden="1">'Consumer price index'!$A$1:$AE$373</definedName>
    <definedName name="ExternalData_1" localSheetId="7" hidden="1">'Consumer price index 2'!$A$1:$AD$373</definedName>
    <definedName name="ExternalData_1" localSheetId="4" hidden="1">'Solution 1'!$A$1:$AD$373</definedName>
    <definedName name="Slicer_Sector">#N/A</definedName>
  </definedNames>
  <calcPr calcId="191029"/>
  <pivotCaches>
    <pivotCache cacheId="5" r:id="rId12"/>
    <pivotCache cacheId="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6" i="16" l="1"/>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32" i="16"/>
  <c r="H32" i="16"/>
  <c r="I32" i="16"/>
  <c r="J32" i="16"/>
  <c r="K32" i="16"/>
  <c r="L32" i="16"/>
  <c r="M32" i="16"/>
  <c r="N32" i="16"/>
  <c r="O32" i="16"/>
  <c r="P32" i="16"/>
  <c r="Q32" i="16"/>
  <c r="R32" i="16"/>
  <c r="S32" i="16"/>
  <c r="T32" i="16"/>
  <c r="U32" i="16"/>
  <c r="V32" i="16"/>
  <c r="W32" i="16"/>
  <c r="X32" i="16"/>
  <c r="Y32" i="16"/>
  <c r="Z32" i="16"/>
  <c r="AA32" i="16"/>
  <c r="AB32" i="16"/>
  <c r="AC32" i="16"/>
  <c r="AD32" i="16"/>
  <c r="AE32" i="16"/>
  <c r="AF32" i="16"/>
  <c r="AG32" i="16"/>
  <c r="AH32" i="16"/>
  <c r="AI32" i="16"/>
  <c r="AJ32" i="16"/>
  <c r="AK32" i="16"/>
  <c r="AL32" i="16"/>
  <c r="AM32" i="16"/>
  <c r="F32" i="16"/>
  <c r="P40" i="15" l="1"/>
  <c r="Q40" i="15"/>
  <c r="P39" i="15"/>
  <c r="Q39" i="15"/>
  <c r="P38" i="15"/>
  <c r="Q38" i="15"/>
  <c r="O40" i="15"/>
  <c r="O39" i="15"/>
  <c r="O38" i="15"/>
  <c r="P37" i="15"/>
  <c r="Q37" i="15"/>
  <c r="O37" i="15"/>
  <c r="P36" i="15"/>
  <c r="Q36" i="15"/>
  <c r="O36" i="15"/>
  <c r="J40" i="15"/>
  <c r="K40" i="15"/>
  <c r="I40" i="15"/>
  <c r="J39" i="15"/>
  <c r="K39" i="15"/>
  <c r="I39" i="15"/>
  <c r="J38" i="15"/>
  <c r="K38" i="15"/>
  <c r="I38" i="15"/>
  <c r="J37" i="15"/>
  <c r="K37" i="15"/>
  <c r="I37" i="15"/>
  <c r="J36" i="15"/>
  <c r="K36" i="15"/>
  <c r="I36" i="15"/>
  <c r="D40" i="15"/>
  <c r="E40" i="15"/>
  <c r="C40" i="15"/>
  <c r="D39" i="15"/>
  <c r="E39" i="15"/>
  <c r="C39" i="15"/>
  <c r="D38" i="15"/>
  <c r="E38" i="15"/>
  <c r="C38" i="15"/>
  <c r="D37" i="15"/>
  <c r="E37" i="15"/>
  <c r="C37" i="15"/>
  <c r="D36" i="15"/>
  <c r="E36" i="15"/>
  <c r="C36" i="15"/>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 i="13"/>
  <c r="D110" i="13"/>
  <c r="D108" i="13"/>
  <c r="D107" i="13"/>
  <c r="D106" i="13"/>
  <c r="D105" i="13"/>
  <c r="D104" i="13"/>
  <c r="D103" i="13"/>
  <c r="D102" i="13"/>
  <c r="D100" i="13"/>
  <c r="D101" i="13"/>
  <c r="D99" i="13"/>
  <c r="D98" i="13"/>
  <c r="G111" i="13"/>
  <c r="G110" i="13"/>
  <c r="G109" i="13"/>
  <c r="G108" i="13"/>
  <c r="G107" i="13"/>
  <c r="G106" i="13"/>
  <c r="G105" i="13"/>
  <c r="G104" i="13"/>
  <c r="G103" i="13"/>
  <c r="G102" i="13"/>
  <c r="G101" i="13"/>
  <c r="G100" i="13"/>
  <c r="G99" i="13"/>
  <c r="G98" i="13"/>
  <c r="B111" i="13"/>
  <c r="B110" i="13"/>
  <c r="B109" i="13"/>
  <c r="B108" i="13"/>
  <c r="B107" i="13"/>
  <c r="B106" i="13"/>
  <c r="B104" i="13"/>
  <c r="B105" i="13"/>
  <c r="B103" i="13"/>
  <c r="B102" i="13"/>
  <c r="B101" i="13"/>
  <c r="B100" i="13"/>
  <c r="B99" i="13"/>
  <c r="B98" i="13"/>
  <c r="AE167" i="13"/>
  <c r="AE168" i="13"/>
  <c r="AE169" i="13"/>
  <c r="AE170" i="13"/>
  <c r="AE171" i="13"/>
  <c r="AE172" i="13"/>
  <c r="AE173" i="13"/>
  <c r="AE174" i="13"/>
  <c r="AE175" i="13"/>
  <c r="AE176" i="13"/>
  <c r="AE166" i="13"/>
  <c r="AC167" i="13"/>
  <c r="AC168" i="13"/>
  <c r="AC169" i="13"/>
  <c r="AC170" i="13"/>
  <c r="AC171" i="13"/>
  <c r="AC172" i="13"/>
  <c r="AC173" i="13"/>
  <c r="AC174" i="13"/>
  <c r="AC175" i="13"/>
  <c r="AC176" i="13"/>
  <c r="AC166" i="13"/>
  <c r="AA167" i="13"/>
  <c r="AA168" i="13"/>
  <c r="AA169" i="13"/>
  <c r="AA170" i="13"/>
  <c r="AA171" i="13"/>
  <c r="AA172" i="13"/>
  <c r="AA173" i="13"/>
  <c r="AA174" i="13"/>
  <c r="AA175" i="13"/>
  <c r="AA176" i="13"/>
  <c r="AA166" i="13"/>
  <c r="Y167" i="13"/>
  <c r="Y168" i="13"/>
  <c r="Y169" i="13"/>
  <c r="Y170" i="13"/>
  <c r="Y171" i="13"/>
  <c r="Y172" i="13"/>
  <c r="Y173" i="13"/>
  <c r="Y174" i="13"/>
  <c r="Y175" i="13"/>
  <c r="Y176" i="13"/>
  <c r="Y166" i="13"/>
  <c r="W167" i="13"/>
  <c r="W168" i="13"/>
  <c r="W169" i="13"/>
  <c r="W170" i="13"/>
  <c r="W171" i="13"/>
  <c r="W172" i="13"/>
  <c r="W173" i="13"/>
  <c r="W174" i="13"/>
  <c r="W175" i="13"/>
  <c r="W176" i="13"/>
  <c r="W166" i="13"/>
  <c r="U167" i="13"/>
  <c r="U168" i="13"/>
  <c r="U169" i="13"/>
  <c r="U170" i="13"/>
  <c r="U171" i="13"/>
  <c r="U172" i="13"/>
  <c r="U173" i="13"/>
  <c r="U174" i="13"/>
  <c r="U175" i="13"/>
  <c r="U176" i="13"/>
  <c r="U166" i="13"/>
  <c r="S167" i="13"/>
  <c r="S168" i="13"/>
  <c r="S169" i="13"/>
  <c r="S170" i="13"/>
  <c r="S171" i="13"/>
  <c r="S172" i="13"/>
  <c r="S173" i="13"/>
  <c r="S174" i="13"/>
  <c r="S175" i="13"/>
  <c r="S176" i="13"/>
  <c r="S166" i="13"/>
  <c r="Q167" i="13"/>
  <c r="Q168" i="13"/>
  <c r="Q169" i="13"/>
  <c r="Q170" i="13"/>
  <c r="Q171" i="13"/>
  <c r="Q172" i="13"/>
  <c r="Q173" i="13"/>
  <c r="Q174" i="13"/>
  <c r="Q175" i="13"/>
  <c r="Q176" i="13"/>
  <c r="Q166" i="13"/>
  <c r="O167" i="13"/>
  <c r="O168" i="13"/>
  <c r="O169" i="13"/>
  <c r="O170" i="13"/>
  <c r="O171" i="13"/>
  <c r="O172" i="13"/>
  <c r="O173" i="13"/>
  <c r="O174" i="13"/>
  <c r="O175" i="13"/>
  <c r="O176" i="13"/>
  <c r="O166" i="13"/>
  <c r="M167" i="13"/>
  <c r="M168" i="13"/>
  <c r="M169" i="13"/>
  <c r="M170" i="13"/>
  <c r="M171" i="13"/>
  <c r="M172" i="13"/>
  <c r="M173" i="13"/>
  <c r="M174" i="13"/>
  <c r="M175" i="13"/>
  <c r="M176" i="13"/>
  <c r="M166" i="13"/>
  <c r="K167" i="13"/>
  <c r="K168" i="13"/>
  <c r="K169" i="13"/>
  <c r="K170" i="13"/>
  <c r="K171" i="13"/>
  <c r="K172" i="13"/>
  <c r="K173" i="13"/>
  <c r="K174" i="13"/>
  <c r="K175" i="13"/>
  <c r="K176" i="13"/>
  <c r="K166" i="13"/>
  <c r="I167" i="13"/>
  <c r="I168" i="13"/>
  <c r="I169" i="13"/>
  <c r="I170" i="13"/>
  <c r="I171" i="13"/>
  <c r="I172" i="13"/>
  <c r="I173" i="13"/>
  <c r="I174" i="13"/>
  <c r="I175" i="13"/>
  <c r="I176" i="13"/>
  <c r="I166" i="13"/>
  <c r="E167" i="13"/>
  <c r="E168" i="13"/>
  <c r="E169" i="13"/>
  <c r="E170" i="13"/>
  <c r="E171" i="13"/>
  <c r="E172" i="13"/>
  <c r="E173" i="13"/>
  <c r="E174" i="13"/>
  <c r="E175" i="13"/>
  <c r="E176" i="13"/>
  <c r="E166" i="13"/>
  <c r="G167" i="13"/>
  <c r="G168" i="13"/>
  <c r="G169" i="13"/>
  <c r="G170" i="13"/>
  <c r="G171" i="13"/>
  <c r="G172" i="13"/>
  <c r="G173" i="13"/>
  <c r="G174" i="13"/>
  <c r="G175" i="13"/>
  <c r="G176" i="13"/>
  <c r="G166" i="13"/>
  <c r="AF37" i="13"/>
  <c r="AF34" i="13"/>
  <c r="AF31" i="13"/>
  <c r="AF28" i="13"/>
  <c r="AF25" i="13"/>
  <c r="AF22" i="13"/>
  <c r="AF19" i="13"/>
  <c r="AF16" i="13"/>
  <c r="AF13" i="13"/>
  <c r="AF10" i="13"/>
  <c r="AF7" i="13"/>
  <c r="AD37" i="13"/>
  <c r="AD34" i="13"/>
  <c r="AD31" i="13"/>
  <c r="AD28" i="13"/>
  <c r="AD25" i="13"/>
  <c r="AD22" i="13"/>
  <c r="AD19" i="13"/>
  <c r="AD16" i="13"/>
  <c r="AD13" i="13"/>
  <c r="AD10" i="13"/>
  <c r="AD7" i="13"/>
  <c r="AB37" i="13"/>
  <c r="AB34" i="13"/>
  <c r="AB31" i="13"/>
  <c r="AB28" i="13"/>
  <c r="AB25" i="13"/>
  <c r="AB22" i="13"/>
  <c r="AB19" i="13"/>
  <c r="AB16" i="13"/>
  <c r="AB13" i="13"/>
  <c r="AB10" i="13"/>
  <c r="AB7" i="13"/>
  <c r="Z37" i="13"/>
  <c r="Z34" i="13"/>
  <c r="Z31" i="13"/>
  <c r="Z28" i="13"/>
  <c r="Z25" i="13"/>
  <c r="Z22" i="13"/>
  <c r="Z19" i="13"/>
  <c r="Z16" i="13"/>
  <c r="Z13" i="13"/>
  <c r="Z10" i="13"/>
  <c r="Z7" i="13"/>
  <c r="X37" i="13"/>
  <c r="X34" i="13"/>
  <c r="X31" i="13"/>
  <c r="X28" i="13"/>
  <c r="X25" i="13"/>
  <c r="X22" i="13"/>
  <c r="X19" i="13"/>
  <c r="X16" i="13"/>
  <c r="X13" i="13"/>
  <c r="X10" i="13"/>
  <c r="X7" i="13"/>
  <c r="V37" i="13"/>
  <c r="V34" i="13"/>
  <c r="V31" i="13"/>
  <c r="V28" i="13"/>
  <c r="V25" i="13"/>
  <c r="V22" i="13"/>
  <c r="V19" i="13"/>
  <c r="V16" i="13"/>
  <c r="V13" i="13"/>
  <c r="V10" i="13"/>
  <c r="V7" i="13"/>
  <c r="T37" i="13"/>
  <c r="T34" i="13"/>
  <c r="T31" i="13"/>
  <c r="T28" i="13"/>
  <c r="T25" i="13"/>
  <c r="T22" i="13"/>
  <c r="T19" i="13"/>
  <c r="T16" i="13"/>
  <c r="T13" i="13"/>
  <c r="T10" i="13"/>
  <c r="T7" i="13"/>
  <c r="R37" i="13"/>
  <c r="R34" i="13"/>
  <c r="R31" i="13"/>
  <c r="R28" i="13"/>
  <c r="R25" i="13"/>
  <c r="R22" i="13"/>
  <c r="R19" i="13"/>
  <c r="R16" i="13"/>
  <c r="R13" i="13"/>
  <c r="R10" i="13"/>
  <c r="R7" i="13"/>
  <c r="P37" i="13"/>
  <c r="P34" i="13"/>
  <c r="P31" i="13"/>
  <c r="P28" i="13"/>
  <c r="P25" i="13"/>
  <c r="P22" i="13"/>
  <c r="P19" i="13"/>
  <c r="P16" i="13"/>
  <c r="P13" i="13"/>
  <c r="P10" i="13"/>
  <c r="P7" i="13"/>
  <c r="N37" i="13"/>
  <c r="N34" i="13"/>
  <c r="N31" i="13"/>
  <c r="N28" i="13"/>
  <c r="N25" i="13"/>
  <c r="N22" i="13"/>
  <c r="N19" i="13"/>
  <c r="N16" i="13"/>
  <c r="N13" i="13"/>
  <c r="N10" i="13"/>
  <c r="N7" i="13"/>
  <c r="L37" i="13"/>
  <c r="L34" i="13"/>
  <c r="L31" i="13"/>
  <c r="L28" i="13"/>
  <c r="L25" i="13"/>
  <c r="L22" i="13"/>
  <c r="L19" i="13"/>
  <c r="L16" i="13"/>
  <c r="L13" i="13"/>
  <c r="L10" i="13"/>
  <c r="L7" i="13"/>
  <c r="J37" i="13"/>
  <c r="J34" i="13"/>
  <c r="J31" i="13"/>
  <c r="J28" i="13"/>
  <c r="J25" i="13"/>
  <c r="J22" i="13"/>
  <c r="J19" i="13"/>
  <c r="J16" i="13"/>
  <c r="J13" i="13"/>
  <c r="J10" i="13"/>
  <c r="J7" i="13"/>
  <c r="H37" i="13"/>
  <c r="H34" i="13"/>
  <c r="H31" i="13"/>
  <c r="H28" i="13"/>
  <c r="H25" i="13"/>
  <c r="H22" i="13"/>
  <c r="H19" i="13"/>
  <c r="H16" i="13"/>
  <c r="H13" i="13"/>
  <c r="H10" i="13"/>
  <c r="H7" i="13"/>
  <c r="F37" i="13"/>
  <c r="F34" i="13"/>
  <c r="F31" i="13"/>
  <c r="F28" i="13"/>
  <c r="F25" i="13"/>
  <c r="F22" i="13"/>
  <c r="F19" i="13"/>
  <c r="F16" i="13"/>
  <c r="F13" i="13"/>
  <c r="F10" i="13"/>
  <c r="F7" i="13"/>
  <c r="AF35" i="13"/>
  <c r="AF32" i="13"/>
  <c r="AF29" i="13"/>
  <c r="AF26" i="13"/>
  <c r="AF23" i="13"/>
  <c r="AF20" i="13"/>
  <c r="AF17" i="13"/>
  <c r="AF14" i="13"/>
  <c r="AF11" i="13"/>
  <c r="AF8" i="13"/>
  <c r="AF5" i="13"/>
  <c r="AD35" i="13"/>
  <c r="AD32" i="13"/>
  <c r="AD29" i="13"/>
  <c r="AD26" i="13"/>
  <c r="AD23" i="13"/>
  <c r="AD20" i="13"/>
  <c r="AD17" i="13"/>
  <c r="AD14" i="13"/>
  <c r="AD11" i="13"/>
  <c r="AD8" i="13"/>
  <c r="AD5" i="13"/>
  <c r="AB35" i="13"/>
  <c r="AB32" i="13"/>
  <c r="AB29" i="13"/>
  <c r="AB26" i="13"/>
  <c r="AB23" i="13"/>
  <c r="AB20" i="13"/>
  <c r="AB17" i="13"/>
  <c r="AB14" i="13"/>
  <c r="AB11" i="13"/>
  <c r="AB8" i="13"/>
  <c r="AB5" i="13"/>
  <c r="Z35" i="13"/>
  <c r="Z32" i="13"/>
  <c r="Z29" i="13"/>
  <c r="Z26" i="13"/>
  <c r="Z23" i="13"/>
  <c r="Z20" i="13"/>
  <c r="Z17" i="13"/>
  <c r="Z14" i="13"/>
  <c r="Z11" i="13"/>
  <c r="Z8" i="13"/>
  <c r="Z5" i="13"/>
  <c r="X35" i="13"/>
  <c r="X32" i="13"/>
  <c r="X29" i="13"/>
  <c r="X26" i="13"/>
  <c r="X23" i="13"/>
  <c r="X20" i="13"/>
  <c r="X17" i="13"/>
  <c r="X14" i="13"/>
  <c r="X11" i="13"/>
  <c r="X8" i="13"/>
  <c r="X5" i="13"/>
  <c r="V35" i="13"/>
  <c r="V32" i="13"/>
  <c r="V29" i="13"/>
  <c r="V26" i="13"/>
  <c r="V23" i="13"/>
  <c r="V20" i="13"/>
  <c r="V17" i="13"/>
  <c r="V14" i="13"/>
  <c r="V11" i="13"/>
  <c r="V8" i="13"/>
  <c r="V5" i="13"/>
  <c r="T35" i="13"/>
  <c r="T32" i="13"/>
  <c r="T29" i="13"/>
  <c r="T26" i="13"/>
  <c r="T23" i="13"/>
  <c r="T20" i="13"/>
  <c r="T17" i="13"/>
  <c r="T14" i="13"/>
  <c r="T11" i="13"/>
  <c r="T8" i="13"/>
  <c r="T5" i="13"/>
  <c r="R20" i="13"/>
  <c r="R35" i="13"/>
  <c r="R32" i="13"/>
  <c r="R29" i="13"/>
  <c r="R26" i="13"/>
  <c r="R23" i="13"/>
  <c r="R17" i="13"/>
  <c r="R14" i="13"/>
  <c r="R11" i="13"/>
  <c r="R8" i="13"/>
  <c r="R5" i="13"/>
  <c r="P35" i="13"/>
  <c r="P32" i="13"/>
  <c r="P29" i="13"/>
  <c r="P26" i="13"/>
  <c r="P23" i="13"/>
  <c r="P20" i="13"/>
  <c r="P17" i="13"/>
  <c r="P14" i="13"/>
  <c r="P11" i="13"/>
  <c r="P8" i="13"/>
  <c r="P5" i="13"/>
  <c r="N35" i="13"/>
  <c r="N32" i="13"/>
  <c r="N29" i="13"/>
  <c r="N26" i="13"/>
  <c r="N23" i="13"/>
  <c r="N20" i="13"/>
  <c r="N17" i="13"/>
  <c r="N14" i="13"/>
  <c r="N11" i="13"/>
  <c r="N8" i="13"/>
  <c r="N5" i="13"/>
  <c r="L35" i="13"/>
  <c r="L32" i="13"/>
  <c r="L29" i="13"/>
  <c r="L26" i="13"/>
  <c r="L23" i="13"/>
  <c r="L20" i="13"/>
  <c r="L17" i="13"/>
  <c r="L14" i="13"/>
  <c r="L11" i="13"/>
  <c r="L8" i="13"/>
  <c r="L5" i="13"/>
  <c r="J35" i="13"/>
  <c r="J32" i="13"/>
  <c r="J29" i="13"/>
  <c r="J26" i="13"/>
  <c r="J23" i="13"/>
  <c r="J20" i="13"/>
  <c r="J17" i="13"/>
  <c r="J14" i="13"/>
  <c r="J11" i="13"/>
  <c r="J8" i="13"/>
  <c r="J5" i="13"/>
  <c r="H35" i="13"/>
  <c r="H32" i="13"/>
  <c r="H29" i="13"/>
  <c r="H26" i="13"/>
  <c r="H23" i="13"/>
  <c r="H20" i="13"/>
  <c r="H17" i="13"/>
  <c r="H14" i="13"/>
  <c r="H11" i="13"/>
  <c r="H8" i="13"/>
  <c r="H5" i="13"/>
  <c r="F35" i="13"/>
  <c r="F32" i="13"/>
  <c r="F29" i="13"/>
  <c r="F26" i="13"/>
  <c r="F23" i="13"/>
  <c r="F20" i="13"/>
  <c r="F17" i="13"/>
  <c r="F14" i="13"/>
  <c r="F11" i="13"/>
  <c r="F8" i="13"/>
  <c r="F5" i="13"/>
  <c r="Z38" i="13" l="1"/>
  <c r="X38" i="13"/>
  <c r="L38" i="13"/>
  <c r="N38" i="13"/>
  <c r="AD38" i="13"/>
  <c r="T38" i="13"/>
  <c r="F38" i="13"/>
  <c r="AF38" i="13"/>
  <c r="AB38" i="13"/>
  <c r="H38" i="13"/>
  <c r="J38" i="13"/>
  <c r="V38" i="13"/>
  <c r="P38"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2" i="13"/>
  <c r="AT3" i="13"/>
  <c r="AT4" i="13"/>
  <c r="AT5" i="13"/>
  <c r="AT6" i="13"/>
  <c r="AT7" i="13"/>
  <c r="AT8" i="13"/>
  <c r="AT9" i="13"/>
  <c r="AT10" i="13"/>
  <c r="AT11" i="13"/>
  <c r="AT12" i="13"/>
  <c r="AT13" i="13"/>
  <c r="AT14" i="13"/>
  <c r="AT15" i="13"/>
  <c r="AT16" i="13"/>
  <c r="AT17" i="13"/>
  <c r="AT18" i="13"/>
  <c r="AT19" i="13"/>
  <c r="AT20" i="13"/>
  <c r="AT21" i="13"/>
  <c r="AT22" i="13"/>
  <c r="AT23" i="13"/>
  <c r="AT24" i="13"/>
  <c r="AT25" i="13"/>
  <c r="AT26" i="13"/>
  <c r="AT27" i="13"/>
  <c r="AT28" i="13"/>
  <c r="AT29" i="13"/>
  <c r="AT30" i="13"/>
  <c r="AT31" i="13"/>
  <c r="AT32" i="13"/>
  <c r="AT33" i="13"/>
  <c r="AT34" i="13"/>
  <c r="AT35" i="13"/>
  <c r="AT36" i="13"/>
  <c r="AT37" i="13"/>
  <c r="AT2" i="13"/>
  <c r="BA37" i="13"/>
  <c r="AZ37" i="13"/>
  <c r="AY37" i="13"/>
  <c r="AX37" i="13"/>
  <c r="AW37" i="13"/>
  <c r="AV37" i="13"/>
  <c r="BA36" i="13"/>
  <c r="AZ36" i="13"/>
  <c r="AY36" i="13"/>
  <c r="AX36" i="13"/>
  <c r="AW36" i="13"/>
  <c r="AV36" i="13"/>
  <c r="BA35" i="13"/>
  <c r="AZ35" i="13"/>
  <c r="AX35" i="13"/>
  <c r="AW35" i="13"/>
  <c r="AJ35" i="13"/>
  <c r="BA34" i="13"/>
  <c r="AZ34" i="13"/>
  <c r="AY34" i="13"/>
  <c r="AX34" i="13"/>
  <c r="AW34" i="13"/>
  <c r="AV34" i="13"/>
  <c r="BA33" i="13"/>
  <c r="AZ33" i="13"/>
  <c r="AY33" i="13"/>
  <c r="AX33" i="13"/>
  <c r="AW33" i="13"/>
  <c r="AV33" i="13"/>
  <c r="BA32" i="13"/>
  <c r="AZ32" i="13"/>
  <c r="AX32" i="13"/>
  <c r="AW32" i="13"/>
  <c r="AJ32" i="13"/>
  <c r="BA31" i="13"/>
  <c r="AZ31" i="13"/>
  <c r="AY31" i="13"/>
  <c r="AX31" i="13"/>
  <c r="AW31" i="13"/>
  <c r="AV31" i="13"/>
  <c r="BA30" i="13"/>
  <c r="AZ30" i="13"/>
  <c r="AY30" i="13"/>
  <c r="AX30" i="13"/>
  <c r="AW30" i="13"/>
  <c r="AV30" i="13"/>
  <c r="BA29" i="13"/>
  <c r="AZ29" i="13"/>
  <c r="AX29" i="13"/>
  <c r="AW29" i="13"/>
  <c r="AJ29" i="13"/>
  <c r="BA28" i="13"/>
  <c r="AZ28" i="13"/>
  <c r="AY28" i="13"/>
  <c r="AX28" i="13"/>
  <c r="AW28" i="13"/>
  <c r="AV28" i="13"/>
  <c r="BA27" i="13"/>
  <c r="AZ27" i="13"/>
  <c r="AY27" i="13"/>
  <c r="AX27" i="13"/>
  <c r="AW27" i="13"/>
  <c r="AV27" i="13"/>
  <c r="BA26" i="13"/>
  <c r="AZ26" i="13"/>
  <c r="AX26" i="13"/>
  <c r="AW26" i="13"/>
  <c r="AJ26" i="13"/>
  <c r="BA25" i="13"/>
  <c r="AZ25" i="13"/>
  <c r="AY25" i="13"/>
  <c r="AX25" i="13"/>
  <c r="AW25" i="13"/>
  <c r="AV25" i="13"/>
  <c r="BA24" i="13"/>
  <c r="AZ24" i="13"/>
  <c r="AY24" i="13"/>
  <c r="AX24" i="13"/>
  <c r="AW24" i="13"/>
  <c r="AV24" i="13"/>
  <c r="BA23" i="13"/>
  <c r="AZ23" i="13"/>
  <c r="AY23" i="13"/>
  <c r="AX23" i="13"/>
  <c r="AW23" i="13"/>
  <c r="AJ23" i="13"/>
  <c r="BA22" i="13"/>
  <c r="AZ22" i="13"/>
  <c r="AY22" i="13"/>
  <c r="AX22" i="13"/>
  <c r="AW22" i="13"/>
  <c r="AV22" i="13"/>
  <c r="BA21" i="13"/>
  <c r="AZ21" i="13"/>
  <c r="AY21" i="13"/>
  <c r="AX21" i="13"/>
  <c r="AW21" i="13"/>
  <c r="AV21" i="13"/>
  <c r="BA20" i="13"/>
  <c r="AZ20" i="13"/>
  <c r="AX20" i="13"/>
  <c r="AW20" i="13"/>
  <c r="AJ20" i="13"/>
  <c r="BA19" i="13"/>
  <c r="AZ19" i="13"/>
  <c r="AY19" i="13"/>
  <c r="AX19" i="13"/>
  <c r="AW19" i="13"/>
  <c r="AV19" i="13"/>
  <c r="BA18" i="13"/>
  <c r="AZ18" i="13"/>
  <c r="AY18" i="13"/>
  <c r="AX18" i="13"/>
  <c r="AW18" i="13"/>
  <c r="AV18" i="13"/>
  <c r="BA17" i="13"/>
  <c r="AZ17" i="13"/>
  <c r="AY17" i="13"/>
  <c r="AX17" i="13"/>
  <c r="AW17" i="13"/>
  <c r="AJ17" i="13"/>
  <c r="BA16" i="13"/>
  <c r="AZ16" i="13"/>
  <c r="AY16" i="13"/>
  <c r="AX16" i="13"/>
  <c r="AW16" i="13"/>
  <c r="AV16" i="13"/>
  <c r="BA15" i="13"/>
  <c r="AZ15" i="13"/>
  <c r="AY15" i="13"/>
  <c r="AX15" i="13"/>
  <c r="AW15" i="13"/>
  <c r="AV15" i="13"/>
  <c r="BA14" i="13"/>
  <c r="AZ14" i="13"/>
  <c r="AX14" i="13"/>
  <c r="AW14" i="13"/>
  <c r="AV14" i="13"/>
  <c r="AJ14" i="13"/>
  <c r="BA13" i="13"/>
  <c r="AZ13" i="13"/>
  <c r="AY13" i="13"/>
  <c r="AX13" i="13"/>
  <c r="AW13" i="13"/>
  <c r="AV13" i="13"/>
  <c r="BA12" i="13"/>
  <c r="AZ12" i="13"/>
  <c r="AY12" i="13"/>
  <c r="AX12" i="13"/>
  <c r="AW12" i="13"/>
  <c r="AV12" i="13"/>
  <c r="BA11" i="13"/>
  <c r="AZ11" i="13"/>
  <c r="AX11" i="13"/>
  <c r="AW11" i="13"/>
  <c r="AJ11" i="13"/>
  <c r="BA10" i="13"/>
  <c r="AZ10" i="13"/>
  <c r="AY10" i="13"/>
  <c r="AX10" i="13"/>
  <c r="AW10" i="13"/>
  <c r="AV10" i="13"/>
  <c r="BA9" i="13"/>
  <c r="AZ9" i="13"/>
  <c r="AY9" i="13"/>
  <c r="AX9" i="13"/>
  <c r="AW9" i="13"/>
  <c r="AV9" i="13"/>
  <c r="BA8" i="13"/>
  <c r="AZ8" i="13"/>
  <c r="AY8" i="13"/>
  <c r="AX8" i="13"/>
  <c r="AW8" i="13"/>
  <c r="AJ8" i="13"/>
  <c r="BA7" i="13"/>
  <c r="AZ7" i="13"/>
  <c r="AY7" i="13"/>
  <c r="AX7" i="13"/>
  <c r="AW7" i="13"/>
  <c r="AV7" i="13"/>
  <c r="BA6" i="13"/>
  <c r="AZ6" i="13"/>
  <c r="AY6" i="13"/>
  <c r="AX6" i="13"/>
  <c r="AW6" i="13"/>
  <c r="AV6" i="13"/>
  <c r="BA5" i="13"/>
  <c r="AZ5" i="13"/>
  <c r="AX5" i="13"/>
  <c r="AW5" i="13"/>
  <c r="AJ5" i="13"/>
  <c r="BA4" i="13"/>
  <c r="AZ4" i="13"/>
  <c r="AY4" i="13"/>
  <c r="AX4" i="13"/>
  <c r="AW4" i="13"/>
  <c r="AV4" i="13"/>
  <c r="BA3" i="13"/>
  <c r="AZ3" i="13"/>
  <c r="AY3" i="13"/>
  <c r="AX3" i="13"/>
  <c r="AW3" i="13"/>
  <c r="AV3" i="13"/>
  <c r="BA2" i="13"/>
  <c r="AZ2" i="13"/>
  <c r="AX2" i="13"/>
  <c r="AW2" i="13"/>
  <c r="AJ2" i="13"/>
  <c r="C20" i="11"/>
  <c r="C21" i="11"/>
  <c r="C22" i="11"/>
  <c r="C23" i="11"/>
  <c r="C24" i="11"/>
  <c r="C25" i="11"/>
  <c r="AE386" i="7"/>
  <c r="AE387" i="7"/>
  <c r="AE388" i="7"/>
  <c r="AE389" i="7"/>
  <c r="AE390" i="7"/>
  <c r="AE391" i="7"/>
  <c r="AE392" i="7"/>
  <c r="AE385" i="7"/>
  <c r="AD392" i="7"/>
  <c r="AD391" i="7"/>
  <c r="AD390" i="7"/>
  <c r="AD389" i="7"/>
  <c r="AD388" i="7"/>
  <c r="AD387" i="7"/>
  <c r="AD386" i="7"/>
  <c r="AD385" i="7"/>
  <c r="AC386" i="7"/>
  <c r="AC387" i="7"/>
  <c r="AC388" i="7"/>
  <c r="AC389" i="7"/>
  <c r="AC390" i="7"/>
  <c r="AC391" i="7"/>
  <c r="AC392" i="7"/>
  <c r="AC385" i="7"/>
  <c r="AL5" i="7"/>
  <c r="AL7" i="7"/>
  <c r="AL8" i="7"/>
  <c r="AL10" i="7"/>
  <c r="AL11" i="7"/>
  <c r="AL12" i="7"/>
  <c r="AL13" i="7"/>
  <c r="AL20" i="7"/>
  <c r="AL22" i="7"/>
  <c r="AL23" i="7"/>
  <c r="AL24" i="7"/>
  <c r="AL25" i="7"/>
  <c r="AL29" i="7"/>
  <c r="AL31" i="7"/>
  <c r="AL33" i="7"/>
  <c r="AL34" i="7"/>
  <c r="AL36" i="7"/>
  <c r="AL37" i="7"/>
  <c r="AL45" i="7"/>
  <c r="AL46" i="7"/>
  <c r="AL48" i="7"/>
  <c r="AL49" i="7"/>
  <c r="AL53" i="7"/>
  <c r="AL55" i="7"/>
  <c r="AL56" i="7"/>
  <c r="AL58" i="7"/>
  <c r="AL60" i="7"/>
  <c r="AL61" i="7"/>
  <c r="AL67" i="7"/>
  <c r="AL69" i="7"/>
  <c r="AL71" i="7"/>
  <c r="AL72" i="7"/>
  <c r="AL73" i="7"/>
  <c r="AL81" i="7"/>
  <c r="AL83" i="7"/>
  <c r="AL84" i="7"/>
  <c r="AL93" i="7"/>
  <c r="AL94" i="7"/>
  <c r="AL95" i="7"/>
  <c r="AL96" i="7"/>
  <c r="AL104" i="7"/>
  <c r="AL105" i="7"/>
  <c r="AL107" i="7"/>
  <c r="AL109" i="7"/>
  <c r="AL113" i="7"/>
  <c r="AL116" i="7"/>
  <c r="AL118" i="7"/>
  <c r="AL119" i="7"/>
  <c r="AL120" i="7"/>
  <c r="AL121" i="7"/>
  <c r="AL129" i="7"/>
  <c r="AL131" i="7"/>
  <c r="AL132" i="7"/>
  <c r="AL133" i="7"/>
  <c r="AL140" i="7"/>
  <c r="AL142" i="7"/>
  <c r="AL143" i="7"/>
  <c r="AL144" i="7"/>
  <c r="AL145" i="7"/>
  <c r="AL151" i="7"/>
  <c r="AL152" i="7"/>
  <c r="AL154" i="7"/>
  <c r="AL155" i="7"/>
  <c r="AL156" i="7"/>
  <c r="AL157" i="7"/>
  <c r="AL164" i="7"/>
  <c r="AL166" i="7"/>
  <c r="AL167" i="7"/>
  <c r="AL168" i="7"/>
  <c r="AL169" i="7"/>
  <c r="AL173" i="7"/>
  <c r="AL175" i="7"/>
  <c r="AL177" i="7"/>
  <c r="AL178" i="7"/>
  <c r="AL180" i="7"/>
  <c r="AL181" i="7"/>
  <c r="AL187" i="7"/>
  <c r="AL189" i="7"/>
  <c r="AL190" i="7"/>
  <c r="AL192" i="7"/>
  <c r="AL193" i="7"/>
  <c r="AL197" i="7"/>
  <c r="AL199" i="7"/>
  <c r="AL200" i="7"/>
  <c r="AL202" i="7"/>
  <c r="AL204" i="7"/>
  <c r="AL205" i="7"/>
  <c r="AL211" i="7"/>
  <c r="AL213" i="7"/>
  <c r="AL215" i="7"/>
  <c r="AL216" i="7"/>
  <c r="AL217" i="7"/>
  <c r="AL222" i="7"/>
  <c r="AL224" i="7"/>
  <c r="AL225" i="7"/>
  <c r="AL227" i="7"/>
  <c r="AL228" i="7"/>
  <c r="AL229" i="7"/>
  <c r="AL235" i="7"/>
  <c r="AL237" i="7"/>
  <c r="AL239" i="7"/>
  <c r="AL240" i="7"/>
  <c r="AL241" i="7"/>
  <c r="AL248" i="7"/>
  <c r="AL250" i="7"/>
  <c r="AL251" i="7"/>
  <c r="AL253" i="7"/>
  <c r="AL257" i="7"/>
  <c r="AL260" i="7"/>
  <c r="AL262" i="7"/>
  <c r="AL263" i="7"/>
  <c r="AL264" i="7"/>
  <c r="AL265" i="7"/>
  <c r="AL269" i="7"/>
  <c r="AL273" i="7"/>
  <c r="AL274" i="7"/>
  <c r="AL275" i="7"/>
  <c r="AL276" i="7"/>
  <c r="AL282" i="7"/>
  <c r="AL284" i="7"/>
  <c r="AL285" i="7"/>
  <c r="AL287" i="7"/>
  <c r="AL288" i="7"/>
  <c r="AL289" i="7"/>
  <c r="AL296" i="7"/>
  <c r="AL297" i="7"/>
  <c r="AL299" i="7"/>
  <c r="AL300" i="7"/>
  <c r="AL301" i="7"/>
  <c r="AL308" i="7"/>
  <c r="AL310" i="7"/>
  <c r="AL311" i="7"/>
  <c r="AL313" i="7"/>
  <c r="AL317" i="7"/>
  <c r="AL319" i="7"/>
  <c r="AL320" i="7"/>
  <c r="AL322" i="7"/>
  <c r="AL324" i="7"/>
  <c r="AL325" i="7"/>
  <c r="AL331" i="7"/>
  <c r="AL332" i="7"/>
  <c r="AL334" i="7"/>
  <c r="AL335" i="7"/>
  <c r="AL336" i="7"/>
  <c r="AL337" i="7"/>
  <c r="AL341" i="7"/>
  <c r="AL343" i="7"/>
  <c r="AL345" i="7"/>
  <c r="AL346" i="7"/>
  <c r="AL348" i="7"/>
  <c r="AL349" i="7"/>
  <c r="AL354" i="7"/>
  <c r="AL357" i="7"/>
  <c r="AL359" i="7"/>
  <c r="AL360" i="7"/>
  <c r="AL361" i="7"/>
  <c r="AL366" i="7"/>
  <c r="AL369" i="7"/>
  <c r="AL370" i="7"/>
  <c r="AL372" i="7"/>
  <c r="AL373" i="7"/>
  <c r="AB391" i="7"/>
  <c r="AB390" i="7"/>
  <c r="AB389" i="7"/>
  <c r="AB388" i="7"/>
  <c r="AB387" i="7"/>
  <c r="AB386" i="7"/>
  <c r="AA389" i="7"/>
  <c r="AA390" i="7"/>
  <c r="AA391" i="7"/>
  <c r="AA392" i="7"/>
  <c r="AA385" i="7"/>
  <c r="Z388" i="7"/>
  <c r="AA388" i="7" s="1"/>
  <c r="Z387" i="7"/>
  <c r="AA387" i="7" s="1"/>
  <c r="Z391" i="7"/>
  <c r="Z390" i="7"/>
  <c r="AK373" i="7"/>
  <c r="AJ373" i="7"/>
  <c r="AI373" i="7"/>
  <c r="Z386" i="7" s="1"/>
  <c r="AA386" i="7" s="1"/>
  <c r="AH373" i="7"/>
  <c r="AG373" i="7"/>
  <c r="AF373" i="7"/>
  <c r="AE373" i="7"/>
  <c r="AK372" i="7"/>
  <c r="AJ372" i="7"/>
  <c r="AI372" i="7"/>
  <c r="AH372" i="7"/>
  <c r="AG372" i="7"/>
  <c r="AF372" i="7"/>
  <c r="AE372" i="7"/>
  <c r="AK371" i="7"/>
  <c r="AJ371" i="7"/>
  <c r="AI371" i="7"/>
  <c r="AH371" i="7"/>
  <c r="Z376" i="7" s="1"/>
  <c r="AG371" i="7"/>
  <c r="AF371" i="7"/>
  <c r="AE371" i="7"/>
  <c r="U371" i="7"/>
  <c r="AK370" i="7"/>
  <c r="AJ370" i="7"/>
  <c r="AI370" i="7"/>
  <c r="AH370" i="7"/>
  <c r="AG370" i="7"/>
  <c r="AF370" i="7"/>
  <c r="AE370" i="7"/>
  <c r="AK369" i="7"/>
  <c r="AJ369" i="7"/>
  <c r="AI369" i="7"/>
  <c r="AH369" i="7"/>
  <c r="AG369" i="7"/>
  <c r="AF369" i="7"/>
  <c r="AE369" i="7"/>
  <c r="AK368" i="7"/>
  <c r="AJ368" i="7"/>
  <c r="AI368" i="7"/>
  <c r="AH368" i="7"/>
  <c r="AL368" i="7" s="1"/>
  <c r="AG368" i="7"/>
  <c r="AF368" i="7"/>
  <c r="AE368" i="7"/>
  <c r="U368" i="7"/>
  <c r="AK367" i="7"/>
  <c r="AJ367" i="7"/>
  <c r="AI367" i="7"/>
  <c r="AH367" i="7"/>
  <c r="AL367" i="7" s="1"/>
  <c r="AG367" i="7"/>
  <c r="AF367" i="7"/>
  <c r="AE367" i="7"/>
  <c r="AK366" i="7"/>
  <c r="AJ366" i="7"/>
  <c r="AI366" i="7"/>
  <c r="AH366" i="7"/>
  <c r="AG366" i="7"/>
  <c r="AF366" i="7"/>
  <c r="AE366" i="7"/>
  <c r="AK365" i="7"/>
  <c r="AJ365" i="7"/>
  <c r="AI365" i="7"/>
  <c r="AH365" i="7"/>
  <c r="AL365" i="7" s="1"/>
  <c r="AG365" i="7"/>
  <c r="AF365" i="7"/>
  <c r="AE365" i="7"/>
  <c r="U365" i="7"/>
  <c r="AK364" i="7"/>
  <c r="AJ364" i="7"/>
  <c r="AI364" i="7"/>
  <c r="AH364" i="7"/>
  <c r="AL364" i="7" s="1"/>
  <c r="AG364" i="7"/>
  <c r="AF364" i="7"/>
  <c r="AE364" i="7"/>
  <c r="AK363" i="7"/>
  <c r="AJ363" i="7"/>
  <c r="AI363" i="7"/>
  <c r="AH363" i="7"/>
  <c r="AL363" i="7" s="1"/>
  <c r="AG363" i="7"/>
  <c r="AF363" i="7"/>
  <c r="AE363" i="7"/>
  <c r="AK362" i="7"/>
  <c r="AJ362" i="7"/>
  <c r="AI362" i="7"/>
  <c r="AH362" i="7"/>
  <c r="AL362" i="7" s="1"/>
  <c r="AG362" i="7"/>
  <c r="AE362" i="7"/>
  <c r="U362" i="7"/>
  <c r="AF362" i="7" s="1"/>
  <c r="AK361" i="7"/>
  <c r="AJ361" i="7"/>
  <c r="AI361" i="7"/>
  <c r="AH361" i="7"/>
  <c r="AG361" i="7"/>
  <c r="AF361" i="7"/>
  <c r="AE361" i="7"/>
  <c r="AK360" i="7"/>
  <c r="AJ360" i="7"/>
  <c r="AI360" i="7"/>
  <c r="AH360" i="7"/>
  <c r="AG360" i="7"/>
  <c r="AF360" i="7"/>
  <c r="AE360" i="7"/>
  <c r="AK359" i="7"/>
  <c r="AJ359" i="7"/>
  <c r="AI359" i="7"/>
  <c r="AH359" i="7"/>
  <c r="AG359" i="7"/>
  <c r="AE359" i="7"/>
  <c r="U359" i="7"/>
  <c r="AF359" i="7" s="1"/>
  <c r="AK358" i="7"/>
  <c r="AJ358" i="7"/>
  <c r="AI358" i="7"/>
  <c r="AH358" i="7"/>
  <c r="AL358" i="7" s="1"/>
  <c r="AG358" i="7"/>
  <c r="AF358" i="7"/>
  <c r="AE358" i="7"/>
  <c r="AK357" i="7"/>
  <c r="AJ357" i="7"/>
  <c r="AI357" i="7"/>
  <c r="AH357" i="7"/>
  <c r="AG357" i="7"/>
  <c r="AF357" i="7"/>
  <c r="AE357" i="7"/>
  <c r="AK356" i="7"/>
  <c r="AJ356" i="7"/>
  <c r="AH356" i="7"/>
  <c r="AL356" i="7" s="1"/>
  <c r="AG356" i="7"/>
  <c r="AE356" i="7"/>
  <c r="U356" i="7"/>
  <c r="AI356" i="7" s="1"/>
  <c r="AK355" i="7"/>
  <c r="AJ355" i="7"/>
  <c r="AI355" i="7"/>
  <c r="AH355" i="7"/>
  <c r="AL355" i="7" s="1"/>
  <c r="AG355" i="7"/>
  <c r="AF355" i="7"/>
  <c r="AE355" i="7"/>
  <c r="AK354" i="7"/>
  <c r="AJ354" i="7"/>
  <c r="AI354" i="7"/>
  <c r="AH354" i="7"/>
  <c r="AG354" i="7"/>
  <c r="AF354" i="7"/>
  <c r="AE354" i="7"/>
  <c r="AK353" i="7"/>
  <c r="AJ353" i="7"/>
  <c r="AH353" i="7"/>
  <c r="AL353" i="7" s="1"/>
  <c r="AG353" i="7"/>
  <c r="AE353" i="7"/>
  <c r="U353" i="7"/>
  <c r="AI353" i="7" s="1"/>
  <c r="AK352" i="7"/>
  <c r="AJ352" i="7"/>
  <c r="AI352" i="7"/>
  <c r="AH352" i="7"/>
  <c r="AL352" i="7" s="1"/>
  <c r="AG352" i="7"/>
  <c r="AF352" i="7"/>
  <c r="AE352" i="7"/>
  <c r="AK351" i="7"/>
  <c r="AJ351" i="7"/>
  <c r="AI351" i="7"/>
  <c r="AH351" i="7"/>
  <c r="AL351" i="7" s="1"/>
  <c r="AG351" i="7"/>
  <c r="AF351" i="7"/>
  <c r="AE351" i="7"/>
  <c r="AK350" i="7"/>
  <c r="AJ350" i="7"/>
  <c r="AH350" i="7"/>
  <c r="AL350" i="7" s="1"/>
  <c r="AG350" i="7"/>
  <c r="AE350" i="7"/>
  <c r="U350" i="7"/>
  <c r="AF350" i="7" s="1"/>
  <c r="AK349" i="7"/>
  <c r="AJ349" i="7"/>
  <c r="AI349" i="7"/>
  <c r="AH349" i="7"/>
  <c r="AG349" i="7"/>
  <c r="AF349" i="7"/>
  <c r="AE349" i="7"/>
  <c r="AK348" i="7"/>
  <c r="AJ348" i="7"/>
  <c r="AI348" i="7"/>
  <c r="AH348" i="7"/>
  <c r="AG348" i="7"/>
  <c r="AF348" i="7"/>
  <c r="AE348" i="7"/>
  <c r="AK347" i="7"/>
  <c r="AJ347" i="7"/>
  <c r="AH347" i="7"/>
  <c r="AL347" i="7" s="1"/>
  <c r="AG347" i="7"/>
  <c r="AE347" i="7"/>
  <c r="U347" i="7"/>
  <c r="AK346" i="7"/>
  <c r="AJ346" i="7"/>
  <c r="AI346" i="7"/>
  <c r="AH346" i="7"/>
  <c r="AG346" i="7"/>
  <c r="AF346" i="7"/>
  <c r="AE346" i="7"/>
  <c r="AK345" i="7"/>
  <c r="AJ345" i="7"/>
  <c r="AI345" i="7"/>
  <c r="AH345" i="7"/>
  <c r="AG345" i="7"/>
  <c r="AF345" i="7"/>
  <c r="AE345" i="7"/>
  <c r="AK344" i="7"/>
  <c r="AJ344" i="7"/>
  <c r="AH344" i="7"/>
  <c r="AL344" i="7" s="1"/>
  <c r="AG344" i="7"/>
  <c r="AE344" i="7"/>
  <c r="U344" i="7"/>
  <c r="AK343" i="7"/>
  <c r="AJ343" i="7"/>
  <c r="AI343" i="7"/>
  <c r="AH343" i="7"/>
  <c r="AG343" i="7"/>
  <c r="AF343" i="7"/>
  <c r="AE343" i="7"/>
  <c r="AK342" i="7"/>
  <c r="AJ342" i="7"/>
  <c r="AI342" i="7"/>
  <c r="AH342" i="7"/>
  <c r="AL342" i="7" s="1"/>
  <c r="AG342" i="7"/>
  <c r="AF342" i="7"/>
  <c r="AE342" i="7"/>
  <c r="AK341" i="7"/>
  <c r="AJ341" i="7"/>
  <c r="AH341" i="7"/>
  <c r="AG341" i="7"/>
  <c r="AE341" i="7"/>
  <c r="U341" i="7"/>
  <c r="AI341" i="7" s="1"/>
  <c r="AK340" i="7"/>
  <c r="AJ340" i="7"/>
  <c r="AI340" i="7"/>
  <c r="AH340" i="7"/>
  <c r="AL340" i="7" s="1"/>
  <c r="AG340" i="7"/>
  <c r="AF340" i="7"/>
  <c r="AE340" i="7"/>
  <c r="AK339" i="7"/>
  <c r="AJ339" i="7"/>
  <c r="AI339" i="7"/>
  <c r="AH339" i="7"/>
  <c r="AL339" i="7" s="1"/>
  <c r="AG339" i="7"/>
  <c r="AF339" i="7"/>
  <c r="AE339" i="7"/>
  <c r="AK338" i="7"/>
  <c r="AJ338" i="7"/>
  <c r="AH338" i="7"/>
  <c r="AL338" i="7" s="1"/>
  <c r="AG338" i="7"/>
  <c r="AE338" i="7"/>
  <c r="U338" i="7"/>
  <c r="AF338" i="7" s="1"/>
  <c r="AK337" i="7"/>
  <c r="AJ337" i="7"/>
  <c r="AI337" i="7"/>
  <c r="AH337" i="7"/>
  <c r="AG337" i="7"/>
  <c r="AF337" i="7"/>
  <c r="AE337" i="7"/>
  <c r="AK336" i="7"/>
  <c r="AJ336" i="7"/>
  <c r="AI336" i="7"/>
  <c r="AH336" i="7"/>
  <c r="AG336" i="7"/>
  <c r="AF336" i="7"/>
  <c r="AE336" i="7"/>
  <c r="AK335" i="7"/>
  <c r="AJ335" i="7"/>
  <c r="AI335" i="7"/>
  <c r="AH335" i="7"/>
  <c r="AG335" i="7"/>
  <c r="AF335" i="7"/>
  <c r="AE335" i="7"/>
  <c r="U335" i="7"/>
  <c r="AK334" i="7"/>
  <c r="AJ334" i="7"/>
  <c r="AI334" i="7"/>
  <c r="AH334" i="7"/>
  <c r="AG334" i="7"/>
  <c r="AF334" i="7"/>
  <c r="AE334" i="7"/>
  <c r="AK333" i="7"/>
  <c r="AJ333" i="7"/>
  <c r="AI333" i="7"/>
  <c r="AH333" i="7"/>
  <c r="AL333" i="7" s="1"/>
  <c r="AG333" i="7"/>
  <c r="AF333" i="7"/>
  <c r="AE333" i="7"/>
  <c r="AK332" i="7"/>
  <c r="AJ332" i="7"/>
  <c r="AI332" i="7"/>
  <c r="AH332" i="7"/>
  <c r="AG332" i="7"/>
  <c r="AF332" i="7"/>
  <c r="AE332" i="7"/>
  <c r="U332" i="7"/>
  <c r="AK331" i="7"/>
  <c r="AJ331" i="7"/>
  <c r="AI331" i="7"/>
  <c r="AH331" i="7"/>
  <c r="AG331" i="7"/>
  <c r="AF331" i="7"/>
  <c r="AE331" i="7"/>
  <c r="AK330" i="7"/>
  <c r="AJ330" i="7"/>
  <c r="AI330" i="7"/>
  <c r="AH330" i="7"/>
  <c r="AL330" i="7" s="1"/>
  <c r="AG330" i="7"/>
  <c r="AF330" i="7"/>
  <c r="AE330" i="7"/>
  <c r="AK329" i="7"/>
  <c r="AJ329" i="7"/>
  <c r="AI329" i="7"/>
  <c r="AH329" i="7"/>
  <c r="AL329" i="7" s="1"/>
  <c r="AG329" i="7"/>
  <c r="AE329" i="7"/>
  <c r="U329" i="7"/>
  <c r="AF329" i="7" s="1"/>
  <c r="AK328" i="7"/>
  <c r="AJ328" i="7"/>
  <c r="AI328" i="7"/>
  <c r="AH328" i="7"/>
  <c r="AL328" i="7" s="1"/>
  <c r="AG328" i="7"/>
  <c r="AF328" i="7"/>
  <c r="AE328" i="7"/>
  <c r="AK327" i="7"/>
  <c r="AJ327" i="7"/>
  <c r="AI327" i="7"/>
  <c r="AH327" i="7"/>
  <c r="AL327" i="7" s="1"/>
  <c r="AG327" i="7"/>
  <c r="AF327" i="7"/>
  <c r="AE327" i="7"/>
  <c r="AK326" i="7"/>
  <c r="AJ326" i="7"/>
  <c r="AI326" i="7"/>
  <c r="AH326" i="7"/>
  <c r="AL326" i="7" s="1"/>
  <c r="AG326" i="7"/>
  <c r="AE326" i="7"/>
  <c r="U326" i="7"/>
  <c r="AF326" i="7" s="1"/>
  <c r="AK325" i="7"/>
  <c r="AJ325" i="7"/>
  <c r="AI325" i="7"/>
  <c r="AH325" i="7"/>
  <c r="AG325" i="7"/>
  <c r="AF325" i="7"/>
  <c r="AE325" i="7"/>
  <c r="AK324" i="7"/>
  <c r="AJ324" i="7"/>
  <c r="AI324" i="7"/>
  <c r="AH324" i="7"/>
  <c r="AG324" i="7"/>
  <c r="AF324" i="7"/>
  <c r="AE324" i="7"/>
  <c r="AK323" i="7"/>
  <c r="AJ323" i="7"/>
  <c r="AI323" i="7"/>
  <c r="AH323" i="7"/>
  <c r="AL323" i="7" s="1"/>
  <c r="AG323" i="7"/>
  <c r="AE323" i="7"/>
  <c r="U323" i="7"/>
  <c r="AF323" i="7" s="1"/>
  <c r="AK322" i="7"/>
  <c r="AJ322" i="7"/>
  <c r="AI322" i="7"/>
  <c r="AH322" i="7"/>
  <c r="AG322" i="7"/>
  <c r="AF322" i="7"/>
  <c r="AE322" i="7"/>
  <c r="AK321" i="7"/>
  <c r="AJ321" i="7"/>
  <c r="AI321" i="7"/>
  <c r="AH321" i="7"/>
  <c r="AL321" i="7" s="1"/>
  <c r="AG321" i="7"/>
  <c r="AF321" i="7"/>
  <c r="AE321" i="7"/>
  <c r="AK320" i="7"/>
  <c r="AJ320" i="7"/>
  <c r="AH320" i="7"/>
  <c r="AG320" i="7"/>
  <c r="AE320" i="7"/>
  <c r="U320" i="7"/>
  <c r="AI320" i="7" s="1"/>
  <c r="AK319" i="7"/>
  <c r="AJ319" i="7"/>
  <c r="AI319" i="7"/>
  <c r="AH319" i="7"/>
  <c r="AG319" i="7"/>
  <c r="AF319" i="7"/>
  <c r="AE319" i="7"/>
  <c r="AK318" i="7"/>
  <c r="AJ318" i="7"/>
  <c r="AI318" i="7"/>
  <c r="AH318" i="7"/>
  <c r="AL318" i="7" s="1"/>
  <c r="AG318" i="7"/>
  <c r="AF318" i="7"/>
  <c r="AE318" i="7"/>
  <c r="AK317" i="7"/>
  <c r="AJ317" i="7"/>
  <c r="AH317" i="7"/>
  <c r="AG317" i="7"/>
  <c r="AE317" i="7"/>
  <c r="U317" i="7"/>
  <c r="AI317" i="7" s="1"/>
  <c r="AK316" i="7"/>
  <c r="AJ316" i="7"/>
  <c r="AI316" i="7"/>
  <c r="AH316" i="7"/>
  <c r="AL316" i="7" s="1"/>
  <c r="AG316" i="7"/>
  <c r="AF316" i="7"/>
  <c r="AE316" i="7"/>
  <c r="AK315" i="7"/>
  <c r="AJ315" i="7"/>
  <c r="AI315" i="7"/>
  <c r="AH315" i="7"/>
  <c r="AL315" i="7" s="1"/>
  <c r="AG315" i="7"/>
  <c r="AF315" i="7"/>
  <c r="AE315" i="7"/>
  <c r="AK314" i="7"/>
  <c r="AJ314" i="7"/>
  <c r="AH314" i="7"/>
  <c r="AL314" i="7" s="1"/>
  <c r="AG314" i="7"/>
  <c r="AE314" i="7"/>
  <c r="U314" i="7"/>
  <c r="AI314" i="7" s="1"/>
  <c r="AK313" i="7"/>
  <c r="AJ313" i="7"/>
  <c r="AI313" i="7"/>
  <c r="AH313" i="7"/>
  <c r="AG313" i="7"/>
  <c r="AF313" i="7"/>
  <c r="AE313" i="7"/>
  <c r="AK312" i="7"/>
  <c r="AJ312" i="7"/>
  <c r="AI312" i="7"/>
  <c r="AH312" i="7"/>
  <c r="AL312" i="7" s="1"/>
  <c r="AG312" i="7"/>
  <c r="AF312" i="7"/>
  <c r="AE312" i="7"/>
  <c r="AK311" i="7"/>
  <c r="AJ311" i="7"/>
  <c r="AH311" i="7"/>
  <c r="AG311" i="7"/>
  <c r="AE311" i="7"/>
  <c r="U311" i="7"/>
  <c r="AK310" i="7"/>
  <c r="AJ310" i="7"/>
  <c r="AI310" i="7"/>
  <c r="AH310" i="7"/>
  <c r="AG310" i="7"/>
  <c r="AF310" i="7"/>
  <c r="AE310" i="7"/>
  <c r="AK309" i="7"/>
  <c r="AJ309" i="7"/>
  <c r="AI309" i="7"/>
  <c r="AH309" i="7"/>
  <c r="AL309" i="7" s="1"/>
  <c r="AG309" i="7"/>
  <c r="AF309" i="7"/>
  <c r="AE309" i="7"/>
  <c r="AK308" i="7"/>
  <c r="AJ308" i="7"/>
  <c r="AH308" i="7"/>
  <c r="AG308" i="7"/>
  <c r="AE308" i="7"/>
  <c r="U308" i="7"/>
  <c r="AK307" i="7"/>
  <c r="AJ307" i="7"/>
  <c r="AI307" i="7"/>
  <c r="AH307" i="7"/>
  <c r="AL307" i="7" s="1"/>
  <c r="AG307" i="7"/>
  <c r="AF307" i="7"/>
  <c r="AE307" i="7"/>
  <c r="AK306" i="7"/>
  <c r="AJ306" i="7"/>
  <c r="AI306" i="7"/>
  <c r="AH306" i="7"/>
  <c r="AL306" i="7" s="1"/>
  <c r="AG306" i="7"/>
  <c r="AF306" i="7"/>
  <c r="AE306" i="7"/>
  <c r="AK305" i="7"/>
  <c r="AJ305" i="7"/>
  <c r="AH305" i="7"/>
  <c r="AL305" i="7" s="1"/>
  <c r="AG305" i="7"/>
  <c r="AE305" i="7"/>
  <c r="U305" i="7"/>
  <c r="AK304" i="7"/>
  <c r="AJ304" i="7"/>
  <c r="AI304" i="7"/>
  <c r="AH304" i="7"/>
  <c r="AL304" i="7" s="1"/>
  <c r="AG304" i="7"/>
  <c r="AF304" i="7"/>
  <c r="AE304" i="7"/>
  <c r="AK303" i="7"/>
  <c r="AJ303" i="7"/>
  <c r="AI303" i="7"/>
  <c r="AH303" i="7"/>
  <c r="AL303" i="7" s="1"/>
  <c r="AG303" i="7"/>
  <c r="AF303" i="7"/>
  <c r="AE303" i="7"/>
  <c r="AK302" i="7"/>
  <c r="AJ302" i="7"/>
  <c r="AH302" i="7"/>
  <c r="AL302" i="7" s="1"/>
  <c r="AG302" i="7"/>
  <c r="AE302" i="7"/>
  <c r="U302" i="7"/>
  <c r="AI302" i="7" s="1"/>
  <c r="AK301" i="7"/>
  <c r="AJ301" i="7"/>
  <c r="AI301" i="7"/>
  <c r="AH301" i="7"/>
  <c r="AG301" i="7"/>
  <c r="AF301" i="7"/>
  <c r="AE301" i="7"/>
  <c r="AK300" i="7"/>
  <c r="AJ300" i="7"/>
  <c r="AI300" i="7"/>
  <c r="AH300" i="7"/>
  <c r="AG300" i="7"/>
  <c r="AF300" i="7"/>
  <c r="AE300" i="7"/>
  <c r="AK299" i="7"/>
  <c r="AJ299" i="7"/>
  <c r="AI299" i="7"/>
  <c r="AH299" i="7"/>
  <c r="AG299" i="7"/>
  <c r="AF299" i="7"/>
  <c r="AE299" i="7"/>
  <c r="U299" i="7"/>
  <c r="AK298" i="7"/>
  <c r="AJ298" i="7"/>
  <c r="AI298" i="7"/>
  <c r="AH298" i="7"/>
  <c r="AL298" i="7" s="1"/>
  <c r="AG298" i="7"/>
  <c r="AF298" i="7"/>
  <c r="AE298" i="7"/>
  <c r="AK297" i="7"/>
  <c r="AJ297" i="7"/>
  <c r="AI297" i="7"/>
  <c r="AH297" i="7"/>
  <c r="AG297" i="7"/>
  <c r="AF297" i="7"/>
  <c r="AE297" i="7"/>
  <c r="AK296" i="7"/>
  <c r="AJ296" i="7"/>
  <c r="AI296" i="7"/>
  <c r="AH296" i="7"/>
  <c r="AG296" i="7"/>
  <c r="AF296" i="7"/>
  <c r="AE296" i="7"/>
  <c r="U296" i="7"/>
  <c r="AK295" i="7"/>
  <c r="AJ295" i="7"/>
  <c r="AI295" i="7"/>
  <c r="AH295" i="7"/>
  <c r="AL295" i="7" s="1"/>
  <c r="AG295" i="7"/>
  <c r="AF295" i="7"/>
  <c r="AE295" i="7"/>
  <c r="AK294" i="7"/>
  <c r="AJ294" i="7"/>
  <c r="AI294" i="7"/>
  <c r="AH294" i="7"/>
  <c r="AL294" i="7" s="1"/>
  <c r="AG294" i="7"/>
  <c r="AF294" i="7"/>
  <c r="AE294" i="7"/>
  <c r="AK293" i="7"/>
  <c r="AJ293" i="7"/>
  <c r="AI293" i="7"/>
  <c r="AH293" i="7"/>
  <c r="AL293" i="7" s="1"/>
  <c r="AG293" i="7"/>
  <c r="AE293" i="7"/>
  <c r="U293" i="7"/>
  <c r="AF293" i="7" s="1"/>
  <c r="AK292" i="7"/>
  <c r="AJ292" i="7"/>
  <c r="AI292" i="7"/>
  <c r="AH292" i="7"/>
  <c r="AL292" i="7" s="1"/>
  <c r="AG292" i="7"/>
  <c r="AF292" i="7"/>
  <c r="AE292" i="7"/>
  <c r="AK291" i="7"/>
  <c r="AJ291" i="7"/>
  <c r="AI291" i="7"/>
  <c r="AH291" i="7"/>
  <c r="AL291" i="7" s="1"/>
  <c r="AG291" i="7"/>
  <c r="AF291" i="7"/>
  <c r="AE291" i="7"/>
  <c r="AK290" i="7"/>
  <c r="AJ290" i="7"/>
  <c r="AI290" i="7"/>
  <c r="AH290" i="7"/>
  <c r="AL290" i="7" s="1"/>
  <c r="AG290" i="7"/>
  <c r="AE290" i="7"/>
  <c r="U290" i="7"/>
  <c r="AF290" i="7" s="1"/>
  <c r="AK289" i="7"/>
  <c r="AJ289" i="7"/>
  <c r="AI289" i="7"/>
  <c r="AH289" i="7"/>
  <c r="AG289" i="7"/>
  <c r="AF289" i="7"/>
  <c r="AE289" i="7"/>
  <c r="AK288" i="7"/>
  <c r="AJ288" i="7"/>
  <c r="AI288" i="7"/>
  <c r="AH288" i="7"/>
  <c r="AG288" i="7"/>
  <c r="AF288" i="7"/>
  <c r="AE288" i="7"/>
  <c r="AK287" i="7"/>
  <c r="AJ287" i="7"/>
  <c r="AI287" i="7"/>
  <c r="AH287" i="7"/>
  <c r="AG287" i="7"/>
  <c r="AE287" i="7"/>
  <c r="U287" i="7"/>
  <c r="AF287" i="7" s="1"/>
  <c r="AK286" i="7"/>
  <c r="AJ286" i="7"/>
  <c r="AI286" i="7"/>
  <c r="AH286" i="7"/>
  <c r="AL286" i="7" s="1"/>
  <c r="AG286" i="7"/>
  <c r="AF286" i="7"/>
  <c r="AE286" i="7"/>
  <c r="AK285" i="7"/>
  <c r="AJ285" i="7"/>
  <c r="AI285" i="7"/>
  <c r="AH285" i="7"/>
  <c r="AG285" i="7"/>
  <c r="AF285" i="7"/>
  <c r="AE285" i="7"/>
  <c r="AK284" i="7"/>
  <c r="AJ284" i="7"/>
  <c r="AH284" i="7"/>
  <c r="AG284" i="7"/>
  <c r="AE284" i="7"/>
  <c r="U284" i="7"/>
  <c r="AI284" i="7" s="1"/>
  <c r="AK283" i="7"/>
  <c r="AJ283" i="7"/>
  <c r="AI283" i="7"/>
  <c r="AH283" i="7"/>
  <c r="AL283" i="7" s="1"/>
  <c r="AG283" i="7"/>
  <c r="AF283" i="7"/>
  <c r="AE283" i="7"/>
  <c r="AK282" i="7"/>
  <c r="AJ282" i="7"/>
  <c r="AI282" i="7"/>
  <c r="AH282" i="7"/>
  <c r="AG282" i="7"/>
  <c r="AF282" i="7"/>
  <c r="AE282" i="7"/>
  <c r="AK281" i="7"/>
  <c r="AJ281" i="7"/>
  <c r="AH281" i="7"/>
  <c r="AL281" i="7" s="1"/>
  <c r="AG281" i="7"/>
  <c r="AE281" i="7"/>
  <c r="U281" i="7"/>
  <c r="AI281" i="7" s="1"/>
  <c r="AK280" i="7"/>
  <c r="AJ280" i="7"/>
  <c r="AI280" i="7"/>
  <c r="AH280" i="7"/>
  <c r="AL280" i="7" s="1"/>
  <c r="AG280" i="7"/>
  <c r="AF280" i="7"/>
  <c r="AE280" i="7"/>
  <c r="AK279" i="7"/>
  <c r="AJ279" i="7"/>
  <c r="AI279" i="7"/>
  <c r="AH279" i="7"/>
  <c r="AL279" i="7" s="1"/>
  <c r="AG279" i="7"/>
  <c r="AF279" i="7"/>
  <c r="AE279" i="7"/>
  <c r="AK278" i="7"/>
  <c r="AJ278" i="7"/>
  <c r="AH278" i="7"/>
  <c r="AL278" i="7" s="1"/>
  <c r="AG278" i="7"/>
  <c r="AE278" i="7"/>
  <c r="U278" i="7"/>
  <c r="AI278" i="7" s="1"/>
  <c r="AK277" i="7"/>
  <c r="AJ277" i="7"/>
  <c r="AI277" i="7"/>
  <c r="AH277" i="7"/>
  <c r="AL277" i="7" s="1"/>
  <c r="AG277" i="7"/>
  <c r="AF277" i="7"/>
  <c r="AE277" i="7"/>
  <c r="AK276" i="7"/>
  <c r="AJ276" i="7"/>
  <c r="AI276" i="7"/>
  <c r="AH276" i="7"/>
  <c r="AG276" i="7"/>
  <c r="AF276" i="7"/>
  <c r="AE276" i="7"/>
  <c r="AK275" i="7"/>
  <c r="AJ275" i="7"/>
  <c r="AH275" i="7"/>
  <c r="AG275" i="7"/>
  <c r="AE275" i="7"/>
  <c r="U275" i="7"/>
  <c r="AK274" i="7"/>
  <c r="AJ274" i="7"/>
  <c r="AI274" i="7"/>
  <c r="AH274" i="7"/>
  <c r="AG274" i="7"/>
  <c r="AF274" i="7"/>
  <c r="AE274" i="7"/>
  <c r="AK273" i="7"/>
  <c r="AJ273" i="7"/>
  <c r="AI273" i="7"/>
  <c r="AH273" i="7"/>
  <c r="AG273" i="7"/>
  <c r="AF273" i="7"/>
  <c r="AE273" i="7"/>
  <c r="AK272" i="7"/>
  <c r="AJ272" i="7"/>
  <c r="AH272" i="7"/>
  <c r="AL272" i="7" s="1"/>
  <c r="AG272" i="7"/>
  <c r="AE272" i="7"/>
  <c r="U272" i="7"/>
  <c r="AK271" i="7"/>
  <c r="AJ271" i="7"/>
  <c r="AI271" i="7"/>
  <c r="AH271" i="7"/>
  <c r="AL271" i="7" s="1"/>
  <c r="AG271" i="7"/>
  <c r="AF271" i="7"/>
  <c r="AE271" i="7"/>
  <c r="AK270" i="7"/>
  <c r="AJ270" i="7"/>
  <c r="AI270" i="7"/>
  <c r="AH270" i="7"/>
  <c r="AL270" i="7" s="1"/>
  <c r="AG270" i="7"/>
  <c r="AF270" i="7"/>
  <c r="AE270" i="7"/>
  <c r="AK269" i="7"/>
  <c r="AJ269" i="7"/>
  <c r="AH269" i="7"/>
  <c r="AG269" i="7"/>
  <c r="AE269" i="7"/>
  <c r="U269" i="7"/>
  <c r="AK268" i="7"/>
  <c r="AJ268" i="7"/>
  <c r="AI268" i="7"/>
  <c r="AH268" i="7"/>
  <c r="AL268" i="7" s="1"/>
  <c r="AG268" i="7"/>
  <c r="AF268" i="7"/>
  <c r="AE268" i="7"/>
  <c r="AK267" i="7"/>
  <c r="AJ267" i="7"/>
  <c r="AI267" i="7"/>
  <c r="AH267" i="7"/>
  <c r="AL267" i="7" s="1"/>
  <c r="AG267" i="7"/>
  <c r="AF267" i="7"/>
  <c r="AE267" i="7"/>
  <c r="AK266" i="7"/>
  <c r="AJ266" i="7"/>
  <c r="AH266" i="7"/>
  <c r="AL266" i="7" s="1"/>
  <c r="AG266" i="7"/>
  <c r="AE266" i="7"/>
  <c r="U266" i="7"/>
  <c r="AF266" i="7" s="1"/>
  <c r="AK265" i="7"/>
  <c r="AJ265" i="7"/>
  <c r="AH265" i="7"/>
  <c r="AG265" i="7"/>
  <c r="AE265" i="7"/>
  <c r="U265" i="7"/>
  <c r="AK264" i="7"/>
  <c r="AJ264" i="7"/>
  <c r="AH264" i="7"/>
  <c r="AG264" i="7"/>
  <c r="AE264" i="7"/>
  <c r="U264" i="7"/>
  <c r="AI264" i="7" s="1"/>
  <c r="AK263" i="7"/>
  <c r="AJ263" i="7"/>
  <c r="AI263" i="7"/>
  <c r="AH263" i="7"/>
  <c r="AG263" i="7"/>
  <c r="AE263" i="7"/>
  <c r="U263" i="7"/>
  <c r="AF263" i="7" s="1"/>
  <c r="AK262" i="7"/>
  <c r="AJ262" i="7"/>
  <c r="AI262" i="7"/>
  <c r="AH262" i="7"/>
  <c r="AG262" i="7"/>
  <c r="AF262" i="7"/>
  <c r="AE262" i="7"/>
  <c r="AK261" i="7"/>
  <c r="AJ261" i="7"/>
  <c r="AI261" i="7"/>
  <c r="AH261" i="7"/>
  <c r="AL261" i="7" s="1"/>
  <c r="AG261" i="7"/>
  <c r="AF261" i="7"/>
  <c r="AE261" i="7"/>
  <c r="AK260" i="7"/>
  <c r="AJ260" i="7"/>
  <c r="AI260" i="7"/>
  <c r="AH260" i="7"/>
  <c r="AG260" i="7"/>
  <c r="AE260" i="7"/>
  <c r="U260" i="7"/>
  <c r="AF260" i="7" s="1"/>
  <c r="AK259" i="7"/>
  <c r="AJ259" i="7"/>
  <c r="AI259" i="7"/>
  <c r="AH259" i="7"/>
  <c r="AL259" i="7" s="1"/>
  <c r="AG259" i="7"/>
  <c r="AF259" i="7"/>
  <c r="AE259" i="7"/>
  <c r="AK258" i="7"/>
  <c r="AJ258" i="7"/>
  <c r="AI258" i="7"/>
  <c r="AH258" i="7"/>
  <c r="AL258" i="7" s="1"/>
  <c r="AG258" i="7"/>
  <c r="AF258" i="7"/>
  <c r="AE258" i="7"/>
  <c r="AK257" i="7"/>
  <c r="AJ257" i="7"/>
  <c r="AI257" i="7"/>
  <c r="AH257" i="7"/>
  <c r="AG257" i="7"/>
  <c r="AE257" i="7"/>
  <c r="U257" i="7"/>
  <c r="AF257" i="7" s="1"/>
  <c r="AK256" i="7"/>
  <c r="AJ256" i="7"/>
  <c r="AI256" i="7"/>
  <c r="AH256" i="7"/>
  <c r="AL256" i="7" s="1"/>
  <c r="AG256" i="7"/>
  <c r="AF256" i="7"/>
  <c r="AE256" i="7"/>
  <c r="AK255" i="7"/>
  <c r="AJ255" i="7"/>
  <c r="AI255" i="7"/>
  <c r="AH255" i="7"/>
  <c r="AL255" i="7" s="1"/>
  <c r="AG255" i="7"/>
  <c r="AF255" i="7"/>
  <c r="AE255" i="7"/>
  <c r="AK254" i="7"/>
  <c r="AJ254" i="7"/>
  <c r="AH254" i="7"/>
  <c r="AL254" i="7" s="1"/>
  <c r="AG254" i="7"/>
  <c r="AE254" i="7"/>
  <c r="U254" i="7"/>
  <c r="AI254" i="7" s="1"/>
  <c r="AK253" i="7"/>
  <c r="AJ253" i="7"/>
  <c r="AI253" i="7"/>
  <c r="AH253" i="7"/>
  <c r="AG253" i="7"/>
  <c r="AF253" i="7"/>
  <c r="AE253" i="7"/>
  <c r="AK252" i="7"/>
  <c r="AJ252" i="7"/>
  <c r="AI252" i="7"/>
  <c r="AH252" i="7"/>
  <c r="AL252" i="7" s="1"/>
  <c r="AG252" i="7"/>
  <c r="AF252" i="7"/>
  <c r="AE252" i="7"/>
  <c r="AK251" i="7"/>
  <c r="AJ251" i="7"/>
  <c r="AH251" i="7"/>
  <c r="AG251" i="7"/>
  <c r="AE251" i="7"/>
  <c r="U251" i="7"/>
  <c r="AI251" i="7" s="1"/>
  <c r="AK250" i="7"/>
  <c r="AJ250" i="7"/>
  <c r="AI250" i="7"/>
  <c r="AH250" i="7"/>
  <c r="AG250" i="7"/>
  <c r="AF250" i="7"/>
  <c r="AE250" i="7"/>
  <c r="AK249" i="7"/>
  <c r="AJ249" i="7"/>
  <c r="AI249" i="7"/>
  <c r="AH249" i="7"/>
  <c r="AL249" i="7" s="1"/>
  <c r="AG249" i="7"/>
  <c r="AF249" i="7"/>
  <c r="AE249" i="7"/>
  <c r="AK248" i="7"/>
  <c r="AJ248" i="7"/>
  <c r="AH248" i="7"/>
  <c r="AG248" i="7"/>
  <c r="AE248" i="7"/>
  <c r="U248" i="7"/>
  <c r="AF248" i="7" s="1"/>
  <c r="AK247" i="7"/>
  <c r="AJ247" i="7"/>
  <c r="AI247" i="7"/>
  <c r="AH247" i="7"/>
  <c r="AL247" i="7" s="1"/>
  <c r="AG247" i="7"/>
  <c r="AF247" i="7"/>
  <c r="AE247" i="7"/>
  <c r="AK246" i="7"/>
  <c r="AJ246" i="7"/>
  <c r="AI246" i="7"/>
  <c r="AH246" i="7"/>
  <c r="AL246" i="7" s="1"/>
  <c r="AG246" i="7"/>
  <c r="AF246" i="7"/>
  <c r="AE246" i="7"/>
  <c r="AK245" i="7"/>
  <c r="AJ245" i="7"/>
  <c r="AH245" i="7"/>
  <c r="AL245" i="7" s="1"/>
  <c r="AG245" i="7"/>
  <c r="AE245" i="7"/>
  <c r="U245" i="7"/>
  <c r="AK244" i="7"/>
  <c r="AJ244" i="7"/>
  <c r="AI244" i="7"/>
  <c r="AH244" i="7"/>
  <c r="AL244" i="7" s="1"/>
  <c r="AG244" i="7"/>
  <c r="AF244" i="7"/>
  <c r="AE244" i="7"/>
  <c r="AK243" i="7"/>
  <c r="AJ243" i="7"/>
  <c r="AI243" i="7"/>
  <c r="AH243" i="7"/>
  <c r="AL243" i="7" s="1"/>
  <c r="AG243" i="7"/>
  <c r="AF243" i="7"/>
  <c r="AE243" i="7"/>
  <c r="AK242" i="7"/>
  <c r="AJ242" i="7"/>
  <c r="AH242" i="7"/>
  <c r="AL242" i="7" s="1"/>
  <c r="AG242" i="7"/>
  <c r="AE242" i="7"/>
  <c r="U242" i="7"/>
  <c r="AK241" i="7"/>
  <c r="AJ241" i="7"/>
  <c r="AI241" i="7"/>
  <c r="AH241" i="7"/>
  <c r="AG241" i="7"/>
  <c r="AF241" i="7"/>
  <c r="AE241" i="7"/>
  <c r="AK240" i="7"/>
  <c r="AJ240" i="7"/>
  <c r="AI240" i="7"/>
  <c r="AH240" i="7"/>
  <c r="AG240" i="7"/>
  <c r="AF240" i="7"/>
  <c r="AE240" i="7"/>
  <c r="AK239" i="7"/>
  <c r="AJ239" i="7"/>
  <c r="AH239" i="7"/>
  <c r="AG239" i="7"/>
  <c r="AE239" i="7"/>
  <c r="U239" i="7"/>
  <c r="AI239" i="7" s="1"/>
  <c r="AK238" i="7"/>
  <c r="AJ238" i="7"/>
  <c r="AI238" i="7"/>
  <c r="AH238" i="7"/>
  <c r="AL238" i="7" s="1"/>
  <c r="AG238" i="7"/>
  <c r="AF238" i="7"/>
  <c r="AE238" i="7"/>
  <c r="AK237" i="7"/>
  <c r="AJ237" i="7"/>
  <c r="AI237" i="7"/>
  <c r="AH237" i="7"/>
  <c r="AG237" i="7"/>
  <c r="AF237" i="7"/>
  <c r="AE237" i="7"/>
  <c r="AK236" i="7"/>
  <c r="AJ236" i="7"/>
  <c r="AH236" i="7"/>
  <c r="AL236" i="7" s="1"/>
  <c r="AG236" i="7"/>
  <c r="AE236" i="7"/>
  <c r="U236" i="7"/>
  <c r="AF236" i="7" s="1"/>
  <c r="AK235" i="7"/>
  <c r="AJ235" i="7"/>
  <c r="AI235" i="7"/>
  <c r="AH235" i="7"/>
  <c r="AG235" i="7"/>
  <c r="AF235" i="7"/>
  <c r="AE235" i="7"/>
  <c r="AK234" i="7"/>
  <c r="AJ234" i="7"/>
  <c r="AI234" i="7"/>
  <c r="AH234" i="7"/>
  <c r="AL234" i="7" s="1"/>
  <c r="AG234" i="7"/>
  <c r="AF234" i="7"/>
  <c r="AE234" i="7"/>
  <c r="AK233" i="7"/>
  <c r="AJ233" i="7"/>
  <c r="AI233" i="7"/>
  <c r="AH233" i="7"/>
  <c r="AL233" i="7" s="1"/>
  <c r="AG233" i="7"/>
  <c r="AF233" i="7"/>
  <c r="AE233" i="7"/>
  <c r="U233" i="7"/>
  <c r="AK232" i="7"/>
  <c r="AJ232" i="7"/>
  <c r="AI232" i="7"/>
  <c r="AH232" i="7"/>
  <c r="AL232" i="7" s="1"/>
  <c r="AG232" i="7"/>
  <c r="AF232" i="7"/>
  <c r="AE232" i="7"/>
  <c r="AK231" i="7"/>
  <c r="AJ231" i="7"/>
  <c r="AI231" i="7"/>
  <c r="AH231" i="7"/>
  <c r="AL231" i="7" s="1"/>
  <c r="AG231" i="7"/>
  <c r="AF231" i="7"/>
  <c r="AE231" i="7"/>
  <c r="AK230" i="7"/>
  <c r="AJ230" i="7"/>
  <c r="AI230" i="7"/>
  <c r="AH230" i="7"/>
  <c r="AL230" i="7" s="1"/>
  <c r="AG230" i="7"/>
  <c r="AF230" i="7"/>
  <c r="AE230" i="7"/>
  <c r="U230" i="7"/>
  <c r="AK229" i="7"/>
  <c r="AJ229" i="7"/>
  <c r="AI229" i="7"/>
  <c r="AH229" i="7"/>
  <c r="AG229" i="7"/>
  <c r="AF229" i="7"/>
  <c r="AE229" i="7"/>
  <c r="AK228" i="7"/>
  <c r="AJ228" i="7"/>
  <c r="AI228" i="7"/>
  <c r="AH228" i="7"/>
  <c r="AG228" i="7"/>
  <c r="AF228" i="7"/>
  <c r="AE228" i="7"/>
  <c r="AK227" i="7"/>
  <c r="AJ227" i="7"/>
  <c r="AI227" i="7"/>
  <c r="AH227" i="7"/>
  <c r="AG227" i="7"/>
  <c r="AF227" i="7"/>
  <c r="AE227" i="7"/>
  <c r="U227" i="7"/>
  <c r="AK226" i="7"/>
  <c r="AJ226" i="7"/>
  <c r="AI226" i="7"/>
  <c r="AH226" i="7"/>
  <c r="AL226" i="7" s="1"/>
  <c r="AG226" i="7"/>
  <c r="AF226" i="7"/>
  <c r="AE226" i="7"/>
  <c r="AK225" i="7"/>
  <c r="AJ225" i="7"/>
  <c r="AI225" i="7"/>
  <c r="AH225" i="7"/>
  <c r="AG225" i="7"/>
  <c r="AF225" i="7"/>
  <c r="AE225" i="7"/>
  <c r="AK224" i="7"/>
  <c r="AJ224" i="7"/>
  <c r="AI224" i="7"/>
  <c r="AH224" i="7"/>
  <c r="AG224" i="7"/>
  <c r="AE224" i="7"/>
  <c r="U224" i="7"/>
  <c r="AF224" i="7" s="1"/>
  <c r="AK223" i="7"/>
  <c r="AJ223" i="7"/>
  <c r="AI223" i="7"/>
  <c r="AH223" i="7"/>
  <c r="AL223" i="7" s="1"/>
  <c r="AG223" i="7"/>
  <c r="AF223" i="7"/>
  <c r="AE223" i="7"/>
  <c r="AK222" i="7"/>
  <c r="AJ222" i="7"/>
  <c r="AI222" i="7"/>
  <c r="AH222" i="7"/>
  <c r="AG222" i="7"/>
  <c r="AF222" i="7"/>
  <c r="AE222" i="7"/>
  <c r="AK221" i="7"/>
  <c r="AJ221" i="7"/>
  <c r="AI221" i="7"/>
  <c r="AH221" i="7"/>
  <c r="AL221" i="7" s="1"/>
  <c r="AG221" i="7"/>
  <c r="AE221" i="7"/>
  <c r="U221" i="7"/>
  <c r="AF221" i="7" s="1"/>
  <c r="AK220" i="7"/>
  <c r="AJ220" i="7"/>
  <c r="AI220" i="7"/>
  <c r="AH220" i="7"/>
  <c r="AL220" i="7" s="1"/>
  <c r="AG220" i="7"/>
  <c r="AF220" i="7"/>
  <c r="AE220" i="7"/>
  <c r="AK219" i="7"/>
  <c r="AJ219" i="7"/>
  <c r="AI219" i="7"/>
  <c r="AH219" i="7"/>
  <c r="AL219" i="7" s="1"/>
  <c r="AG219" i="7"/>
  <c r="AF219" i="7"/>
  <c r="AE219" i="7"/>
  <c r="AK218" i="7"/>
  <c r="AJ218" i="7"/>
  <c r="AH218" i="7"/>
  <c r="AL218" i="7" s="1"/>
  <c r="AG218" i="7"/>
  <c r="AE218" i="7"/>
  <c r="U218" i="7"/>
  <c r="AI218" i="7" s="1"/>
  <c r="AK217" i="7"/>
  <c r="AJ217" i="7"/>
  <c r="AI217" i="7"/>
  <c r="AH217" i="7"/>
  <c r="AG217" i="7"/>
  <c r="AF217" i="7"/>
  <c r="AE217" i="7"/>
  <c r="AK216" i="7"/>
  <c r="AJ216" i="7"/>
  <c r="AI216" i="7"/>
  <c r="AH216" i="7"/>
  <c r="AG216" i="7"/>
  <c r="AF216" i="7"/>
  <c r="AE216" i="7"/>
  <c r="AK215" i="7"/>
  <c r="AJ215" i="7"/>
  <c r="AH215" i="7"/>
  <c r="AG215" i="7"/>
  <c r="AE215" i="7"/>
  <c r="U215" i="7"/>
  <c r="AI215" i="7" s="1"/>
  <c r="AK214" i="7"/>
  <c r="AJ214" i="7"/>
  <c r="AI214" i="7"/>
  <c r="AH214" i="7"/>
  <c r="AL214" i="7" s="1"/>
  <c r="AG214" i="7"/>
  <c r="AF214" i="7"/>
  <c r="AE214" i="7"/>
  <c r="AK213" i="7"/>
  <c r="AJ213" i="7"/>
  <c r="AI213" i="7"/>
  <c r="AH213" i="7"/>
  <c r="AG213" i="7"/>
  <c r="AF213" i="7"/>
  <c r="AE213" i="7"/>
  <c r="AK212" i="7"/>
  <c r="AJ212" i="7"/>
  <c r="AH212" i="7"/>
  <c r="AL212" i="7" s="1"/>
  <c r="AG212" i="7"/>
  <c r="AE212" i="7"/>
  <c r="U212" i="7"/>
  <c r="AI212" i="7" s="1"/>
  <c r="AK211" i="7"/>
  <c r="AJ211" i="7"/>
  <c r="AI211" i="7"/>
  <c r="AH211" i="7"/>
  <c r="AG211" i="7"/>
  <c r="AF211" i="7"/>
  <c r="AE211" i="7"/>
  <c r="AK210" i="7"/>
  <c r="AJ210" i="7"/>
  <c r="AI210" i="7"/>
  <c r="AH210" i="7"/>
  <c r="AL210" i="7" s="1"/>
  <c r="AG210" i="7"/>
  <c r="AF210" i="7"/>
  <c r="AE210" i="7"/>
  <c r="AK209" i="7"/>
  <c r="AJ209" i="7"/>
  <c r="AH209" i="7"/>
  <c r="AL209" i="7" s="1"/>
  <c r="AG209" i="7"/>
  <c r="AE209" i="7"/>
  <c r="U209" i="7"/>
  <c r="AK208" i="7"/>
  <c r="AJ208" i="7"/>
  <c r="AI208" i="7"/>
  <c r="AH208" i="7"/>
  <c r="AL208" i="7" s="1"/>
  <c r="AG208" i="7"/>
  <c r="AF208" i="7"/>
  <c r="AE208" i="7"/>
  <c r="AK207" i="7"/>
  <c r="AJ207" i="7"/>
  <c r="AI207" i="7"/>
  <c r="AH207" i="7"/>
  <c r="AL207" i="7" s="1"/>
  <c r="AG207" i="7"/>
  <c r="AF207" i="7"/>
  <c r="AE207" i="7"/>
  <c r="AK206" i="7"/>
  <c r="AJ206" i="7"/>
  <c r="AH206" i="7"/>
  <c r="AL206" i="7" s="1"/>
  <c r="AG206" i="7"/>
  <c r="AE206" i="7"/>
  <c r="U206" i="7"/>
  <c r="AK205" i="7"/>
  <c r="AJ205" i="7"/>
  <c r="AI205" i="7"/>
  <c r="AH205" i="7"/>
  <c r="AG205" i="7"/>
  <c r="AF205" i="7"/>
  <c r="AE205" i="7"/>
  <c r="AK204" i="7"/>
  <c r="AJ204" i="7"/>
  <c r="AI204" i="7"/>
  <c r="AH204" i="7"/>
  <c r="AG204" i="7"/>
  <c r="AF204" i="7"/>
  <c r="AE204" i="7"/>
  <c r="AK203" i="7"/>
  <c r="AJ203" i="7"/>
  <c r="AH203" i="7"/>
  <c r="AL203" i="7" s="1"/>
  <c r="AG203" i="7"/>
  <c r="AE203" i="7"/>
  <c r="U203" i="7"/>
  <c r="AK202" i="7"/>
  <c r="AJ202" i="7"/>
  <c r="AI202" i="7"/>
  <c r="AH202" i="7"/>
  <c r="AG202" i="7"/>
  <c r="AF202" i="7"/>
  <c r="AE202" i="7"/>
  <c r="AK201" i="7"/>
  <c r="AJ201" i="7"/>
  <c r="AI201" i="7"/>
  <c r="AH201" i="7"/>
  <c r="AL201" i="7" s="1"/>
  <c r="AG201" i="7"/>
  <c r="AF201" i="7"/>
  <c r="AE201" i="7"/>
  <c r="AK200" i="7"/>
  <c r="AJ200" i="7"/>
  <c r="AH200" i="7"/>
  <c r="AG200" i="7"/>
  <c r="AE200" i="7"/>
  <c r="U200" i="7"/>
  <c r="AI200" i="7" s="1"/>
  <c r="AK199" i="7"/>
  <c r="AJ199" i="7"/>
  <c r="AI199" i="7"/>
  <c r="AH199" i="7"/>
  <c r="AG199" i="7"/>
  <c r="AF199" i="7"/>
  <c r="AE199" i="7"/>
  <c r="AK198" i="7"/>
  <c r="AJ198" i="7"/>
  <c r="AI198" i="7"/>
  <c r="AH198" i="7"/>
  <c r="AL198" i="7" s="1"/>
  <c r="AG198" i="7"/>
  <c r="AF198" i="7"/>
  <c r="AE198" i="7"/>
  <c r="AK197" i="7"/>
  <c r="AJ197" i="7"/>
  <c r="AI197" i="7"/>
  <c r="AH197" i="7"/>
  <c r="AG197" i="7"/>
  <c r="AF197" i="7"/>
  <c r="AE197" i="7"/>
  <c r="U197" i="7"/>
  <c r="AK196" i="7"/>
  <c r="AJ196" i="7"/>
  <c r="AI196" i="7"/>
  <c r="AH196" i="7"/>
  <c r="AL196" i="7" s="1"/>
  <c r="AG196" i="7"/>
  <c r="AF196" i="7"/>
  <c r="AE196" i="7"/>
  <c r="AK195" i="7"/>
  <c r="AJ195" i="7"/>
  <c r="AI195" i="7"/>
  <c r="AH195" i="7"/>
  <c r="AL195" i="7" s="1"/>
  <c r="AG195" i="7"/>
  <c r="AF195" i="7"/>
  <c r="AE195" i="7"/>
  <c r="AK194" i="7"/>
  <c r="AJ194" i="7"/>
  <c r="AI194" i="7"/>
  <c r="AH194" i="7"/>
  <c r="AL194" i="7" s="1"/>
  <c r="AG194" i="7"/>
  <c r="AF194" i="7"/>
  <c r="AE194" i="7"/>
  <c r="U194" i="7"/>
  <c r="AK193" i="7"/>
  <c r="AJ193" i="7"/>
  <c r="AI193" i="7"/>
  <c r="AH193" i="7"/>
  <c r="AG193" i="7"/>
  <c r="AF193" i="7"/>
  <c r="AE193" i="7"/>
  <c r="AK192" i="7"/>
  <c r="AJ192" i="7"/>
  <c r="AI192" i="7"/>
  <c r="AH192" i="7"/>
  <c r="AG192" i="7"/>
  <c r="AF192" i="7"/>
  <c r="AE192" i="7"/>
  <c r="AK191" i="7"/>
  <c r="AJ191" i="7"/>
  <c r="AI191" i="7"/>
  <c r="AH191" i="7"/>
  <c r="AL191" i="7" s="1"/>
  <c r="AG191" i="7"/>
  <c r="AF191" i="7"/>
  <c r="AE191" i="7"/>
  <c r="U191" i="7"/>
  <c r="AK190" i="7"/>
  <c r="AJ190" i="7"/>
  <c r="AI190" i="7"/>
  <c r="AH190" i="7"/>
  <c r="AG190" i="7"/>
  <c r="AF190" i="7"/>
  <c r="AE190" i="7"/>
  <c r="AK189" i="7"/>
  <c r="AJ189" i="7"/>
  <c r="AI189" i="7"/>
  <c r="AH189" i="7"/>
  <c r="AG189" i="7"/>
  <c r="AF189" i="7"/>
  <c r="AE189" i="7"/>
  <c r="AK188" i="7"/>
  <c r="AJ188" i="7"/>
  <c r="AI188" i="7"/>
  <c r="AH188" i="7"/>
  <c r="AL188" i="7" s="1"/>
  <c r="AG188" i="7"/>
  <c r="AF188" i="7"/>
  <c r="AE188" i="7"/>
  <c r="U188" i="7"/>
  <c r="AK187" i="7"/>
  <c r="AJ187" i="7"/>
  <c r="AI187" i="7"/>
  <c r="AH187" i="7"/>
  <c r="AG187" i="7"/>
  <c r="AF187" i="7"/>
  <c r="AE187" i="7"/>
  <c r="AK186" i="7"/>
  <c r="AJ186" i="7"/>
  <c r="AI186" i="7"/>
  <c r="AH186" i="7"/>
  <c r="AL186" i="7" s="1"/>
  <c r="AG186" i="7"/>
  <c r="AF186" i="7"/>
  <c r="AE186" i="7"/>
  <c r="AK185" i="7"/>
  <c r="AJ185" i="7"/>
  <c r="AI185" i="7"/>
  <c r="AH185" i="7"/>
  <c r="AL185" i="7" s="1"/>
  <c r="AG185" i="7"/>
  <c r="AE185" i="7"/>
  <c r="U185" i="7"/>
  <c r="AF185" i="7" s="1"/>
  <c r="AK184" i="7"/>
  <c r="AJ184" i="7"/>
  <c r="AI184" i="7"/>
  <c r="AH184" i="7"/>
  <c r="AL184" i="7" s="1"/>
  <c r="AG184" i="7"/>
  <c r="AF184" i="7"/>
  <c r="AE184" i="7"/>
  <c r="AK183" i="7"/>
  <c r="AJ183" i="7"/>
  <c r="AI183" i="7"/>
  <c r="AH183" i="7"/>
  <c r="AL183" i="7" s="1"/>
  <c r="AG183" i="7"/>
  <c r="AF183" i="7"/>
  <c r="AE183" i="7"/>
  <c r="AK182" i="7"/>
  <c r="AJ182" i="7"/>
  <c r="AH182" i="7"/>
  <c r="AL182" i="7" s="1"/>
  <c r="AG182" i="7"/>
  <c r="AE182" i="7"/>
  <c r="U182" i="7"/>
  <c r="AI182" i="7" s="1"/>
  <c r="AK181" i="7"/>
  <c r="AJ181" i="7"/>
  <c r="AI181" i="7"/>
  <c r="AH181" i="7"/>
  <c r="AG181" i="7"/>
  <c r="AF181" i="7"/>
  <c r="AE181" i="7"/>
  <c r="AK180" i="7"/>
  <c r="AJ180" i="7"/>
  <c r="AI180" i="7"/>
  <c r="AH180" i="7"/>
  <c r="AG180" i="7"/>
  <c r="AF180" i="7"/>
  <c r="AE180" i="7"/>
  <c r="AK179" i="7"/>
  <c r="AJ179" i="7"/>
  <c r="AH179" i="7"/>
  <c r="AL179" i="7" s="1"/>
  <c r="AG179" i="7"/>
  <c r="AE179" i="7"/>
  <c r="U179" i="7"/>
  <c r="AI179" i="7" s="1"/>
  <c r="AK178" i="7"/>
  <c r="AJ178" i="7"/>
  <c r="AI178" i="7"/>
  <c r="AH178" i="7"/>
  <c r="AG178" i="7"/>
  <c r="AF178" i="7"/>
  <c r="AE178" i="7"/>
  <c r="AK177" i="7"/>
  <c r="AJ177" i="7"/>
  <c r="AI177" i="7"/>
  <c r="AH177" i="7"/>
  <c r="AG177" i="7"/>
  <c r="AF177" i="7"/>
  <c r="AE177" i="7"/>
  <c r="AK176" i="7"/>
  <c r="AJ176" i="7"/>
  <c r="AH176" i="7"/>
  <c r="AL176" i="7" s="1"/>
  <c r="AG176" i="7"/>
  <c r="AE176" i="7"/>
  <c r="U176" i="7"/>
  <c r="AF176" i="7" s="1"/>
  <c r="AK175" i="7"/>
  <c r="AJ175" i="7"/>
  <c r="AI175" i="7"/>
  <c r="AH175" i="7"/>
  <c r="AG175" i="7"/>
  <c r="AF175" i="7"/>
  <c r="AE175" i="7"/>
  <c r="AK174" i="7"/>
  <c r="AJ174" i="7"/>
  <c r="AI174" i="7"/>
  <c r="AH174" i="7"/>
  <c r="AL174" i="7" s="1"/>
  <c r="AG174" i="7"/>
  <c r="AF174" i="7"/>
  <c r="AE174" i="7"/>
  <c r="AK173" i="7"/>
  <c r="AJ173" i="7"/>
  <c r="AH173" i="7"/>
  <c r="AG173" i="7"/>
  <c r="AE173" i="7"/>
  <c r="U173" i="7"/>
  <c r="AK172" i="7"/>
  <c r="AJ172" i="7"/>
  <c r="AI172" i="7"/>
  <c r="AH172" i="7"/>
  <c r="AL172" i="7" s="1"/>
  <c r="AG172" i="7"/>
  <c r="AF172" i="7"/>
  <c r="AE172" i="7"/>
  <c r="AK171" i="7"/>
  <c r="AJ171" i="7"/>
  <c r="AI171" i="7"/>
  <c r="AH171" i="7"/>
  <c r="AL171" i="7" s="1"/>
  <c r="AG171" i="7"/>
  <c r="AF171" i="7"/>
  <c r="AE171" i="7"/>
  <c r="AK170" i="7"/>
  <c r="AJ170" i="7"/>
  <c r="AH170" i="7"/>
  <c r="AL170" i="7" s="1"/>
  <c r="AG170" i="7"/>
  <c r="AE170" i="7"/>
  <c r="U170" i="7"/>
  <c r="AK169" i="7"/>
  <c r="AJ169" i="7"/>
  <c r="AI169" i="7"/>
  <c r="AH169" i="7"/>
  <c r="AG169" i="7"/>
  <c r="AF169" i="7"/>
  <c r="AE169" i="7"/>
  <c r="AK168" i="7"/>
  <c r="AJ168" i="7"/>
  <c r="AI168" i="7"/>
  <c r="AH168" i="7"/>
  <c r="AG168" i="7"/>
  <c r="AF168" i="7"/>
  <c r="AE168" i="7"/>
  <c r="AK167" i="7"/>
  <c r="AJ167" i="7"/>
  <c r="AH167" i="7"/>
  <c r="AG167" i="7"/>
  <c r="AE167" i="7"/>
  <c r="U167" i="7"/>
  <c r="AK166" i="7"/>
  <c r="AJ166" i="7"/>
  <c r="AI166" i="7"/>
  <c r="AH166" i="7"/>
  <c r="AG166" i="7"/>
  <c r="AF166" i="7"/>
  <c r="AE166" i="7"/>
  <c r="AK165" i="7"/>
  <c r="AJ165" i="7"/>
  <c r="AI165" i="7"/>
  <c r="AH165" i="7"/>
  <c r="AL165" i="7" s="1"/>
  <c r="AG165" i="7"/>
  <c r="AF165" i="7"/>
  <c r="AE165" i="7"/>
  <c r="AK164" i="7"/>
  <c r="AJ164" i="7"/>
  <c r="AH164" i="7"/>
  <c r="AG164" i="7"/>
  <c r="AE164" i="7"/>
  <c r="U164" i="7"/>
  <c r="AK163" i="7"/>
  <c r="AJ163" i="7"/>
  <c r="AI163" i="7"/>
  <c r="AH163" i="7"/>
  <c r="AL163" i="7" s="1"/>
  <c r="AG163" i="7"/>
  <c r="AF163" i="7"/>
  <c r="AE163" i="7"/>
  <c r="AK162" i="7"/>
  <c r="AJ162" i="7"/>
  <c r="AI162" i="7"/>
  <c r="AH162" i="7"/>
  <c r="AL162" i="7" s="1"/>
  <c r="AG162" i="7"/>
  <c r="AF162" i="7"/>
  <c r="AE162" i="7"/>
  <c r="AK161" i="7"/>
  <c r="AJ161" i="7"/>
  <c r="AI161" i="7"/>
  <c r="AH161" i="7"/>
  <c r="AL161" i="7" s="1"/>
  <c r="AG161" i="7"/>
  <c r="AF161" i="7"/>
  <c r="AE161" i="7"/>
  <c r="U161" i="7"/>
  <c r="AK160" i="7"/>
  <c r="AJ160" i="7"/>
  <c r="AI160" i="7"/>
  <c r="AH160" i="7"/>
  <c r="AL160" i="7" s="1"/>
  <c r="AG160" i="7"/>
  <c r="AF160" i="7"/>
  <c r="AE160" i="7"/>
  <c r="AK159" i="7"/>
  <c r="AJ159" i="7"/>
  <c r="AI159" i="7"/>
  <c r="AH159" i="7"/>
  <c r="AL159" i="7" s="1"/>
  <c r="AG159" i="7"/>
  <c r="AF159" i="7"/>
  <c r="AE159" i="7"/>
  <c r="AK158" i="7"/>
  <c r="AJ158" i="7"/>
  <c r="AI158" i="7"/>
  <c r="AH158" i="7"/>
  <c r="AL158" i="7" s="1"/>
  <c r="AG158" i="7"/>
  <c r="AF158" i="7"/>
  <c r="AE158" i="7"/>
  <c r="U158" i="7"/>
  <c r="AK157" i="7"/>
  <c r="AJ157" i="7"/>
  <c r="AI157" i="7"/>
  <c r="AH157" i="7"/>
  <c r="AG157" i="7"/>
  <c r="AF157" i="7"/>
  <c r="AE157" i="7"/>
  <c r="AK156" i="7"/>
  <c r="AJ156" i="7"/>
  <c r="AI156" i="7"/>
  <c r="AH156" i="7"/>
  <c r="AG156" i="7"/>
  <c r="AF156" i="7"/>
  <c r="AE156" i="7"/>
  <c r="AK155" i="7"/>
  <c r="AJ155" i="7"/>
  <c r="AI155" i="7"/>
  <c r="AH155" i="7"/>
  <c r="AG155" i="7"/>
  <c r="AF155" i="7"/>
  <c r="AE155" i="7"/>
  <c r="U155" i="7"/>
  <c r="AK154" i="7"/>
  <c r="AJ154" i="7"/>
  <c r="AI154" i="7"/>
  <c r="AH154" i="7"/>
  <c r="AG154" i="7"/>
  <c r="AF154" i="7"/>
  <c r="AE154" i="7"/>
  <c r="AK153" i="7"/>
  <c r="AJ153" i="7"/>
  <c r="AI153" i="7"/>
  <c r="AH153" i="7"/>
  <c r="AL153" i="7" s="1"/>
  <c r="AG153" i="7"/>
  <c r="AF153" i="7"/>
  <c r="AE153" i="7"/>
  <c r="AK152" i="7"/>
  <c r="AJ152" i="7"/>
  <c r="AI152" i="7"/>
  <c r="AH152" i="7"/>
  <c r="AG152" i="7"/>
  <c r="AF152" i="7"/>
  <c r="AE152" i="7"/>
  <c r="U152" i="7"/>
  <c r="AK151" i="7"/>
  <c r="AJ151" i="7"/>
  <c r="AI151" i="7"/>
  <c r="AH151" i="7"/>
  <c r="AG151" i="7"/>
  <c r="AF151" i="7"/>
  <c r="AE151" i="7"/>
  <c r="AK150" i="7"/>
  <c r="AJ150" i="7"/>
  <c r="AI150" i="7"/>
  <c r="AH150" i="7"/>
  <c r="AL150" i="7" s="1"/>
  <c r="AG150" i="7"/>
  <c r="AF150" i="7"/>
  <c r="AE150" i="7"/>
  <c r="AK149" i="7"/>
  <c r="AJ149" i="7"/>
  <c r="AI149" i="7"/>
  <c r="AH149" i="7"/>
  <c r="AL149" i="7" s="1"/>
  <c r="AG149" i="7"/>
  <c r="AE149" i="7"/>
  <c r="U149" i="7"/>
  <c r="AF149" i="7" s="1"/>
  <c r="AK148" i="7"/>
  <c r="AJ148" i="7"/>
  <c r="AI148" i="7"/>
  <c r="AH148" i="7"/>
  <c r="AL148" i="7" s="1"/>
  <c r="AG148" i="7"/>
  <c r="AF148" i="7"/>
  <c r="AE148" i="7"/>
  <c r="AK147" i="7"/>
  <c r="AJ147" i="7"/>
  <c r="AI147" i="7"/>
  <c r="AH147" i="7"/>
  <c r="AL147" i="7" s="1"/>
  <c r="AG147" i="7"/>
  <c r="AF147" i="7"/>
  <c r="AE147" i="7"/>
  <c r="AK146" i="7"/>
  <c r="AJ146" i="7"/>
  <c r="AH146" i="7"/>
  <c r="AL146" i="7" s="1"/>
  <c r="AG146" i="7"/>
  <c r="AE146" i="7"/>
  <c r="U146" i="7"/>
  <c r="AI146" i="7" s="1"/>
  <c r="AK145" i="7"/>
  <c r="AJ145" i="7"/>
  <c r="AI145" i="7"/>
  <c r="AH145" i="7"/>
  <c r="AG145" i="7"/>
  <c r="AF145" i="7"/>
  <c r="AE145" i="7"/>
  <c r="AK144" i="7"/>
  <c r="AJ144" i="7"/>
  <c r="AI144" i="7"/>
  <c r="AH144" i="7"/>
  <c r="AG144" i="7"/>
  <c r="AF144" i="7"/>
  <c r="AE144" i="7"/>
  <c r="AK143" i="7"/>
  <c r="AJ143" i="7"/>
  <c r="AH143" i="7"/>
  <c r="AG143" i="7"/>
  <c r="AE143" i="7"/>
  <c r="U143" i="7"/>
  <c r="AI143" i="7" s="1"/>
  <c r="AK142" i="7"/>
  <c r="AJ142" i="7"/>
  <c r="AI142" i="7"/>
  <c r="AH142" i="7"/>
  <c r="AG142" i="7"/>
  <c r="AF142" i="7"/>
  <c r="AE142" i="7"/>
  <c r="AK141" i="7"/>
  <c r="AJ141" i="7"/>
  <c r="AI141" i="7"/>
  <c r="AH141" i="7"/>
  <c r="AL141" i="7" s="1"/>
  <c r="AG141" i="7"/>
  <c r="AF141" i="7"/>
  <c r="AE141" i="7"/>
  <c r="AK140" i="7"/>
  <c r="AJ140" i="7"/>
  <c r="AH140" i="7"/>
  <c r="AG140" i="7"/>
  <c r="AE140" i="7"/>
  <c r="U140" i="7"/>
  <c r="AI140" i="7" s="1"/>
  <c r="AK139" i="7"/>
  <c r="AJ139" i="7"/>
  <c r="AI139" i="7"/>
  <c r="AH139" i="7"/>
  <c r="AL139" i="7" s="1"/>
  <c r="AG139" i="7"/>
  <c r="AF139" i="7"/>
  <c r="AE139" i="7"/>
  <c r="AK138" i="7"/>
  <c r="AJ138" i="7"/>
  <c r="AI138" i="7"/>
  <c r="AH138" i="7"/>
  <c r="AL138" i="7" s="1"/>
  <c r="AG138" i="7"/>
  <c r="AF138" i="7"/>
  <c r="AE138" i="7"/>
  <c r="AK137" i="7"/>
  <c r="AJ137" i="7"/>
  <c r="AH137" i="7"/>
  <c r="AL137" i="7" s="1"/>
  <c r="AG137" i="7"/>
  <c r="AE137" i="7"/>
  <c r="U137" i="7"/>
  <c r="AK136" i="7"/>
  <c r="AJ136" i="7"/>
  <c r="AI136" i="7"/>
  <c r="AH136" i="7"/>
  <c r="AL136" i="7" s="1"/>
  <c r="AG136" i="7"/>
  <c r="AF136" i="7"/>
  <c r="AE136" i="7"/>
  <c r="AK135" i="7"/>
  <c r="AJ135" i="7"/>
  <c r="AI135" i="7"/>
  <c r="AH135" i="7"/>
  <c r="AL135" i="7" s="1"/>
  <c r="AG135" i="7"/>
  <c r="AF135" i="7"/>
  <c r="AE135" i="7"/>
  <c r="AK134" i="7"/>
  <c r="AJ134" i="7"/>
  <c r="AH134" i="7"/>
  <c r="AL134" i="7" s="1"/>
  <c r="AG134" i="7"/>
  <c r="AE134" i="7"/>
  <c r="U134" i="7"/>
  <c r="AK133" i="7"/>
  <c r="AJ133" i="7"/>
  <c r="AI133" i="7"/>
  <c r="AH133" i="7"/>
  <c r="AG133" i="7"/>
  <c r="AF133" i="7"/>
  <c r="AE133" i="7"/>
  <c r="AK132" i="7"/>
  <c r="AJ132" i="7"/>
  <c r="AI132" i="7"/>
  <c r="AH132" i="7"/>
  <c r="AG132" i="7"/>
  <c r="AF132" i="7"/>
  <c r="AE132" i="7"/>
  <c r="AK131" i="7"/>
  <c r="AJ131" i="7"/>
  <c r="AH131" i="7"/>
  <c r="AG131" i="7"/>
  <c r="AE131" i="7"/>
  <c r="U131" i="7"/>
  <c r="AF131" i="7" s="1"/>
  <c r="AK130" i="7"/>
  <c r="AJ130" i="7"/>
  <c r="AI130" i="7"/>
  <c r="AH130" i="7"/>
  <c r="AL130" i="7" s="1"/>
  <c r="AG130" i="7"/>
  <c r="AF130" i="7"/>
  <c r="AE130" i="7"/>
  <c r="AK129" i="7"/>
  <c r="AJ129" i="7"/>
  <c r="AI129" i="7"/>
  <c r="AH129" i="7"/>
  <c r="AG129" i="7"/>
  <c r="AF129" i="7"/>
  <c r="AE129" i="7"/>
  <c r="AK128" i="7"/>
  <c r="AJ128" i="7"/>
  <c r="AH128" i="7"/>
  <c r="AL128" i="7" s="1"/>
  <c r="AG128" i="7"/>
  <c r="AE128" i="7"/>
  <c r="U128" i="7"/>
  <c r="AF128" i="7" s="1"/>
  <c r="AK127" i="7"/>
  <c r="AJ127" i="7"/>
  <c r="AI127" i="7"/>
  <c r="AH127" i="7"/>
  <c r="AL127" i="7" s="1"/>
  <c r="AG127" i="7"/>
  <c r="AF127" i="7"/>
  <c r="AE127" i="7"/>
  <c r="AK126" i="7"/>
  <c r="AJ126" i="7"/>
  <c r="AI126" i="7"/>
  <c r="AH126" i="7"/>
  <c r="AL126" i="7" s="1"/>
  <c r="AG126" i="7"/>
  <c r="AF126" i="7"/>
  <c r="AE126" i="7"/>
  <c r="AK125" i="7"/>
  <c r="AJ125" i="7"/>
  <c r="AI125" i="7"/>
  <c r="AH125" i="7"/>
  <c r="AL125" i="7" s="1"/>
  <c r="AG125" i="7"/>
  <c r="AF125" i="7"/>
  <c r="AE125" i="7"/>
  <c r="U125" i="7"/>
  <c r="AK124" i="7"/>
  <c r="AJ124" i="7"/>
  <c r="AI124" i="7"/>
  <c r="AH124" i="7"/>
  <c r="AL124" i="7" s="1"/>
  <c r="AG124" i="7"/>
  <c r="AF124" i="7"/>
  <c r="AE124" i="7"/>
  <c r="AK123" i="7"/>
  <c r="AJ123" i="7"/>
  <c r="AI123" i="7"/>
  <c r="AH123" i="7"/>
  <c r="AL123" i="7" s="1"/>
  <c r="AG123" i="7"/>
  <c r="AF123" i="7"/>
  <c r="AE123" i="7"/>
  <c r="AK122" i="7"/>
  <c r="AJ122" i="7"/>
  <c r="AI122" i="7"/>
  <c r="AH122" i="7"/>
  <c r="AL122" i="7" s="1"/>
  <c r="AG122" i="7"/>
  <c r="AF122" i="7"/>
  <c r="AE122" i="7"/>
  <c r="U122" i="7"/>
  <c r="AK121" i="7"/>
  <c r="AJ121" i="7"/>
  <c r="AI121" i="7"/>
  <c r="AH121" i="7"/>
  <c r="AG121" i="7"/>
  <c r="AF121" i="7"/>
  <c r="AE121" i="7"/>
  <c r="AK120" i="7"/>
  <c r="AJ120" i="7"/>
  <c r="AI120" i="7"/>
  <c r="AH120" i="7"/>
  <c r="AG120" i="7"/>
  <c r="AF120" i="7"/>
  <c r="AE120" i="7"/>
  <c r="AK119" i="7"/>
  <c r="AJ119" i="7"/>
  <c r="AI119" i="7"/>
  <c r="AH119" i="7"/>
  <c r="AG119" i="7"/>
  <c r="AF119" i="7"/>
  <c r="AE119" i="7"/>
  <c r="U119" i="7"/>
  <c r="AK118" i="7"/>
  <c r="AJ118" i="7"/>
  <c r="AI118" i="7"/>
  <c r="AH118" i="7"/>
  <c r="AG118" i="7"/>
  <c r="AF118" i="7"/>
  <c r="AE118" i="7"/>
  <c r="AK117" i="7"/>
  <c r="AJ117" i="7"/>
  <c r="AI117" i="7"/>
  <c r="AH117" i="7"/>
  <c r="AL117" i="7" s="1"/>
  <c r="AG117" i="7"/>
  <c r="AF117" i="7"/>
  <c r="AE117" i="7"/>
  <c r="AK116" i="7"/>
  <c r="AJ116" i="7"/>
  <c r="AI116" i="7"/>
  <c r="AH116" i="7"/>
  <c r="AG116" i="7"/>
  <c r="AF116" i="7"/>
  <c r="AE116" i="7"/>
  <c r="U116" i="7"/>
  <c r="AK115" i="7"/>
  <c r="AJ115" i="7"/>
  <c r="AI115" i="7"/>
  <c r="AH115" i="7"/>
  <c r="AL115" i="7" s="1"/>
  <c r="AG115" i="7"/>
  <c r="AF115" i="7"/>
  <c r="AE115" i="7"/>
  <c r="AK114" i="7"/>
  <c r="AJ114" i="7"/>
  <c r="AI114" i="7"/>
  <c r="AH114" i="7"/>
  <c r="AL114" i="7" s="1"/>
  <c r="AG114" i="7"/>
  <c r="AF114" i="7"/>
  <c r="AE114" i="7"/>
  <c r="AK113" i="7"/>
  <c r="AJ113" i="7"/>
  <c r="AI113" i="7"/>
  <c r="AH113" i="7"/>
  <c r="AG113" i="7"/>
  <c r="AE113" i="7"/>
  <c r="U113" i="7"/>
  <c r="AF113" i="7" s="1"/>
  <c r="AK112" i="7"/>
  <c r="AJ112" i="7"/>
  <c r="AI112" i="7"/>
  <c r="AH112" i="7"/>
  <c r="AL112" i="7" s="1"/>
  <c r="AG112" i="7"/>
  <c r="AF112" i="7"/>
  <c r="AE112" i="7"/>
  <c r="AK111" i="7"/>
  <c r="AJ111" i="7"/>
  <c r="AI111" i="7"/>
  <c r="AH111" i="7"/>
  <c r="AL111" i="7" s="1"/>
  <c r="AG111" i="7"/>
  <c r="AF111" i="7"/>
  <c r="AE111" i="7"/>
  <c r="AK110" i="7"/>
  <c r="AJ110" i="7"/>
  <c r="AH110" i="7"/>
  <c r="AL110" i="7" s="1"/>
  <c r="AG110" i="7"/>
  <c r="AE110" i="7"/>
  <c r="U110" i="7"/>
  <c r="AI110" i="7" s="1"/>
  <c r="AK109" i="7"/>
  <c r="AJ109" i="7"/>
  <c r="AI109" i="7"/>
  <c r="AH109" i="7"/>
  <c r="AG109" i="7"/>
  <c r="AF109" i="7"/>
  <c r="AE109" i="7"/>
  <c r="AK108" i="7"/>
  <c r="AJ108" i="7"/>
  <c r="AI108" i="7"/>
  <c r="AH108" i="7"/>
  <c r="AL108" i="7" s="1"/>
  <c r="AG108" i="7"/>
  <c r="AF108" i="7"/>
  <c r="AE108" i="7"/>
  <c r="AK107" i="7"/>
  <c r="AJ107" i="7"/>
  <c r="AH107" i="7"/>
  <c r="AG107" i="7"/>
  <c r="AE107" i="7"/>
  <c r="U107" i="7"/>
  <c r="AI107" i="7" s="1"/>
  <c r="AK106" i="7"/>
  <c r="AJ106" i="7"/>
  <c r="AI106" i="7"/>
  <c r="AH106" i="7"/>
  <c r="AL106" i="7" s="1"/>
  <c r="AG106" i="7"/>
  <c r="AF106" i="7"/>
  <c r="AE106" i="7"/>
  <c r="AK105" i="7"/>
  <c r="AJ105" i="7"/>
  <c r="AI105" i="7"/>
  <c r="AH105" i="7"/>
  <c r="AG105" i="7"/>
  <c r="AF105" i="7"/>
  <c r="AE105" i="7"/>
  <c r="AK104" i="7"/>
  <c r="AJ104" i="7"/>
  <c r="AH104" i="7"/>
  <c r="AG104" i="7"/>
  <c r="AE104" i="7"/>
  <c r="U104" i="7"/>
  <c r="AF104" i="7" s="1"/>
  <c r="AK103" i="7"/>
  <c r="AJ103" i="7"/>
  <c r="AI103" i="7"/>
  <c r="AH103" i="7"/>
  <c r="AL103" i="7" s="1"/>
  <c r="AG103" i="7"/>
  <c r="AF103" i="7"/>
  <c r="AE103" i="7"/>
  <c r="AK102" i="7"/>
  <c r="AJ102" i="7"/>
  <c r="AI102" i="7"/>
  <c r="AH102" i="7"/>
  <c r="AL102" i="7" s="1"/>
  <c r="AG102" i="7"/>
  <c r="AF102" i="7"/>
  <c r="AE102" i="7"/>
  <c r="AK101" i="7"/>
  <c r="AJ101" i="7"/>
  <c r="AH101" i="7"/>
  <c r="AL101" i="7" s="1"/>
  <c r="AG101" i="7"/>
  <c r="AE101" i="7"/>
  <c r="U101" i="7"/>
  <c r="AK100" i="7"/>
  <c r="AJ100" i="7"/>
  <c r="AI100" i="7"/>
  <c r="AH100" i="7"/>
  <c r="AL100" i="7" s="1"/>
  <c r="AG100" i="7"/>
  <c r="AF100" i="7"/>
  <c r="AE100" i="7"/>
  <c r="AK99" i="7"/>
  <c r="AJ99" i="7"/>
  <c r="AI99" i="7"/>
  <c r="AH99" i="7"/>
  <c r="AL99" i="7" s="1"/>
  <c r="AG99" i="7"/>
  <c r="AF99" i="7"/>
  <c r="AE99" i="7"/>
  <c r="AK98" i="7"/>
  <c r="AJ98" i="7"/>
  <c r="AH98" i="7"/>
  <c r="AL98" i="7" s="1"/>
  <c r="AG98" i="7"/>
  <c r="AE98" i="7"/>
  <c r="U98" i="7"/>
  <c r="AK97" i="7"/>
  <c r="AJ97" i="7"/>
  <c r="AI97" i="7"/>
  <c r="AH97" i="7"/>
  <c r="AL97" i="7" s="1"/>
  <c r="AG97" i="7"/>
  <c r="AF97" i="7"/>
  <c r="AE97" i="7"/>
  <c r="AK96" i="7"/>
  <c r="AJ96" i="7"/>
  <c r="AI96" i="7"/>
  <c r="AH96" i="7"/>
  <c r="AG96" i="7"/>
  <c r="AF96" i="7"/>
  <c r="AE96" i="7"/>
  <c r="AK95" i="7"/>
  <c r="AJ95" i="7"/>
  <c r="AH95" i="7"/>
  <c r="AG95" i="7"/>
  <c r="AE95" i="7"/>
  <c r="U95" i="7"/>
  <c r="AI95" i="7" s="1"/>
  <c r="AK94" i="7"/>
  <c r="AJ94" i="7"/>
  <c r="AI94" i="7"/>
  <c r="AH94" i="7"/>
  <c r="AG94" i="7"/>
  <c r="AF94" i="7"/>
  <c r="AE94" i="7"/>
  <c r="AK93" i="7"/>
  <c r="AJ93" i="7"/>
  <c r="AI93" i="7"/>
  <c r="AH93" i="7"/>
  <c r="AG93" i="7"/>
  <c r="AF93" i="7"/>
  <c r="AE93" i="7"/>
  <c r="AK92" i="7"/>
  <c r="AJ92" i="7"/>
  <c r="AH92" i="7"/>
  <c r="AL92" i="7" s="1"/>
  <c r="AG92" i="7"/>
  <c r="AE92" i="7"/>
  <c r="U92" i="7"/>
  <c r="AF92" i="7" s="1"/>
  <c r="AK91" i="7"/>
  <c r="AJ91" i="7"/>
  <c r="AI91" i="7"/>
  <c r="AH91" i="7"/>
  <c r="AL91" i="7" s="1"/>
  <c r="AG91" i="7"/>
  <c r="AF91" i="7"/>
  <c r="AE91" i="7"/>
  <c r="AK90" i="7"/>
  <c r="AJ90" i="7"/>
  <c r="AI90" i="7"/>
  <c r="AH90" i="7"/>
  <c r="AL90" i="7" s="1"/>
  <c r="AG90" i="7"/>
  <c r="AF90" i="7"/>
  <c r="AE90" i="7"/>
  <c r="AK89" i="7"/>
  <c r="AJ89" i="7"/>
  <c r="AI89" i="7"/>
  <c r="AH89" i="7"/>
  <c r="AL89" i="7" s="1"/>
  <c r="AG89" i="7"/>
  <c r="AF89" i="7"/>
  <c r="AE89" i="7"/>
  <c r="U89" i="7"/>
  <c r="AK88" i="7"/>
  <c r="AJ88" i="7"/>
  <c r="AI88" i="7"/>
  <c r="AH88" i="7"/>
  <c r="AL88" i="7" s="1"/>
  <c r="AG88" i="7"/>
  <c r="AF88" i="7"/>
  <c r="AE88" i="7"/>
  <c r="AK87" i="7"/>
  <c r="AJ87" i="7"/>
  <c r="AI87" i="7"/>
  <c r="AH87" i="7"/>
  <c r="AL87" i="7" s="1"/>
  <c r="AG87" i="7"/>
  <c r="AF87" i="7"/>
  <c r="AE87" i="7"/>
  <c r="AK86" i="7"/>
  <c r="AJ86" i="7"/>
  <c r="AI86" i="7"/>
  <c r="AH86" i="7"/>
  <c r="AL86" i="7" s="1"/>
  <c r="AG86" i="7"/>
  <c r="AF86" i="7"/>
  <c r="AE86" i="7"/>
  <c r="U86" i="7"/>
  <c r="AK85" i="7"/>
  <c r="AJ85" i="7"/>
  <c r="AI85" i="7"/>
  <c r="AH85" i="7"/>
  <c r="AL85" i="7" s="1"/>
  <c r="AG85" i="7"/>
  <c r="AF85" i="7"/>
  <c r="AE85" i="7"/>
  <c r="AK84" i="7"/>
  <c r="AJ84" i="7"/>
  <c r="AI84" i="7"/>
  <c r="AH84" i="7"/>
  <c r="AG84" i="7"/>
  <c r="AF84" i="7"/>
  <c r="AE84" i="7"/>
  <c r="AK83" i="7"/>
  <c r="AJ83" i="7"/>
  <c r="AI83" i="7"/>
  <c r="AH83" i="7"/>
  <c r="AG83" i="7"/>
  <c r="AF83" i="7"/>
  <c r="AE83" i="7"/>
  <c r="U83" i="7"/>
  <c r="AK82" i="7"/>
  <c r="AJ82" i="7"/>
  <c r="AI82" i="7"/>
  <c r="AH82" i="7"/>
  <c r="AL82" i="7" s="1"/>
  <c r="AG82" i="7"/>
  <c r="AF82" i="7"/>
  <c r="AE82" i="7"/>
  <c r="AK81" i="7"/>
  <c r="AJ81" i="7"/>
  <c r="AI81" i="7"/>
  <c r="AH81" i="7"/>
  <c r="AG81" i="7"/>
  <c r="AF81" i="7"/>
  <c r="AE81" i="7"/>
  <c r="AK80" i="7"/>
  <c r="AJ80" i="7"/>
  <c r="AI80" i="7"/>
  <c r="AH80" i="7"/>
  <c r="AL80" i="7" s="1"/>
  <c r="AG80" i="7"/>
  <c r="AF80" i="7"/>
  <c r="AE80" i="7"/>
  <c r="U80" i="7"/>
  <c r="AK79" i="7"/>
  <c r="AJ79" i="7"/>
  <c r="AI79" i="7"/>
  <c r="AH79" i="7"/>
  <c r="AL79" i="7" s="1"/>
  <c r="AG79" i="7"/>
  <c r="AF79" i="7"/>
  <c r="AE79" i="7"/>
  <c r="AK78" i="7"/>
  <c r="AJ78" i="7"/>
  <c r="AI78" i="7"/>
  <c r="AH78" i="7"/>
  <c r="AL78" i="7" s="1"/>
  <c r="AG78" i="7"/>
  <c r="AF78" i="7"/>
  <c r="AE78" i="7"/>
  <c r="AK77" i="7"/>
  <c r="AJ77" i="7"/>
  <c r="AI77" i="7"/>
  <c r="AH77" i="7"/>
  <c r="AL77" i="7" s="1"/>
  <c r="AG77" i="7"/>
  <c r="AE77" i="7"/>
  <c r="U77" i="7"/>
  <c r="AF77" i="7" s="1"/>
  <c r="AK76" i="7"/>
  <c r="AJ76" i="7"/>
  <c r="AI76" i="7"/>
  <c r="AH76" i="7"/>
  <c r="AL76" i="7" s="1"/>
  <c r="AG76" i="7"/>
  <c r="AF76" i="7"/>
  <c r="AE76" i="7"/>
  <c r="AK75" i="7"/>
  <c r="AJ75" i="7"/>
  <c r="AI75" i="7"/>
  <c r="AH75" i="7"/>
  <c r="AL75" i="7" s="1"/>
  <c r="AG75" i="7"/>
  <c r="AF75" i="7"/>
  <c r="AE75" i="7"/>
  <c r="AK74" i="7"/>
  <c r="AJ74" i="7"/>
  <c r="AH74" i="7"/>
  <c r="AL74" i="7" s="1"/>
  <c r="AG74" i="7"/>
  <c r="AE74" i="7"/>
  <c r="U74" i="7"/>
  <c r="AI74" i="7" s="1"/>
  <c r="AK73" i="7"/>
  <c r="AJ73" i="7"/>
  <c r="AI73" i="7"/>
  <c r="AH73" i="7"/>
  <c r="AG73" i="7"/>
  <c r="AF73" i="7"/>
  <c r="AE73" i="7"/>
  <c r="AK72" i="7"/>
  <c r="AJ72" i="7"/>
  <c r="AI72" i="7"/>
  <c r="AH72" i="7"/>
  <c r="AG72" i="7"/>
  <c r="AF72" i="7"/>
  <c r="AE72" i="7"/>
  <c r="AK71" i="7"/>
  <c r="AJ71" i="7"/>
  <c r="AH71" i="7"/>
  <c r="AG71" i="7"/>
  <c r="AE71" i="7"/>
  <c r="U71" i="7"/>
  <c r="AI71" i="7" s="1"/>
  <c r="AK70" i="7"/>
  <c r="AJ70" i="7"/>
  <c r="AI70" i="7"/>
  <c r="AH70" i="7"/>
  <c r="AL70" i="7" s="1"/>
  <c r="AG70" i="7"/>
  <c r="AF70" i="7"/>
  <c r="AE70" i="7"/>
  <c r="AK69" i="7"/>
  <c r="AJ69" i="7"/>
  <c r="AI69" i="7"/>
  <c r="AH69" i="7"/>
  <c r="AG69" i="7"/>
  <c r="AF69" i="7"/>
  <c r="AE69" i="7"/>
  <c r="AK68" i="7"/>
  <c r="AJ68" i="7"/>
  <c r="AH68" i="7"/>
  <c r="AL68" i="7" s="1"/>
  <c r="AG68" i="7"/>
  <c r="AE68" i="7"/>
  <c r="U68" i="7"/>
  <c r="AI68" i="7" s="1"/>
  <c r="AK67" i="7"/>
  <c r="AJ67" i="7"/>
  <c r="AI67" i="7"/>
  <c r="AH67" i="7"/>
  <c r="AG67" i="7"/>
  <c r="AF67" i="7"/>
  <c r="AE67" i="7"/>
  <c r="AK66" i="7"/>
  <c r="AJ66" i="7"/>
  <c r="AI66" i="7"/>
  <c r="AH66" i="7"/>
  <c r="AL66" i="7" s="1"/>
  <c r="AG66" i="7"/>
  <c r="AF66" i="7"/>
  <c r="AE66" i="7"/>
  <c r="AK65" i="7"/>
  <c r="AJ65" i="7"/>
  <c r="AH65" i="7"/>
  <c r="AL65" i="7" s="1"/>
  <c r="AG65" i="7"/>
  <c r="AE65" i="7"/>
  <c r="U65" i="7"/>
  <c r="AK64" i="7"/>
  <c r="AJ64" i="7"/>
  <c r="AI64" i="7"/>
  <c r="AH64" i="7"/>
  <c r="AL64" i="7" s="1"/>
  <c r="AG64" i="7"/>
  <c r="AF64" i="7"/>
  <c r="AE64" i="7"/>
  <c r="AK63" i="7"/>
  <c r="AJ63" i="7"/>
  <c r="AI63" i="7"/>
  <c r="AH63" i="7"/>
  <c r="AL63" i="7" s="1"/>
  <c r="AG63" i="7"/>
  <c r="AF63" i="7"/>
  <c r="AE63" i="7"/>
  <c r="AK62" i="7"/>
  <c r="AJ62" i="7"/>
  <c r="AH62" i="7"/>
  <c r="AL62" i="7" s="1"/>
  <c r="AG62" i="7"/>
  <c r="AE62" i="7"/>
  <c r="U62" i="7"/>
  <c r="AK61" i="7"/>
  <c r="AJ61" i="7"/>
  <c r="AI61" i="7"/>
  <c r="AH61" i="7"/>
  <c r="AG61" i="7"/>
  <c r="AF61" i="7"/>
  <c r="AE61" i="7"/>
  <c r="AK60" i="7"/>
  <c r="AJ60" i="7"/>
  <c r="AI60" i="7"/>
  <c r="AH60" i="7"/>
  <c r="AG60" i="7"/>
  <c r="AF60" i="7"/>
  <c r="AE60" i="7"/>
  <c r="AK59" i="7"/>
  <c r="AJ59" i="7"/>
  <c r="AH59" i="7"/>
  <c r="AL59" i="7" s="1"/>
  <c r="AG59" i="7"/>
  <c r="AE59" i="7"/>
  <c r="U59" i="7"/>
  <c r="AK58" i="7"/>
  <c r="AJ58" i="7"/>
  <c r="AI58" i="7"/>
  <c r="AH58" i="7"/>
  <c r="AG58" i="7"/>
  <c r="AF58" i="7"/>
  <c r="AE58" i="7"/>
  <c r="AK57" i="7"/>
  <c r="AJ57" i="7"/>
  <c r="AI57" i="7"/>
  <c r="AH57" i="7"/>
  <c r="AL57" i="7" s="1"/>
  <c r="AG57" i="7"/>
  <c r="AF57" i="7"/>
  <c r="AE57" i="7"/>
  <c r="AK56" i="7"/>
  <c r="AJ56" i="7"/>
  <c r="AH56" i="7"/>
  <c r="AG56" i="7"/>
  <c r="AE56" i="7"/>
  <c r="U56" i="7"/>
  <c r="AI56" i="7" s="1"/>
  <c r="AK55" i="7"/>
  <c r="AJ55" i="7"/>
  <c r="AI55" i="7"/>
  <c r="AH55" i="7"/>
  <c r="AG55" i="7"/>
  <c r="AF55" i="7"/>
  <c r="AE55" i="7"/>
  <c r="AK54" i="7"/>
  <c r="AJ54" i="7"/>
  <c r="AI54" i="7"/>
  <c r="AH54" i="7"/>
  <c r="AL54" i="7" s="1"/>
  <c r="AG54" i="7"/>
  <c r="AF54" i="7"/>
  <c r="AE54" i="7"/>
  <c r="AK53" i="7"/>
  <c r="AJ53" i="7"/>
  <c r="AI53" i="7"/>
  <c r="AH53" i="7"/>
  <c r="AG53" i="7"/>
  <c r="AF53" i="7"/>
  <c r="AE53" i="7"/>
  <c r="U53" i="7"/>
  <c r="AK52" i="7"/>
  <c r="AJ52" i="7"/>
  <c r="AI52" i="7"/>
  <c r="AH52" i="7"/>
  <c r="AL52" i="7" s="1"/>
  <c r="AG52" i="7"/>
  <c r="AF52" i="7"/>
  <c r="AE52" i="7"/>
  <c r="AK51" i="7"/>
  <c r="AJ51" i="7"/>
  <c r="AI51" i="7"/>
  <c r="AH51" i="7"/>
  <c r="AL51" i="7" s="1"/>
  <c r="AG51" i="7"/>
  <c r="AF51" i="7"/>
  <c r="AE51" i="7"/>
  <c r="AK50" i="7"/>
  <c r="AJ50" i="7"/>
  <c r="AI50" i="7"/>
  <c r="AH50" i="7"/>
  <c r="AL50" i="7" s="1"/>
  <c r="AG50" i="7"/>
  <c r="AF50" i="7"/>
  <c r="AE50" i="7"/>
  <c r="U50" i="7"/>
  <c r="AK49" i="7"/>
  <c r="AJ49" i="7"/>
  <c r="AI49" i="7"/>
  <c r="AH49" i="7"/>
  <c r="AG49" i="7"/>
  <c r="AF49" i="7"/>
  <c r="AE49" i="7"/>
  <c r="AK48" i="7"/>
  <c r="AJ48" i="7"/>
  <c r="AI48" i="7"/>
  <c r="AH48" i="7"/>
  <c r="AG48" i="7"/>
  <c r="AF48" i="7"/>
  <c r="AE48" i="7"/>
  <c r="AK47" i="7"/>
  <c r="AJ47" i="7"/>
  <c r="AI47" i="7"/>
  <c r="AH47" i="7"/>
  <c r="AL47" i="7" s="1"/>
  <c r="AG47" i="7"/>
  <c r="AE47" i="7"/>
  <c r="U47" i="7"/>
  <c r="AF47" i="7" s="1"/>
  <c r="AK46" i="7"/>
  <c r="AJ46" i="7"/>
  <c r="AI46" i="7"/>
  <c r="AH46" i="7"/>
  <c r="AG46" i="7"/>
  <c r="AF46" i="7"/>
  <c r="AE46" i="7"/>
  <c r="AK45" i="7"/>
  <c r="AJ45" i="7"/>
  <c r="AI45" i="7"/>
  <c r="AH45" i="7"/>
  <c r="AG45" i="7"/>
  <c r="AF45" i="7"/>
  <c r="AE45" i="7"/>
  <c r="AK44" i="7"/>
  <c r="AJ44" i="7"/>
  <c r="AI44" i="7"/>
  <c r="AH44" i="7"/>
  <c r="AL44" i="7" s="1"/>
  <c r="AG44" i="7"/>
  <c r="AF44" i="7"/>
  <c r="AE44" i="7"/>
  <c r="U44" i="7"/>
  <c r="AK43" i="7"/>
  <c r="AJ43" i="7"/>
  <c r="AI43" i="7"/>
  <c r="AH43" i="7"/>
  <c r="AL43" i="7" s="1"/>
  <c r="AG43" i="7"/>
  <c r="AF43" i="7"/>
  <c r="AE43" i="7"/>
  <c r="AK42" i="7"/>
  <c r="AJ42" i="7"/>
  <c r="AI42" i="7"/>
  <c r="AH42" i="7"/>
  <c r="AL42" i="7" s="1"/>
  <c r="AG42" i="7"/>
  <c r="AF42" i="7"/>
  <c r="AE42" i="7"/>
  <c r="AK41" i="7"/>
  <c r="AJ41" i="7"/>
  <c r="AI41" i="7"/>
  <c r="AH41" i="7"/>
  <c r="AL41" i="7" s="1"/>
  <c r="AG41" i="7"/>
  <c r="AF41" i="7"/>
  <c r="AE41" i="7"/>
  <c r="U41" i="7"/>
  <c r="AK40" i="7"/>
  <c r="AJ40" i="7"/>
  <c r="AI40" i="7"/>
  <c r="AH40" i="7"/>
  <c r="AL40" i="7" s="1"/>
  <c r="AG40" i="7"/>
  <c r="AF40" i="7"/>
  <c r="AE40" i="7"/>
  <c r="AK39" i="7"/>
  <c r="AJ39" i="7"/>
  <c r="AI39" i="7"/>
  <c r="AH39" i="7"/>
  <c r="AL39" i="7" s="1"/>
  <c r="AG39" i="7"/>
  <c r="AF39" i="7"/>
  <c r="AE39" i="7"/>
  <c r="AK38" i="7"/>
  <c r="AJ38" i="7"/>
  <c r="AH38" i="7"/>
  <c r="AL38" i="7" s="1"/>
  <c r="AG38" i="7"/>
  <c r="AE38" i="7"/>
  <c r="U38" i="7"/>
  <c r="AI38" i="7" s="1"/>
  <c r="AK37" i="7"/>
  <c r="AJ37" i="7"/>
  <c r="AI37" i="7"/>
  <c r="AH37" i="7"/>
  <c r="AG37" i="7"/>
  <c r="AF37" i="7"/>
  <c r="AE37" i="7"/>
  <c r="AK36" i="7"/>
  <c r="AJ36" i="7"/>
  <c r="AI36" i="7"/>
  <c r="AH36" i="7"/>
  <c r="AG36" i="7"/>
  <c r="AF36" i="7"/>
  <c r="AE36" i="7"/>
  <c r="AK35" i="7"/>
  <c r="AJ35" i="7"/>
  <c r="AH35" i="7"/>
  <c r="AL35" i="7" s="1"/>
  <c r="AG35" i="7"/>
  <c r="AE35" i="7"/>
  <c r="U35" i="7"/>
  <c r="AI35" i="7" s="1"/>
  <c r="AK34" i="7"/>
  <c r="AJ34" i="7"/>
  <c r="AI34" i="7"/>
  <c r="AH34" i="7"/>
  <c r="AG34" i="7"/>
  <c r="AF34" i="7"/>
  <c r="AE34" i="7"/>
  <c r="AK33" i="7"/>
  <c r="AJ33" i="7"/>
  <c r="AI33" i="7"/>
  <c r="AH33" i="7"/>
  <c r="AG33" i="7"/>
  <c r="AF33" i="7"/>
  <c r="AE33" i="7"/>
  <c r="AK32" i="7"/>
  <c r="AJ32" i="7"/>
  <c r="AH32" i="7"/>
  <c r="AL32" i="7" s="1"/>
  <c r="AG32" i="7"/>
  <c r="AE32" i="7"/>
  <c r="U32" i="7"/>
  <c r="AI32" i="7" s="1"/>
  <c r="AK31" i="7"/>
  <c r="AJ31" i="7"/>
  <c r="AI31" i="7"/>
  <c r="AH31" i="7"/>
  <c r="AG31" i="7"/>
  <c r="AF31" i="7"/>
  <c r="AE31" i="7"/>
  <c r="AK30" i="7"/>
  <c r="AJ30" i="7"/>
  <c r="AI30" i="7"/>
  <c r="AH30" i="7"/>
  <c r="AL30" i="7" s="1"/>
  <c r="AG30" i="7"/>
  <c r="AF30" i="7"/>
  <c r="AE30" i="7"/>
  <c r="AK29" i="7"/>
  <c r="AJ29" i="7"/>
  <c r="AH29" i="7"/>
  <c r="AG29" i="7"/>
  <c r="AE29" i="7"/>
  <c r="U29" i="7"/>
  <c r="AK28" i="7"/>
  <c r="AJ28" i="7"/>
  <c r="AI28" i="7"/>
  <c r="AH28" i="7"/>
  <c r="AL28" i="7" s="1"/>
  <c r="AG28" i="7"/>
  <c r="AF28" i="7"/>
  <c r="AE28" i="7"/>
  <c r="AK27" i="7"/>
  <c r="AJ27" i="7"/>
  <c r="AI27" i="7"/>
  <c r="AH27" i="7"/>
  <c r="AL27" i="7" s="1"/>
  <c r="AG27" i="7"/>
  <c r="AF27" i="7"/>
  <c r="AE27" i="7"/>
  <c r="AK26" i="7"/>
  <c r="AJ26" i="7"/>
  <c r="AH26" i="7"/>
  <c r="AL26" i="7" s="1"/>
  <c r="AG26" i="7"/>
  <c r="AE26" i="7"/>
  <c r="U26" i="7"/>
  <c r="AK25" i="7"/>
  <c r="AJ25" i="7"/>
  <c r="AI25" i="7"/>
  <c r="AH25" i="7"/>
  <c r="AG25" i="7"/>
  <c r="AF25" i="7"/>
  <c r="AE25" i="7"/>
  <c r="AK24" i="7"/>
  <c r="AJ24" i="7"/>
  <c r="AI24" i="7"/>
  <c r="AH24" i="7"/>
  <c r="AG24" i="7"/>
  <c r="AF24" i="7"/>
  <c r="AE24" i="7"/>
  <c r="AK23" i="7"/>
  <c r="AJ23" i="7"/>
  <c r="AH23" i="7"/>
  <c r="AG23" i="7"/>
  <c r="AE23" i="7"/>
  <c r="U23" i="7"/>
  <c r="AF23" i="7" s="1"/>
  <c r="AK22" i="7"/>
  <c r="AJ22" i="7"/>
  <c r="AI22" i="7"/>
  <c r="AH22" i="7"/>
  <c r="AG22" i="7"/>
  <c r="AF22" i="7"/>
  <c r="AE22" i="7"/>
  <c r="AK21" i="7"/>
  <c r="AJ21" i="7"/>
  <c r="AI21" i="7"/>
  <c r="AH21" i="7"/>
  <c r="AL21" i="7" s="1"/>
  <c r="AG21" i="7"/>
  <c r="AF21" i="7"/>
  <c r="AE21" i="7"/>
  <c r="AK20" i="7"/>
  <c r="AJ20" i="7"/>
  <c r="AH20" i="7"/>
  <c r="AG20" i="7"/>
  <c r="AE20" i="7"/>
  <c r="U20" i="7"/>
  <c r="AI20" i="7" s="1"/>
  <c r="AK19" i="7"/>
  <c r="AJ19" i="7"/>
  <c r="AI19" i="7"/>
  <c r="AH19" i="7"/>
  <c r="AL19" i="7" s="1"/>
  <c r="AG19" i="7"/>
  <c r="AF19" i="7"/>
  <c r="AE19" i="7"/>
  <c r="AK18" i="7"/>
  <c r="AJ18" i="7"/>
  <c r="AI18" i="7"/>
  <c r="AH18" i="7"/>
  <c r="AL18" i="7" s="1"/>
  <c r="AG18" i="7"/>
  <c r="AF18" i="7"/>
  <c r="AE18" i="7"/>
  <c r="AK17" i="7"/>
  <c r="AJ17" i="7"/>
  <c r="AI17" i="7"/>
  <c r="AH17" i="7"/>
  <c r="AL17" i="7" s="1"/>
  <c r="AG17" i="7"/>
  <c r="AF17" i="7"/>
  <c r="AE17" i="7"/>
  <c r="U17" i="7"/>
  <c r="AK16" i="7"/>
  <c r="AJ16" i="7"/>
  <c r="AI16" i="7"/>
  <c r="AH16" i="7"/>
  <c r="AL16" i="7" s="1"/>
  <c r="AG16" i="7"/>
  <c r="AF16" i="7"/>
  <c r="AE16" i="7"/>
  <c r="AK15" i="7"/>
  <c r="AJ15" i="7"/>
  <c r="AI15" i="7"/>
  <c r="AH15" i="7"/>
  <c r="AL15" i="7" s="1"/>
  <c r="AG15" i="7"/>
  <c r="AF15" i="7"/>
  <c r="AE15" i="7"/>
  <c r="AK14" i="7"/>
  <c r="AJ14" i="7"/>
  <c r="AI14" i="7"/>
  <c r="AH14" i="7"/>
  <c r="AL14" i="7" s="1"/>
  <c r="AG14" i="7"/>
  <c r="AF14" i="7"/>
  <c r="AE14" i="7"/>
  <c r="U14" i="7"/>
  <c r="AK13" i="7"/>
  <c r="AJ13" i="7"/>
  <c r="AI13" i="7"/>
  <c r="AH13" i="7"/>
  <c r="AG13" i="7"/>
  <c r="AF13" i="7"/>
  <c r="AE13" i="7"/>
  <c r="AK12" i="7"/>
  <c r="AJ12" i="7"/>
  <c r="AI12" i="7"/>
  <c r="AH12" i="7"/>
  <c r="AG12" i="7"/>
  <c r="AF12" i="7"/>
  <c r="AE12" i="7"/>
  <c r="AK11" i="7"/>
  <c r="AJ11" i="7"/>
  <c r="AI11" i="7"/>
  <c r="AH11" i="7"/>
  <c r="AG11" i="7"/>
  <c r="AE11" i="7"/>
  <c r="U11" i="7"/>
  <c r="AF11" i="7" s="1"/>
  <c r="AK10" i="7"/>
  <c r="AJ10" i="7"/>
  <c r="AI10" i="7"/>
  <c r="AH10" i="7"/>
  <c r="AG10" i="7"/>
  <c r="AF10" i="7"/>
  <c r="AE10" i="7"/>
  <c r="AK9" i="7"/>
  <c r="AJ9" i="7"/>
  <c r="AI9" i="7"/>
  <c r="AH9" i="7"/>
  <c r="AL9" i="7" s="1"/>
  <c r="AG9" i="7"/>
  <c r="AF9" i="7"/>
  <c r="AE9" i="7"/>
  <c r="AK8" i="7"/>
  <c r="AJ8" i="7"/>
  <c r="AI8" i="7"/>
  <c r="AH8" i="7"/>
  <c r="AG8" i="7"/>
  <c r="AF8" i="7"/>
  <c r="AE8" i="7"/>
  <c r="U8" i="7"/>
  <c r="AK7" i="7"/>
  <c r="AJ7" i="7"/>
  <c r="AI7" i="7"/>
  <c r="AH7" i="7"/>
  <c r="AG7" i="7"/>
  <c r="AF7" i="7"/>
  <c r="AE7" i="7"/>
  <c r="AK6" i="7"/>
  <c r="AJ6" i="7"/>
  <c r="AI6" i="7"/>
  <c r="AH6" i="7"/>
  <c r="AL6" i="7" s="1"/>
  <c r="AG6" i="7"/>
  <c r="AF6" i="7"/>
  <c r="AE6" i="7"/>
  <c r="AK5" i="7"/>
  <c r="AJ5" i="7"/>
  <c r="AI5" i="7"/>
  <c r="AH5" i="7"/>
  <c r="AG5" i="7"/>
  <c r="AE5" i="7"/>
  <c r="U5" i="7"/>
  <c r="AF5" i="7" s="1"/>
  <c r="AK4" i="7"/>
  <c r="AJ4" i="7"/>
  <c r="AI4" i="7"/>
  <c r="AH4" i="7"/>
  <c r="AL4" i="7" s="1"/>
  <c r="AG4" i="7"/>
  <c r="AF4" i="7"/>
  <c r="AE4" i="7"/>
  <c r="AK3" i="7"/>
  <c r="AJ3" i="7"/>
  <c r="AI3" i="7"/>
  <c r="AH3" i="7"/>
  <c r="AL3" i="7" s="1"/>
  <c r="AG3" i="7"/>
  <c r="AF3" i="7"/>
  <c r="AE3" i="7"/>
  <c r="AK2" i="7"/>
  <c r="AJ2" i="7"/>
  <c r="AH2" i="7"/>
  <c r="AL2" i="7" s="1"/>
  <c r="AG2" i="7"/>
  <c r="AE2" i="7"/>
  <c r="U2" i="7"/>
  <c r="AI2" i="7" s="1"/>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J3" i="2"/>
  <c r="AJ4" i="2"/>
  <c r="AJ6" i="2"/>
  <c r="AJ7" i="2"/>
  <c r="AJ9" i="2"/>
  <c r="AJ10" i="2"/>
  <c r="AJ12" i="2"/>
  <c r="AJ13" i="2"/>
  <c r="AJ15" i="2"/>
  <c r="AJ16" i="2"/>
  <c r="AJ18" i="2"/>
  <c r="AJ19" i="2"/>
  <c r="AJ21" i="2"/>
  <c r="AJ22" i="2"/>
  <c r="AJ24" i="2"/>
  <c r="AJ25" i="2"/>
  <c r="AJ27" i="2"/>
  <c r="AJ28" i="2"/>
  <c r="AJ30" i="2"/>
  <c r="AJ31" i="2"/>
  <c r="AJ33" i="2"/>
  <c r="AJ34" i="2"/>
  <c r="AJ36" i="2"/>
  <c r="AJ37" i="2"/>
  <c r="AJ39" i="2"/>
  <c r="AJ40" i="2"/>
  <c r="AJ42" i="2"/>
  <c r="AJ43" i="2"/>
  <c r="AJ45" i="2"/>
  <c r="AJ46" i="2"/>
  <c r="AJ48" i="2"/>
  <c r="AJ49" i="2"/>
  <c r="AJ51" i="2"/>
  <c r="AJ52" i="2"/>
  <c r="AJ54" i="2"/>
  <c r="AJ55" i="2"/>
  <c r="AJ57" i="2"/>
  <c r="AJ58" i="2"/>
  <c r="AJ60" i="2"/>
  <c r="AJ61" i="2"/>
  <c r="AJ63" i="2"/>
  <c r="AJ64" i="2"/>
  <c r="AJ66" i="2"/>
  <c r="AJ67" i="2"/>
  <c r="AJ69" i="2"/>
  <c r="AJ70" i="2"/>
  <c r="AJ72" i="2"/>
  <c r="AJ73" i="2"/>
  <c r="AJ75" i="2"/>
  <c r="AJ76" i="2"/>
  <c r="AJ78" i="2"/>
  <c r="AJ79" i="2"/>
  <c r="AJ81" i="2"/>
  <c r="AJ82" i="2"/>
  <c r="AJ83" i="2"/>
  <c r="AJ84" i="2"/>
  <c r="AJ85" i="2"/>
  <c r="AJ87" i="2"/>
  <c r="AJ88" i="2"/>
  <c r="AJ90" i="2"/>
  <c r="AJ91" i="2"/>
  <c r="AJ93" i="2"/>
  <c r="AJ94" i="2"/>
  <c r="AJ96" i="2"/>
  <c r="AJ97" i="2"/>
  <c r="AJ99" i="2"/>
  <c r="AJ100" i="2"/>
  <c r="AJ102" i="2"/>
  <c r="AJ103" i="2"/>
  <c r="AJ105" i="2"/>
  <c r="AJ106" i="2"/>
  <c r="AJ108" i="2"/>
  <c r="AJ109" i="2"/>
  <c r="AJ111" i="2"/>
  <c r="AJ112" i="2"/>
  <c r="AJ114" i="2"/>
  <c r="AJ115" i="2"/>
  <c r="AJ117" i="2"/>
  <c r="AJ118" i="2"/>
  <c r="AJ120" i="2"/>
  <c r="AJ121" i="2"/>
  <c r="AJ123" i="2"/>
  <c r="AJ124" i="2"/>
  <c r="AJ126" i="2"/>
  <c r="AJ127" i="2"/>
  <c r="AJ129" i="2"/>
  <c r="AJ130" i="2"/>
  <c r="AJ132" i="2"/>
  <c r="AJ133" i="2"/>
  <c r="AJ135" i="2"/>
  <c r="AJ136" i="2"/>
  <c r="AJ138" i="2"/>
  <c r="AJ139" i="2"/>
  <c r="AJ141" i="2"/>
  <c r="AJ142" i="2"/>
  <c r="AJ144" i="2"/>
  <c r="AJ145" i="2"/>
  <c r="AJ147" i="2"/>
  <c r="AJ148" i="2"/>
  <c r="AJ150" i="2"/>
  <c r="AJ151" i="2"/>
  <c r="AJ153" i="2"/>
  <c r="AJ154" i="2"/>
  <c r="AJ156" i="2"/>
  <c r="AJ157" i="2"/>
  <c r="AJ159" i="2"/>
  <c r="AJ160" i="2"/>
  <c r="AJ162" i="2"/>
  <c r="AJ163" i="2"/>
  <c r="AJ165" i="2"/>
  <c r="AJ166" i="2"/>
  <c r="AJ168" i="2"/>
  <c r="AJ169" i="2"/>
  <c r="AJ171" i="2"/>
  <c r="AJ172" i="2"/>
  <c r="AJ174" i="2"/>
  <c r="AJ175" i="2"/>
  <c r="AJ177" i="2"/>
  <c r="AJ178" i="2"/>
  <c r="AJ180" i="2"/>
  <c r="AJ181" i="2"/>
  <c r="AJ183" i="2"/>
  <c r="AJ184" i="2"/>
  <c r="AJ186" i="2"/>
  <c r="AJ187" i="2"/>
  <c r="AJ189" i="2"/>
  <c r="AJ190" i="2"/>
  <c r="AJ192" i="2"/>
  <c r="AJ193" i="2"/>
  <c r="AJ195" i="2"/>
  <c r="AJ196" i="2"/>
  <c r="AJ198" i="2"/>
  <c r="AJ199" i="2"/>
  <c r="AJ201" i="2"/>
  <c r="AJ202" i="2"/>
  <c r="AJ204" i="2"/>
  <c r="AJ205" i="2"/>
  <c r="AJ207" i="2"/>
  <c r="AJ208" i="2"/>
  <c r="AJ210" i="2"/>
  <c r="AJ211" i="2"/>
  <c r="AJ213" i="2"/>
  <c r="AJ214" i="2"/>
  <c r="AJ216" i="2"/>
  <c r="AJ217" i="2"/>
  <c r="AJ219" i="2"/>
  <c r="AJ220" i="2"/>
  <c r="AJ222" i="2"/>
  <c r="AJ223" i="2"/>
  <c r="AJ225" i="2"/>
  <c r="AJ226" i="2"/>
  <c r="AJ228" i="2"/>
  <c r="AJ229" i="2"/>
  <c r="AJ231" i="2"/>
  <c r="AJ232" i="2"/>
  <c r="AJ234" i="2"/>
  <c r="AJ235" i="2"/>
  <c r="AJ237" i="2"/>
  <c r="AJ238" i="2"/>
  <c r="AJ240" i="2"/>
  <c r="AJ241" i="2"/>
  <c r="AJ243" i="2"/>
  <c r="AJ244" i="2"/>
  <c r="AJ246" i="2"/>
  <c r="AJ247" i="2"/>
  <c r="AJ249" i="2"/>
  <c r="AJ250" i="2"/>
  <c r="AJ252" i="2"/>
  <c r="AJ253" i="2"/>
  <c r="AJ255" i="2"/>
  <c r="AJ256" i="2"/>
  <c r="AJ258" i="2"/>
  <c r="AJ259" i="2"/>
  <c r="AJ261" i="2"/>
  <c r="AJ262" i="2"/>
  <c r="AJ267" i="2"/>
  <c r="AJ268" i="2"/>
  <c r="AJ270" i="2"/>
  <c r="AJ271" i="2"/>
  <c r="AJ273" i="2"/>
  <c r="AJ274" i="2"/>
  <c r="AJ276" i="2"/>
  <c r="AJ277" i="2"/>
  <c r="AJ279" i="2"/>
  <c r="AJ280" i="2"/>
  <c r="AJ282" i="2"/>
  <c r="AJ283" i="2"/>
  <c r="AJ285" i="2"/>
  <c r="AJ286" i="2"/>
  <c r="AJ288" i="2"/>
  <c r="AJ289" i="2"/>
  <c r="AJ291" i="2"/>
  <c r="AJ292" i="2"/>
  <c r="AJ294" i="2"/>
  <c r="AJ295" i="2"/>
  <c r="AJ297" i="2"/>
  <c r="AJ298" i="2"/>
  <c r="AJ300" i="2"/>
  <c r="AJ301" i="2"/>
  <c r="AJ303" i="2"/>
  <c r="AJ304" i="2"/>
  <c r="AJ306" i="2"/>
  <c r="AJ307" i="2"/>
  <c r="AJ309" i="2"/>
  <c r="AJ310" i="2"/>
  <c r="AJ312" i="2"/>
  <c r="AJ313" i="2"/>
  <c r="AJ315" i="2"/>
  <c r="AJ316" i="2"/>
  <c r="AJ318" i="2"/>
  <c r="AJ319" i="2"/>
  <c r="AJ321" i="2"/>
  <c r="AJ322" i="2"/>
  <c r="AJ324" i="2"/>
  <c r="AJ325" i="2"/>
  <c r="AJ327" i="2"/>
  <c r="AJ328" i="2"/>
  <c r="AJ330" i="2"/>
  <c r="AJ331" i="2"/>
  <c r="AJ333" i="2"/>
  <c r="AJ334" i="2"/>
  <c r="AJ336" i="2"/>
  <c r="AJ337" i="2"/>
  <c r="AJ339" i="2"/>
  <c r="AJ340" i="2"/>
  <c r="AJ342" i="2"/>
  <c r="AJ343" i="2"/>
  <c r="AJ345" i="2"/>
  <c r="AJ346" i="2"/>
  <c r="AJ348" i="2"/>
  <c r="AJ349" i="2"/>
  <c r="AJ351" i="2"/>
  <c r="AJ352" i="2"/>
  <c r="AJ354" i="2"/>
  <c r="AJ355" i="2"/>
  <c r="AJ357" i="2"/>
  <c r="AJ358" i="2"/>
  <c r="AJ360" i="2"/>
  <c r="AJ361" i="2"/>
  <c r="AJ363" i="2"/>
  <c r="AJ364" i="2"/>
  <c r="AJ366" i="2"/>
  <c r="AJ367" i="2"/>
  <c r="AJ369" i="2"/>
  <c r="AJ370" i="2"/>
  <c r="AJ372" i="2"/>
  <c r="AJ373"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G373" i="5"/>
  <c r="AF373" i="5"/>
  <c r="AE373" i="5"/>
  <c r="AG372" i="5"/>
  <c r="AF372" i="5"/>
  <c r="AE372" i="5"/>
  <c r="AG371" i="5"/>
  <c r="AE371" i="5"/>
  <c r="U371" i="5"/>
  <c r="AF371" i="5" s="1"/>
  <c r="AG370" i="5"/>
  <c r="AF370" i="5"/>
  <c r="AE370" i="5"/>
  <c r="AG369" i="5"/>
  <c r="AF369" i="5"/>
  <c r="AE369" i="5"/>
  <c r="AG368" i="5"/>
  <c r="AF368" i="5"/>
  <c r="AE368" i="5"/>
  <c r="U368" i="5"/>
  <c r="AG367" i="5"/>
  <c r="AF367" i="5"/>
  <c r="AE367" i="5"/>
  <c r="AG366" i="5"/>
  <c r="AF366" i="5"/>
  <c r="AE366" i="5"/>
  <c r="AG365" i="5"/>
  <c r="AE365" i="5"/>
  <c r="U365" i="5"/>
  <c r="AF365" i="5" s="1"/>
  <c r="AG364" i="5"/>
  <c r="AF364" i="5"/>
  <c r="AE364" i="5"/>
  <c r="AG363" i="5"/>
  <c r="AF363" i="5"/>
  <c r="AE363" i="5"/>
  <c r="AG362" i="5"/>
  <c r="AE362" i="5"/>
  <c r="U362" i="5"/>
  <c r="AF362" i="5" s="1"/>
  <c r="AG361" i="5"/>
  <c r="AF361" i="5"/>
  <c r="AE361" i="5"/>
  <c r="AG360" i="5"/>
  <c r="AF360" i="5"/>
  <c r="AE360" i="5"/>
  <c r="AG359" i="5"/>
  <c r="AF359" i="5"/>
  <c r="AE359" i="5"/>
  <c r="U359" i="5"/>
  <c r="AG358" i="5"/>
  <c r="AF358" i="5"/>
  <c r="AE358" i="5"/>
  <c r="AG357" i="5"/>
  <c r="AF357" i="5"/>
  <c r="AE357" i="5"/>
  <c r="AG356" i="5"/>
  <c r="AE356" i="5"/>
  <c r="U356" i="5"/>
  <c r="AF356" i="5" s="1"/>
  <c r="AG355" i="5"/>
  <c r="AF355" i="5"/>
  <c r="AE355" i="5"/>
  <c r="AG354" i="5"/>
  <c r="AF354" i="5"/>
  <c r="AE354" i="5"/>
  <c r="AG353" i="5"/>
  <c r="AE353" i="5"/>
  <c r="U353" i="5"/>
  <c r="AF353" i="5" s="1"/>
  <c r="AG352" i="5"/>
  <c r="AF352" i="5"/>
  <c r="AE352" i="5"/>
  <c r="AG351" i="5"/>
  <c r="AF351" i="5"/>
  <c r="AE351" i="5"/>
  <c r="AG350" i="5"/>
  <c r="AE350" i="5"/>
  <c r="U350" i="5"/>
  <c r="AF350" i="5" s="1"/>
  <c r="AG349" i="5"/>
  <c r="AF349" i="5"/>
  <c r="AE349" i="5"/>
  <c r="AG348" i="5"/>
  <c r="AF348" i="5"/>
  <c r="AE348" i="5"/>
  <c r="AG347" i="5"/>
  <c r="AE347" i="5"/>
  <c r="U347" i="5"/>
  <c r="AF347" i="5" s="1"/>
  <c r="AG346" i="5"/>
  <c r="AF346" i="5"/>
  <c r="AE346" i="5"/>
  <c r="AG345" i="5"/>
  <c r="AF345" i="5"/>
  <c r="AE345" i="5"/>
  <c r="AG344" i="5"/>
  <c r="AE344" i="5"/>
  <c r="U344" i="5"/>
  <c r="AF344" i="5" s="1"/>
  <c r="AG343" i="5"/>
  <c r="AF343" i="5"/>
  <c r="AE343" i="5"/>
  <c r="AG342" i="5"/>
  <c r="AF342" i="5"/>
  <c r="AE342" i="5"/>
  <c r="AG341" i="5"/>
  <c r="AE341" i="5"/>
  <c r="U341" i="5"/>
  <c r="AF341" i="5" s="1"/>
  <c r="AG340" i="5"/>
  <c r="AF340" i="5"/>
  <c r="AE340" i="5"/>
  <c r="AG339" i="5"/>
  <c r="AF339" i="5"/>
  <c r="AE339" i="5"/>
  <c r="AG338" i="5"/>
  <c r="AE338" i="5"/>
  <c r="U338" i="5"/>
  <c r="AF338" i="5" s="1"/>
  <c r="AG337" i="5"/>
  <c r="AF337" i="5"/>
  <c r="AE337" i="5"/>
  <c r="AG336" i="5"/>
  <c r="AF336" i="5"/>
  <c r="AE336" i="5"/>
  <c r="AG335" i="5"/>
  <c r="AE335" i="5"/>
  <c r="U335" i="5"/>
  <c r="AF335" i="5" s="1"/>
  <c r="AG334" i="5"/>
  <c r="AF334" i="5"/>
  <c r="AE334" i="5"/>
  <c r="AG333" i="5"/>
  <c r="AF333" i="5"/>
  <c r="AE333" i="5"/>
  <c r="AG332" i="5"/>
  <c r="AE332" i="5"/>
  <c r="U332" i="5"/>
  <c r="AF332" i="5" s="1"/>
  <c r="AG331" i="5"/>
  <c r="AF331" i="5"/>
  <c r="AE331" i="5"/>
  <c r="AG330" i="5"/>
  <c r="AF330" i="5"/>
  <c r="AE330" i="5"/>
  <c r="AG329" i="5"/>
  <c r="AF329" i="5"/>
  <c r="AE329" i="5"/>
  <c r="U329" i="5"/>
  <c r="AG328" i="5"/>
  <c r="AF328" i="5"/>
  <c r="AE328" i="5"/>
  <c r="AG327" i="5"/>
  <c r="AF327" i="5"/>
  <c r="AE327" i="5"/>
  <c r="AG326" i="5"/>
  <c r="AF326" i="5"/>
  <c r="AE326" i="5"/>
  <c r="U326" i="5"/>
  <c r="AG325" i="5"/>
  <c r="AF325" i="5"/>
  <c r="AE325" i="5"/>
  <c r="AG324" i="5"/>
  <c r="AF324" i="5"/>
  <c r="AE324" i="5"/>
  <c r="AG323" i="5"/>
  <c r="AE323" i="5"/>
  <c r="U323" i="5"/>
  <c r="AF323" i="5" s="1"/>
  <c r="AG322" i="5"/>
  <c r="AF322" i="5"/>
  <c r="AE322" i="5"/>
  <c r="AG321" i="5"/>
  <c r="AF321" i="5"/>
  <c r="AE321" i="5"/>
  <c r="AG320" i="5"/>
  <c r="AF320" i="5"/>
  <c r="AE320" i="5"/>
  <c r="U320" i="5"/>
  <c r="AG319" i="5"/>
  <c r="AF319" i="5"/>
  <c r="AE319" i="5"/>
  <c r="AG318" i="5"/>
  <c r="AF318" i="5"/>
  <c r="AE318" i="5"/>
  <c r="AG317" i="5"/>
  <c r="AE317" i="5"/>
  <c r="U317" i="5"/>
  <c r="AF317" i="5" s="1"/>
  <c r="AG316" i="5"/>
  <c r="AF316" i="5"/>
  <c r="AE316" i="5"/>
  <c r="AG315" i="5"/>
  <c r="AF315" i="5"/>
  <c r="AE315" i="5"/>
  <c r="AG314" i="5"/>
  <c r="AE314" i="5"/>
  <c r="U314" i="5"/>
  <c r="AF314" i="5" s="1"/>
  <c r="AG313" i="5"/>
  <c r="AF313" i="5"/>
  <c r="AE313" i="5"/>
  <c r="AG312" i="5"/>
  <c r="AF312" i="5"/>
  <c r="AE312" i="5"/>
  <c r="AG311" i="5"/>
  <c r="AF311" i="5"/>
  <c r="AE311" i="5"/>
  <c r="U311" i="5"/>
  <c r="AG310" i="5"/>
  <c r="AF310" i="5"/>
  <c r="AE310" i="5"/>
  <c r="AG309" i="5"/>
  <c r="AF309" i="5"/>
  <c r="AE309" i="5"/>
  <c r="AG308" i="5"/>
  <c r="AF308" i="5"/>
  <c r="AE308" i="5"/>
  <c r="U308" i="5"/>
  <c r="AG307" i="5"/>
  <c r="AF307" i="5"/>
  <c r="AE307" i="5"/>
  <c r="AG306" i="5"/>
  <c r="AF306" i="5"/>
  <c r="AE306" i="5"/>
  <c r="AG305" i="5"/>
  <c r="AE305" i="5"/>
  <c r="U305" i="5"/>
  <c r="AF305" i="5" s="1"/>
  <c r="AG304" i="5"/>
  <c r="AF304" i="5"/>
  <c r="AE304" i="5"/>
  <c r="AG303" i="5"/>
  <c r="AF303" i="5"/>
  <c r="AE303" i="5"/>
  <c r="AG302" i="5"/>
  <c r="AF302" i="5"/>
  <c r="AE302" i="5"/>
  <c r="U302" i="5"/>
  <c r="AG301" i="5"/>
  <c r="AF301" i="5"/>
  <c r="AE301" i="5"/>
  <c r="AG300" i="5"/>
  <c r="AF300" i="5"/>
  <c r="AE300" i="5"/>
  <c r="AG299" i="5"/>
  <c r="AE299" i="5"/>
  <c r="U299" i="5"/>
  <c r="AF299" i="5" s="1"/>
  <c r="AG298" i="5"/>
  <c r="AF298" i="5"/>
  <c r="AE298" i="5"/>
  <c r="AG297" i="5"/>
  <c r="AF297" i="5"/>
  <c r="AE297" i="5"/>
  <c r="AG296" i="5"/>
  <c r="AE296" i="5"/>
  <c r="U296" i="5"/>
  <c r="AF296" i="5" s="1"/>
  <c r="AG295" i="5"/>
  <c r="AF295" i="5"/>
  <c r="AE295" i="5"/>
  <c r="AG294" i="5"/>
  <c r="AF294" i="5"/>
  <c r="AE294" i="5"/>
  <c r="AG293" i="5"/>
  <c r="AF293" i="5"/>
  <c r="AE293" i="5"/>
  <c r="U293" i="5"/>
  <c r="AG292" i="5"/>
  <c r="AF292" i="5"/>
  <c r="AE292" i="5"/>
  <c r="AG291" i="5"/>
  <c r="AF291" i="5"/>
  <c r="AE291" i="5"/>
  <c r="AG290" i="5"/>
  <c r="AF290" i="5"/>
  <c r="AE290" i="5"/>
  <c r="U290" i="5"/>
  <c r="AG289" i="5"/>
  <c r="AF289" i="5"/>
  <c r="AE289" i="5"/>
  <c r="AG288" i="5"/>
  <c r="AF288" i="5"/>
  <c r="AE288" i="5"/>
  <c r="AG287" i="5"/>
  <c r="AE287" i="5"/>
  <c r="U287" i="5"/>
  <c r="AF287" i="5" s="1"/>
  <c r="AG286" i="5"/>
  <c r="AF286" i="5"/>
  <c r="AE286" i="5"/>
  <c r="AG285" i="5"/>
  <c r="AF285" i="5"/>
  <c r="AE285" i="5"/>
  <c r="AG284" i="5"/>
  <c r="AF284" i="5"/>
  <c r="AE284" i="5"/>
  <c r="U284" i="5"/>
  <c r="AG283" i="5"/>
  <c r="AF283" i="5"/>
  <c r="AE283" i="5"/>
  <c r="AG282" i="5"/>
  <c r="AF282" i="5"/>
  <c r="AE282" i="5"/>
  <c r="AG281" i="5"/>
  <c r="AE281" i="5"/>
  <c r="U281" i="5"/>
  <c r="AF281" i="5" s="1"/>
  <c r="AG280" i="5"/>
  <c r="AF280" i="5"/>
  <c r="AE280" i="5"/>
  <c r="AG279" i="5"/>
  <c r="AF279" i="5"/>
  <c r="AE279" i="5"/>
  <c r="AG278" i="5"/>
  <c r="AE278" i="5"/>
  <c r="U278" i="5"/>
  <c r="AF278" i="5" s="1"/>
  <c r="AG277" i="5"/>
  <c r="AF277" i="5"/>
  <c r="AE277" i="5"/>
  <c r="AG276" i="5"/>
  <c r="AF276" i="5"/>
  <c r="AE276" i="5"/>
  <c r="AG275" i="5"/>
  <c r="AF275" i="5"/>
  <c r="AE275" i="5"/>
  <c r="U275" i="5"/>
  <c r="AG274" i="5"/>
  <c r="AF274" i="5"/>
  <c r="AE274" i="5"/>
  <c r="AG273" i="5"/>
  <c r="AF273" i="5"/>
  <c r="AE273" i="5"/>
  <c r="AG272" i="5"/>
  <c r="AF272" i="5"/>
  <c r="AE272" i="5"/>
  <c r="U272" i="5"/>
  <c r="AG271" i="5"/>
  <c r="AF271" i="5"/>
  <c r="AE271" i="5"/>
  <c r="AG270" i="5"/>
  <c r="AF270" i="5"/>
  <c r="AE270" i="5"/>
  <c r="AG269" i="5"/>
  <c r="AE269" i="5"/>
  <c r="U269" i="5"/>
  <c r="AF269" i="5" s="1"/>
  <c r="AG268" i="5"/>
  <c r="AF268" i="5"/>
  <c r="AE268" i="5"/>
  <c r="AG267" i="5"/>
  <c r="AF267" i="5"/>
  <c r="AE267" i="5"/>
  <c r="AG266" i="5"/>
  <c r="AF266" i="5"/>
  <c r="AE266" i="5"/>
  <c r="U266" i="5"/>
  <c r="AG265" i="5"/>
  <c r="AF265" i="5"/>
  <c r="AE265" i="5"/>
  <c r="U265" i="5"/>
  <c r="AG264" i="5"/>
  <c r="AE264" i="5"/>
  <c r="U264" i="5"/>
  <c r="AF264" i="5" s="1"/>
  <c r="AG263" i="5"/>
  <c r="AF263" i="5"/>
  <c r="AE263" i="5"/>
  <c r="U263" i="5"/>
  <c r="AG262" i="5"/>
  <c r="AF262" i="5"/>
  <c r="AE262" i="5"/>
  <c r="AG261" i="5"/>
  <c r="AF261" i="5"/>
  <c r="AE261" i="5"/>
  <c r="AG260" i="5"/>
  <c r="AE260" i="5"/>
  <c r="U260" i="5"/>
  <c r="AF260" i="5" s="1"/>
  <c r="AG259" i="5"/>
  <c r="AF259" i="5"/>
  <c r="AE259" i="5"/>
  <c r="AG258" i="5"/>
  <c r="AF258" i="5"/>
  <c r="AE258" i="5"/>
  <c r="AG257" i="5"/>
  <c r="AE257" i="5"/>
  <c r="U257" i="5"/>
  <c r="AF257" i="5" s="1"/>
  <c r="AG256" i="5"/>
  <c r="AF256" i="5"/>
  <c r="AE256" i="5"/>
  <c r="AG255" i="5"/>
  <c r="AF255" i="5"/>
  <c r="AE255" i="5"/>
  <c r="AG254" i="5"/>
  <c r="AF254" i="5"/>
  <c r="AE254" i="5"/>
  <c r="U254" i="5"/>
  <c r="AG253" i="5"/>
  <c r="AF253" i="5"/>
  <c r="AE253" i="5"/>
  <c r="AG252" i="5"/>
  <c r="AF252" i="5"/>
  <c r="AE252" i="5"/>
  <c r="AG251" i="5"/>
  <c r="AF251" i="5"/>
  <c r="AE251" i="5"/>
  <c r="U251" i="5"/>
  <c r="AG250" i="5"/>
  <c r="AF250" i="5"/>
  <c r="AE250" i="5"/>
  <c r="AG249" i="5"/>
  <c r="AF249" i="5"/>
  <c r="AE249" i="5"/>
  <c r="AG248" i="5"/>
  <c r="AE248" i="5"/>
  <c r="U248" i="5"/>
  <c r="AF248" i="5" s="1"/>
  <c r="AG247" i="5"/>
  <c r="AF247" i="5"/>
  <c r="AE247" i="5"/>
  <c r="AG246" i="5"/>
  <c r="AF246" i="5"/>
  <c r="AE246" i="5"/>
  <c r="AG245" i="5"/>
  <c r="AF245" i="5"/>
  <c r="AE245" i="5"/>
  <c r="U245" i="5"/>
  <c r="AG244" i="5"/>
  <c r="AF244" i="5"/>
  <c r="AE244" i="5"/>
  <c r="AG243" i="5"/>
  <c r="AF243" i="5"/>
  <c r="AE243" i="5"/>
  <c r="AG242" i="5"/>
  <c r="AE242" i="5"/>
  <c r="U242" i="5"/>
  <c r="AF242" i="5" s="1"/>
  <c r="AG241" i="5"/>
  <c r="AF241" i="5"/>
  <c r="AE241" i="5"/>
  <c r="AG240" i="5"/>
  <c r="AF240" i="5"/>
  <c r="AE240" i="5"/>
  <c r="AG239" i="5"/>
  <c r="AE239" i="5"/>
  <c r="U239" i="5"/>
  <c r="AF239" i="5" s="1"/>
  <c r="AG238" i="5"/>
  <c r="AF238" i="5"/>
  <c r="AE238" i="5"/>
  <c r="AG237" i="5"/>
  <c r="AF237" i="5"/>
  <c r="AE237" i="5"/>
  <c r="AG236" i="5"/>
  <c r="AF236" i="5"/>
  <c r="AE236" i="5"/>
  <c r="U236" i="5"/>
  <c r="AG235" i="5"/>
  <c r="AF235" i="5"/>
  <c r="AE235" i="5"/>
  <c r="AG234" i="5"/>
  <c r="AF234" i="5"/>
  <c r="AE234" i="5"/>
  <c r="AG233" i="5"/>
  <c r="AF233" i="5"/>
  <c r="AE233" i="5"/>
  <c r="U233" i="5"/>
  <c r="AG232" i="5"/>
  <c r="AF232" i="5"/>
  <c r="AE232" i="5"/>
  <c r="AG231" i="5"/>
  <c r="AF231" i="5"/>
  <c r="AE231" i="5"/>
  <c r="AG230" i="5"/>
  <c r="AE230" i="5"/>
  <c r="U230" i="5"/>
  <c r="AF230" i="5" s="1"/>
  <c r="AG229" i="5"/>
  <c r="AF229" i="5"/>
  <c r="AE229" i="5"/>
  <c r="AG228" i="5"/>
  <c r="AF228" i="5"/>
  <c r="AE228" i="5"/>
  <c r="AG227" i="5"/>
  <c r="AF227" i="5"/>
  <c r="AE227" i="5"/>
  <c r="U227" i="5"/>
  <c r="AG226" i="5"/>
  <c r="AF226" i="5"/>
  <c r="AE226" i="5"/>
  <c r="AG225" i="5"/>
  <c r="AF225" i="5"/>
  <c r="AE225" i="5"/>
  <c r="AG224" i="5"/>
  <c r="AE224" i="5"/>
  <c r="U224" i="5"/>
  <c r="AF224" i="5" s="1"/>
  <c r="AG223" i="5"/>
  <c r="AF223" i="5"/>
  <c r="AE223" i="5"/>
  <c r="AG222" i="5"/>
  <c r="AF222" i="5"/>
  <c r="AE222" i="5"/>
  <c r="AG221" i="5"/>
  <c r="AE221" i="5"/>
  <c r="U221" i="5"/>
  <c r="AF221" i="5" s="1"/>
  <c r="AG220" i="5"/>
  <c r="AF220" i="5"/>
  <c r="AE220" i="5"/>
  <c r="AG219" i="5"/>
  <c r="AF219" i="5"/>
  <c r="AE219" i="5"/>
  <c r="AG218" i="5"/>
  <c r="AF218" i="5"/>
  <c r="AE218" i="5"/>
  <c r="U218" i="5"/>
  <c r="AG217" i="5"/>
  <c r="AF217" i="5"/>
  <c r="AE217" i="5"/>
  <c r="AG216" i="5"/>
  <c r="AF216" i="5"/>
  <c r="AE216" i="5"/>
  <c r="AG215" i="5"/>
  <c r="AF215" i="5"/>
  <c r="AE215" i="5"/>
  <c r="U215" i="5"/>
  <c r="AG214" i="5"/>
  <c r="AF214" i="5"/>
  <c r="AE214" i="5"/>
  <c r="AG213" i="5"/>
  <c r="AF213" i="5"/>
  <c r="AE213" i="5"/>
  <c r="AG212" i="5"/>
  <c r="AE212" i="5"/>
  <c r="U212" i="5"/>
  <c r="AF212" i="5" s="1"/>
  <c r="AG211" i="5"/>
  <c r="AF211" i="5"/>
  <c r="AE211" i="5"/>
  <c r="AG210" i="5"/>
  <c r="AF210" i="5"/>
  <c r="AE210" i="5"/>
  <c r="AG209" i="5"/>
  <c r="AF209" i="5"/>
  <c r="AE209" i="5"/>
  <c r="U209" i="5"/>
  <c r="AG208" i="5"/>
  <c r="AF208" i="5"/>
  <c r="AE208" i="5"/>
  <c r="AG207" i="5"/>
  <c r="AF207" i="5"/>
  <c r="AE207" i="5"/>
  <c r="AG206" i="5"/>
  <c r="AE206" i="5"/>
  <c r="U206" i="5"/>
  <c r="AF206" i="5" s="1"/>
  <c r="AG205" i="5"/>
  <c r="AF205" i="5"/>
  <c r="AE205" i="5"/>
  <c r="AG204" i="5"/>
  <c r="AF204" i="5"/>
  <c r="AE204" i="5"/>
  <c r="AG203" i="5"/>
  <c r="AE203" i="5"/>
  <c r="U203" i="5"/>
  <c r="AF203" i="5" s="1"/>
  <c r="AG202" i="5"/>
  <c r="AF202" i="5"/>
  <c r="AE202" i="5"/>
  <c r="AG201" i="5"/>
  <c r="AF201" i="5"/>
  <c r="AE201" i="5"/>
  <c r="AG200" i="5"/>
  <c r="AF200" i="5"/>
  <c r="AE200" i="5"/>
  <c r="U200" i="5"/>
  <c r="AG199" i="5"/>
  <c r="AF199" i="5"/>
  <c r="AE199" i="5"/>
  <c r="AG198" i="5"/>
  <c r="AF198" i="5"/>
  <c r="AE198" i="5"/>
  <c r="AG197" i="5"/>
  <c r="AF197" i="5"/>
  <c r="AE197" i="5"/>
  <c r="U197" i="5"/>
  <c r="AG196" i="5"/>
  <c r="AF196" i="5"/>
  <c r="AE196" i="5"/>
  <c r="AG195" i="5"/>
  <c r="AF195" i="5"/>
  <c r="AE195" i="5"/>
  <c r="AG194" i="5"/>
  <c r="AE194" i="5"/>
  <c r="U194" i="5"/>
  <c r="AF194" i="5" s="1"/>
  <c r="AG193" i="5"/>
  <c r="AF193" i="5"/>
  <c r="AE193" i="5"/>
  <c r="AG192" i="5"/>
  <c r="AF192" i="5"/>
  <c r="AE192" i="5"/>
  <c r="AG191" i="5"/>
  <c r="AF191" i="5"/>
  <c r="AE191" i="5"/>
  <c r="U191" i="5"/>
  <c r="AG190" i="5"/>
  <c r="AF190" i="5"/>
  <c r="AE190" i="5"/>
  <c r="AG189" i="5"/>
  <c r="AF189" i="5"/>
  <c r="AE189" i="5"/>
  <c r="AG188" i="5"/>
  <c r="AE188" i="5"/>
  <c r="U188" i="5"/>
  <c r="AF188" i="5" s="1"/>
  <c r="AG187" i="5"/>
  <c r="AF187" i="5"/>
  <c r="AE187" i="5"/>
  <c r="AG186" i="5"/>
  <c r="AF186" i="5"/>
  <c r="AE186" i="5"/>
  <c r="AG185" i="5"/>
  <c r="AE185" i="5"/>
  <c r="U185" i="5"/>
  <c r="AF185" i="5" s="1"/>
  <c r="AG184" i="5"/>
  <c r="AF184" i="5"/>
  <c r="AE184" i="5"/>
  <c r="AG183" i="5"/>
  <c r="AF183" i="5"/>
  <c r="AE183" i="5"/>
  <c r="AG182" i="5"/>
  <c r="AF182" i="5"/>
  <c r="AE182" i="5"/>
  <c r="U182" i="5"/>
  <c r="AG181" i="5"/>
  <c r="AF181" i="5"/>
  <c r="AE181" i="5"/>
  <c r="AG180" i="5"/>
  <c r="AF180" i="5"/>
  <c r="AE180" i="5"/>
  <c r="AG179" i="5"/>
  <c r="AF179" i="5"/>
  <c r="AE179" i="5"/>
  <c r="U179" i="5"/>
  <c r="AG178" i="5"/>
  <c r="AF178" i="5"/>
  <c r="AE178" i="5"/>
  <c r="AG177" i="5"/>
  <c r="AF177" i="5"/>
  <c r="AE177" i="5"/>
  <c r="AG176" i="5"/>
  <c r="AE176" i="5"/>
  <c r="U176" i="5"/>
  <c r="AF176" i="5" s="1"/>
  <c r="AG175" i="5"/>
  <c r="AF175" i="5"/>
  <c r="AE175" i="5"/>
  <c r="AG174" i="5"/>
  <c r="AF174" i="5"/>
  <c r="AE174" i="5"/>
  <c r="AG173" i="5"/>
  <c r="AF173" i="5"/>
  <c r="AE173" i="5"/>
  <c r="U173" i="5"/>
  <c r="AG172" i="5"/>
  <c r="AF172" i="5"/>
  <c r="AE172" i="5"/>
  <c r="AG171" i="5"/>
  <c r="AF171" i="5"/>
  <c r="AE171" i="5"/>
  <c r="AG170" i="5"/>
  <c r="AE170" i="5"/>
  <c r="U170" i="5"/>
  <c r="AF170" i="5" s="1"/>
  <c r="AG169" i="5"/>
  <c r="AF169" i="5"/>
  <c r="AE169" i="5"/>
  <c r="AG168" i="5"/>
  <c r="AF168" i="5"/>
  <c r="AE168" i="5"/>
  <c r="AG167" i="5"/>
  <c r="AE167" i="5"/>
  <c r="U167" i="5"/>
  <c r="AF167" i="5" s="1"/>
  <c r="AG166" i="5"/>
  <c r="AF166" i="5"/>
  <c r="AE166" i="5"/>
  <c r="AG165" i="5"/>
  <c r="AF165" i="5"/>
  <c r="AE165" i="5"/>
  <c r="AG164" i="5"/>
  <c r="AF164" i="5"/>
  <c r="AE164" i="5"/>
  <c r="U164" i="5"/>
  <c r="AG163" i="5"/>
  <c r="AF163" i="5"/>
  <c r="AE163" i="5"/>
  <c r="AG162" i="5"/>
  <c r="AF162" i="5"/>
  <c r="AE162" i="5"/>
  <c r="AG161" i="5"/>
  <c r="AF161" i="5"/>
  <c r="AE161" i="5"/>
  <c r="U161" i="5"/>
  <c r="AG160" i="5"/>
  <c r="AF160" i="5"/>
  <c r="AE160" i="5"/>
  <c r="AG159" i="5"/>
  <c r="AF159" i="5"/>
  <c r="AE159" i="5"/>
  <c r="AG158" i="5"/>
  <c r="AE158" i="5"/>
  <c r="U158" i="5"/>
  <c r="AF158" i="5" s="1"/>
  <c r="AG157" i="5"/>
  <c r="AF157" i="5"/>
  <c r="AE157" i="5"/>
  <c r="AG156" i="5"/>
  <c r="AF156" i="5"/>
  <c r="AE156" i="5"/>
  <c r="AG155" i="5"/>
  <c r="AF155" i="5"/>
  <c r="AE155" i="5"/>
  <c r="U155" i="5"/>
  <c r="AG154" i="5"/>
  <c r="AF154" i="5"/>
  <c r="AE154" i="5"/>
  <c r="AG153" i="5"/>
  <c r="AF153" i="5"/>
  <c r="AE153" i="5"/>
  <c r="AG152" i="5"/>
  <c r="AE152" i="5"/>
  <c r="U152" i="5"/>
  <c r="AF152" i="5" s="1"/>
  <c r="AG151" i="5"/>
  <c r="AF151" i="5"/>
  <c r="AE151" i="5"/>
  <c r="AG150" i="5"/>
  <c r="AF150" i="5"/>
  <c r="AE150" i="5"/>
  <c r="AG149" i="5"/>
  <c r="AE149" i="5"/>
  <c r="U149" i="5"/>
  <c r="AF149" i="5" s="1"/>
  <c r="AG148" i="5"/>
  <c r="AF148" i="5"/>
  <c r="AE148" i="5"/>
  <c r="AG147" i="5"/>
  <c r="AF147" i="5"/>
  <c r="AE147" i="5"/>
  <c r="AG146" i="5"/>
  <c r="AF146" i="5"/>
  <c r="AE146" i="5"/>
  <c r="U146" i="5"/>
  <c r="AG145" i="5"/>
  <c r="AF145" i="5"/>
  <c r="AE145" i="5"/>
  <c r="AG144" i="5"/>
  <c r="AF144" i="5"/>
  <c r="AE144" i="5"/>
  <c r="AG143" i="5"/>
  <c r="AF143" i="5"/>
  <c r="AE143" i="5"/>
  <c r="U143" i="5"/>
  <c r="AG142" i="5"/>
  <c r="AF142" i="5"/>
  <c r="AE142" i="5"/>
  <c r="AG141" i="5"/>
  <c r="AF141" i="5"/>
  <c r="AE141" i="5"/>
  <c r="AG140" i="5"/>
  <c r="AE140" i="5"/>
  <c r="U140" i="5"/>
  <c r="AF140" i="5" s="1"/>
  <c r="AG139" i="5"/>
  <c r="AF139" i="5"/>
  <c r="AE139" i="5"/>
  <c r="AG138" i="5"/>
  <c r="AF138" i="5"/>
  <c r="AE138" i="5"/>
  <c r="AG137" i="5"/>
  <c r="AF137" i="5"/>
  <c r="AE137" i="5"/>
  <c r="U137" i="5"/>
  <c r="AG136" i="5"/>
  <c r="AF136" i="5"/>
  <c r="AE136" i="5"/>
  <c r="AG135" i="5"/>
  <c r="AF135" i="5"/>
  <c r="AE135" i="5"/>
  <c r="AG134" i="5"/>
  <c r="AE134" i="5"/>
  <c r="U134" i="5"/>
  <c r="AF134" i="5" s="1"/>
  <c r="AG133" i="5"/>
  <c r="AF133" i="5"/>
  <c r="AE133" i="5"/>
  <c r="AG132" i="5"/>
  <c r="AF132" i="5"/>
  <c r="AE132" i="5"/>
  <c r="AG131" i="5"/>
  <c r="AE131" i="5"/>
  <c r="U131" i="5"/>
  <c r="AF131" i="5" s="1"/>
  <c r="AG130" i="5"/>
  <c r="AF130" i="5"/>
  <c r="AE130" i="5"/>
  <c r="AG129" i="5"/>
  <c r="AF129" i="5"/>
  <c r="AE129" i="5"/>
  <c r="AG128" i="5"/>
  <c r="AF128" i="5"/>
  <c r="AE128" i="5"/>
  <c r="U128" i="5"/>
  <c r="AG127" i="5"/>
  <c r="AF127" i="5"/>
  <c r="AE127" i="5"/>
  <c r="AG126" i="5"/>
  <c r="AF126" i="5"/>
  <c r="AE126" i="5"/>
  <c r="AG125" i="5"/>
  <c r="AF125" i="5"/>
  <c r="AE125" i="5"/>
  <c r="U125" i="5"/>
  <c r="AG124" i="5"/>
  <c r="AF124" i="5"/>
  <c r="AE124" i="5"/>
  <c r="AG123" i="5"/>
  <c r="AF123" i="5"/>
  <c r="AE123" i="5"/>
  <c r="AG122" i="5"/>
  <c r="AE122" i="5"/>
  <c r="U122" i="5"/>
  <c r="AF122" i="5" s="1"/>
  <c r="AG121" i="5"/>
  <c r="AF121" i="5"/>
  <c r="AE121" i="5"/>
  <c r="AG120" i="5"/>
  <c r="AF120" i="5"/>
  <c r="AE120" i="5"/>
  <c r="AG119" i="5"/>
  <c r="AF119" i="5"/>
  <c r="AE119" i="5"/>
  <c r="U119" i="5"/>
  <c r="AG118" i="5"/>
  <c r="AF118" i="5"/>
  <c r="AE118" i="5"/>
  <c r="AG117" i="5"/>
  <c r="AF117" i="5"/>
  <c r="AE117" i="5"/>
  <c r="AG116" i="5"/>
  <c r="AE116" i="5"/>
  <c r="U116" i="5"/>
  <c r="AF116" i="5" s="1"/>
  <c r="AG115" i="5"/>
  <c r="AF115" i="5"/>
  <c r="AE115" i="5"/>
  <c r="AG114" i="5"/>
  <c r="AF114" i="5"/>
  <c r="AE114" i="5"/>
  <c r="AG113" i="5"/>
  <c r="AE113" i="5"/>
  <c r="U113" i="5"/>
  <c r="AF113" i="5" s="1"/>
  <c r="AG112" i="5"/>
  <c r="AF112" i="5"/>
  <c r="AE112" i="5"/>
  <c r="AG111" i="5"/>
  <c r="AF111" i="5"/>
  <c r="AE111" i="5"/>
  <c r="AG110" i="5"/>
  <c r="AF110" i="5"/>
  <c r="AE110" i="5"/>
  <c r="U110" i="5"/>
  <c r="AG109" i="5"/>
  <c r="AF109" i="5"/>
  <c r="AE109" i="5"/>
  <c r="AG108" i="5"/>
  <c r="AF108" i="5"/>
  <c r="AE108" i="5"/>
  <c r="AG107" i="5"/>
  <c r="AF107" i="5"/>
  <c r="AE107" i="5"/>
  <c r="U107" i="5"/>
  <c r="AG106" i="5"/>
  <c r="AF106" i="5"/>
  <c r="AE106" i="5"/>
  <c r="AG105" i="5"/>
  <c r="AF105" i="5"/>
  <c r="AE105" i="5"/>
  <c r="AG104" i="5"/>
  <c r="AE104" i="5"/>
  <c r="U104" i="5"/>
  <c r="AF104" i="5" s="1"/>
  <c r="AG103" i="5"/>
  <c r="AF103" i="5"/>
  <c r="AE103" i="5"/>
  <c r="AG102" i="5"/>
  <c r="AF102" i="5"/>
  <c r="AE102" i="5"/>
  <c r="AG101" i="5"/>
  <c r="AF101" i="5"/>
  <c r="AE101" i="5"/>
  <c r="U101" i="5"/>
  <c r="AG100" i="5"/>
  <c r="AF100" i="5"/>
  <c r="AE100" i="5"/>
  <c r="AG99" i="5"/>
  <c r="AF99" i="5"/>
  <c r="AE99" i="5"/>
  <c r="AG98" i="5"/>
  <c r="AE98" i="5"/>
  <c r="U98" i="5"/>
  <c r="AF98" i="5" s="1"/>
  <c r="AG97" i="5"/>
  <c r="AF97" i="5"/>
  <c r="AE97" i="5"/>
  <c r="AG96" i="5"/>
  <c r="AF96" i="5"/>
  <c r="AE96" i="5"/>
  <c r="AG95" i="5"/>
  <c r="AE95" i="5"/>
  <c r="U95" i="5"/>
  <c r="AF95" i="5" s="1"/>
  <c r="AG94" i="5"/>
  <c r="AF94" i="5"/>
  <c r="AE94" i="5"/>
  <c r="AG93" i="5"/>
  <c r="AF93" i="5"/>
  <c r="AE93" i="5"/>
  <c r="AG92" i="5"/>
  <c r="AF92" i="5"/>
  <c r="AE92" i="5"/>
  <c r="U92" i="5"/>
  <c r="AG91" i="5"/>
  <c r="AF91" i="5"/>
  <c r="AE91" i="5"/>
  <c r="AG90" i="5"/>
  <c r="AF90" i="5"/>
  <c r="AE90" i="5"/>
  <c r="AG89" i="5"/>
  <c r="AF89" i="5"/>
  <c r="AE89" i="5"/>
  <c r="U89" i="5"/>
  <c r="AG88" i="5"/>
  <c r="AF88" i="5"/>
  <c r="AE88" i="5"/>
  <c r="AG87" i="5"/>
  <c r="AF87" i="5"/>
  <c r="AE87" i="5"/>
  <c r="AG86" i="5"/>
  <c r="AE86" i="5"/>
  <c r="U86" i="5"/>
  <c r="AF86" i="5" s="1"/>
  <c r="AG85" i="5"/>
  <c r="AF85" i="5"/>
  <c r="AE85" i="5"/>
  <c r="AG84" i="5"/>
  <c r="AF84" i="5"/>
  <c r="AE84" i="5"/>
  <c r="AG83" i="5"/>
  <c r="AF83" i="5"/>
  <c r="AE83" i="5"/>
  <c r="U83" i="5"/>
  <c r="AG82" i="5"/>
  <c r="AF82" i="5"/>
  <c r="AE82" i="5"/>
  <c r="AG81" i="5"/>
  <c r="AF81" i="5"/>
  <c r="AE81" i="5"/>
  <c r="AG80" i="5"/>
  <c r="AE80" i="5"/>
  <c r="U80" i="5"/>
  <c r="AF80" i="5" s="1"/>
  <c r="AG79" i="5"/>
  <c r="AF79" i="5"/>
  <c r="AE79" i="5"/>
  <c r="AG78" i="5"/>
  <c r="AF78" i="5"/>
  <c r="AE78" i="5"/>
  <c r="AG77" i="5"/>
  <c r="AE77" i="5"/>
  <c r="U77" i="5"/>
  <c r="AF77" i="5" s="1"/>
  <c r="AG76" i="5"/>
  <c r="AF76" i="5"/>
  <c r="AE76" i="5"/>
  <c r="AG75" i="5"/>
  <c r="AF75" i="5"/>
  <c r="AE75" i="5"/>
  <c r="AG74" i="5"/>
  <c r="AF74" i="5"/>
  <c r="AE74" i="5"/>
  <c r="U74" i="5"/>
  <c r="AG73" i="5"/>
  <c r="AF73" i="5"/>
  <c r="AE73" i="5"/>
  <c r="AG72" i="5"/>
  <c r="AF72" i="5"/>
  <c r="AE72" i="5"/>
  <c r="AG71" i="5"/>
  <c r="AF71" i="5"/>
  <c r="AE71" i="5"/>
  <c r="U71" i="5"/>
  <c r="AG70" i="5"/>
  <c r="AF70" i="5"/>
  <c r="AE70" i="5"/>
  <c r="AG69" i="5"/>
  <c r="AF69" i="5"/>
  <c r="AE69" i="5"/>
  <c r="AG68" i="5"/>
  <c r="AE68" i="5"/>
  <c r="U68" i="5"/>
  <c r="AF68" i="5" s="1"/>
  <c r="AG67" i="5"/>
  <c r="AF67" i="5"/>
  <c r="AE67" i="5"/>
  <c r="AG66" i="5"/>
  <c r="AF66" i="5"/>
  <c r="AE66" i="5"/>
  <c r="AG65" i="5"/>
  <c r="AF65" i="5"/>
  <c r="AE65" i="5"/>
  <c r="U65" i="5"/>
  <c r="AG64" i="5"/>
  <c r="AF64" i="5"/>
  <c r="AE64" i="5"/>
  <c r="AG63" i="5"/>
  <c r="AF63" i="5"/>
  <c r="AE63" i="5"/>
  <c r="AG62" i="5"/>
  <c r="AE62" i="5"/>
  <c r="U62" i="5"/>
  <c r="AF62" i="5" s="1"/>
  <c r="AG61" i="5"/>
  <c r="AF61" i="5"/>
  <c r="AE61" i="5"/>
  <c r="AG60" i="5"/>
  <c r="AF60" i="5"/>
  <c r="AE60" i="5"/>
  <c r="AG59" i="5"/>
  <c r="AE59" i="5"/>
  <c r="U59" i="5"/>
  <c r="AF59" i="5" s="1"/>
  <c r="AG58" i="5"/>
  <c r="AF58" i="5"/>
  <c r="AE58" i="5"/>
  <c r="AG57" i="5"/>
  <c r="AF57" i="5"/>
  <c r="AE57" i="5"/>
  <c r="AG56" i="5"/>
  <c r="AF56" i="5"/>
  <c r="AE56" i="5"/>
  <c r="U56" i="5"/>
  <c r="AG55" i="5"/>
  <c r="AF55" i="5"/>
  <c r="AE55" i="5"/>
  <c r="AG54" i="5"/>
  <c r="AF54" i="5"/>
  <c r="AE54" i="5"/>
  <c r="AG53" i="5"/>
  <c r="AF53" i="5"/>
  <c r="AE53" i="5"/>
  <c r="U53" i="5"/>
  <c r="AG52" i="5"/>
  <c r="AF52" i="5"/>
  <c r="AE52" i="5"/>
  <c r="AG51" i="5"/>
  <c r="AF51" i="5"/>
  <c r="AE51" i="5"/>
  <c r="AG50" i="5"/>
  <c r="AE50" i="5"/>
  <c r="U50" i="5"/>
  <c r="AF50" i="5" s="1"/>
  <c r="AG49" i="5"/>
  <c r="AF49" i="5"/>
  <c r="AE49" i="5"/>
  <c r="AG48" i="5"/>
  <c r="AF48" i="5"/>
  <c r="AE48" i="5"/>
  <c r="AG47" i="5"/>
  <c r="AF47" i="5"/>
  <c r="AE47" i="5"/>
  <c r="U47" i="5"/>
  <c r="AG46" i="5"/>
  <c r="AF46" i="5"/>
  <c r="AE46" i="5"/>
  <c r="AG45" i="5"/>
  <c r="AF45" i="5"/>
  <c r="AE45" i="5"/>
  <c r="AG44" i="5"/>
  <c r="AE44" i="5"/>
  <c r="U44" i="5"/>
  <c r="AF44" i="5" s="1"/>
  <c r="AG43" i="5"/>
  <c r="AF43" i="5"/>
  <c r="AE43" i="5"/>
  <c r="AG42" i="5"/>
  <c r="AF42" i="5"/>
  <c r="AE42" i="5"/>
  <c r="AG41" i="5"/>
  <c r="AE41" i="5"/>
  <c r="U41" i="5"/>
  <c r="AF41" i="5" s="1"/>
  <c r="AG40" i="5"/>
  <c r="AF40" i="5"/>
  <c r="AE40" i="5"/>
  <c r="AG39" i="5"/>
  <c r="AF39" i="5"/>
  <c r="AE39" i="5"/>
  <c r="AG38" i="5"/>
  <c r="AE38" i="5"/>
  <c r="U38" i="5"/>
  <c r="AF38" i="5" s="1"/>
  <c r="AG37" i="5"/>
  <c r="AF37" i="5"/>
  <c r="AE37" i="5"/>
  <c r="AG36" i="5"/>
  <c r="AF36" i="5"/>
  <c r="AE36" i="5"/>
  <c r="AG35" i="5"/>
  <c r="AF35" i="5"/>
  <c r="AE35" i="5"/>
  <c r="U35" i="5"/>
  <c r="AG34" i="5"/>
  <c r="AF34" i="5"/>
  <c r="AE34" i="5"/>
  <c r="AG33" i="5"/>
  <c r="AF33" i="5"/>
  <c r="AE33" i="5"/>
  <c r="AG32" i="5"/>
  <c r="AE32" i="5"/>
  <c r="U32" i="5"/>
  <c r="AF32" i="5" s="1"/>
  <c r="AG31" i="5"/>
  <c r="AF31" i="5"/>
  <c r="AE31" i="5"/>
  <c r="AG30" i="5"/>
  <c r="AF30" i="5"/>
  <c r="AE30" i="5"/>
  <c r="AG29" i="5"/>
  <c r="AF29" i="5"/>
  <c r="AE29" i="5"/>
  <c r="U29" i="5"/>
  <c r="AG28" i="5"/>
  <c r="AF28" i="5"/>
  <c r="AE28" i="5"/>
  <c r="AG27" i="5"/>
  <c r="AF27" i="5"/>
  <c r="AE27" i="5"/>
  <c r="AG26" i="5"/>
  <c r="AE26" i="5"/>
  <c r="U26" i="5"/>
  <c r="AF26" i="5" s="1"/>
  <c r="AG25" i="5"/>
  <c r="AF25" i="5"/>
  <c r="AE25" i="5"/>
  <c r="AG24" i="5"/>
  <c r="AF24" i="5"/>
  <c r="AE24" i="5"/>
  <c r="AG23" i="5"/>
  <c r="AE23" i="5"/>
  <c r="U23" i="5"/>
  <c r="AF23" i="5" s="1"/>
  <c r="AG22" i="5"/>
  <c r="AF22" i="5"/>
  <c r="AE22" i="5"/>
  <c r="AG21" i="5"/>
  <c r="AF21" i="5"/>
  <c r="AE21" i="5"/>
  <c r="AG20" i="5"/>
  <c r="AE20" i="5"/>
  <c r="U20" i="5"/>
  <c r="AF20" i="5" s="1"/>
  <c r="AG19" i="5"/>
  <c r="AF19" i="5"/>
  <c r="AE19" i="5"/>
  <c r="AG18" i="5"/>
  <c r="AF18" i="5"/>
  <c r="AE18" i="5"/>
  <c r="AG17" i="5"/>
  <c r="AF17" i="5"/>
  <c r="AE17" i="5"/>
  <c r="U17" i="5"/>
  <c r="AG16" i="5"/>
  <c r="AF16" i="5"/>
  <c r="AE16" i="5"/>
  <c r="AG15" i="5"/>
  <c r="AF15" i="5"/>
  <c r="AE15" i="5"/>
  <c r="AG14" i="5"/>
  <c r="AE14" i="5"/>
  <c r="U14" i="5"/>
  <c r="AF14" i="5" s="1"/>
  <c r="AG13" i="5"/>
  <c r="AF13" i="5"/>
  <c r="AE13" i="5"/>
  <c r="AG12" i="5"/>
  <c r="AF12" i="5"/>
  <c r="AE12" i="5"/>
  <c r="AG11" i="5"/>
  <c r="AF11" i="5"/>
  <c r="AE11" i="5"/>
  <c r="U11" i="5"/>
  <c r="AG10" i="5"/>
  <c r="AF10" i="5"/>
  <c r="AE10" i="5"/>
  <c r="AG9" i="5"/>
  <c r="AF9" i="5"/>
  <c r="AE9" i="5"/>
  <c r="AG8" i="5"/>
  <c r="AE8" i="5"/>
  <c r="U8" i="5"/>
  <c r="AF8" i="5" s="1"/>
  <c r="AG7" i="5"/>
  <c r="AF7" i="5"/>
  <c r="AE7" i="5"/>
  <c r="AG6" i="5"/>
  <c r="AF6" i="5"/>
  <c r="AE6" i="5"/>
  <c r="AG5" i="5"/>
  <c r="AE5" i="5"/>
  <c r="U5" i="5"/>
  <c r="AF5" i="5" s="1"/>
  <c r="AG4" i="5"/>
  <c r="AF4" i="5"/>
  <c r="AE4" i="5"/>
  <c r="AG3" i="5"/>
  <c r="AF3" i="5"/>
  <c r="AE3" i="5"/>
  <c r="AG2" i="5"/>
  <c r="AE2" i="5"/>
  <c r="U2" i="5"/>
  <c r="AF2" i="5" s="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G3" i="2"/>
  <c r="AG4" i="2"/>
  <c r="AG6" i="2"/>
  <c r="AG7" i="2"/>
  <c r="AG9" i="2"/>
  <c r="AG10" i="2"/>
  <c r="AG12" i="2"/>
  <c r="AG13" i="2"/>
  <c r="AG15" i="2"/>
  <c r="AG16" i="2"/>
  <c r="AG18" i="2"/>
  <c r="AG19" i="2"/>
  <c r="AG21" i="2"/>
  <c r="AG22" i="2"/>
  <c r="AG24" i="2"/>
  <c r="AG25" i="2"/>
  <c r="AG27" i="2"/>
  <c r="AG28" i="2"/>
  <c r="AG30" i="2"/>
  <c r="AG31" i="2"/>
  <c r="AG33" i="2"/>
  <c r="AG34" i="2"/>
  <c r="AG36" i="2"/>
  <c r="AG37" i="2"/>
  <c r="AG39" i="2"/>
  <c r="AG40" i="2"/>
  <c r="AG42" i="2"/>
  <c r="AG43" i="2"/>
  <c r="AG45" i="2"/>
  <c r="AG46" i="2"/>
  <c r="AG48" i="2"/>
  <c r="AG49" i="2"/>
  <c r="AG51" i="2"/>
  <c r="AG52" i="2"/>
  <c r="AG54" i="2"/>
  <c r="AG55" i="2"/>
  <c r="AG57" i="2"/>
  <c r="AG58" i="2"/>
  <c r="AG60" i="2"/>
  <c r="AG61" i="2"/>
  <c r="AG63" i="2"/>
  <c r="AG64" i="2"/>
  <c r="AG66" i="2"/>
  <c r="AG67" i="2"/>
  <c r="AG69" i="2"/>
  <c r="AG70" i="2"/>
  <c r="AG72" i="2"/>
  <c r="AG73" i="2"/>
  <c r="AG75" i="2"/>
  <c r="AG76" i="2"/>
  <c r="AG78" i="2"/>
  <c r="AG79" i="2"/>
  <c r="AG81" i="2"/>
  <c r="AG82" i="2"/>
  <c r="AG84" i="2"/>
  <c r="AG85" i="2"/>
  <c r="AG87" i="2"/>
  <c r="AG88" i="2"/>
  <c r="AG90" i="2"/>
  <c r="AG91" i="2"/>
  <c r="AG93" i="2"/>
  <c r="AG94" i="2"/>
  <c r="AG96" i="2"/>
  <c r="AG97" i="2"/>
  <c r="AG99" i="2"/>
  <c r="AG100" i="2"/>
  <c r="AG102" i="2"/>
  <c r="AG103" i="2"/>
  <c r="AG105" i="2"/>
  <c r="AG106" i="2"/>
  <c r="AG108" i="2"/>
  <c r="AG109" i="2"/>
  <c r="AG111" i="2"/>
  <c r="AG112" i="2"/>
  <c r="AG114" i="2"/>
  <c r="AG115" i="2"/>
  <c r="AG117" i="2"/>
  <c r="AG118" i="2"/>
  <c r="AG120" i="2"/>
  <c r="AG121" i="2"/>
  <c r="AG123" i="2"/>
  <c r="AG124" i="2"/>
  <c r="AG126" i="2"/>
  <c r="AG127" i="2"/>
  <c r="AG129" i="2"/>
  <c r="AG130" i="2"/>
  <c r="AG132" i="2"/>
  <c r="AG133" i="2"/>
  <c r="AG135" i="2"/>
  <c r="AG136" i="2"/>
  <c r="AG138" i="2"/>
  <c r="AG139" i="2"/>
  <c r="AG141" i="2"/>
  <c r="AG142" i="2"/>
  <c r="AG144" i="2"/>
  <c r="AG145" i="2"/>
  <c r="AG147" i="2"/>
  <c r="AG148" i="2"/>
  <c r="AG150" i="2"/>
  <c r="AG151" i="2"/>
  <c r="AG153" i="2"/>
  <c r="AG154" i="2"/>
  <c r="AG156" i="2"/>
  <c r="AG157" i="2"/>
  <c r="AG159" i="2"/>
  <c r="AG160" i="2"/>
  <c r="AG162" i="2"/>
  <c r="AG163" i="2"/>
  <c r="AG165" i="2"/>
  <c r="AG166" i="2"/>
  <c r="AG168" i="2"/>
  <c r="AG169" i="2"/>
  <c r="AG171" i="2"/>
  <c r="AG172" i="2"/>
  <c r="AG174" i="2"/>
  <c r="AG175" i="2"/>
  <c r="AG177" i="2"/>
  <c r="AG178" i="2"/>
  <c r="AG180" i="2"/>
  <c r="AG181" i="2"/>
  <c r="AG183" i="2"/>
  <c r="AG184" i="2"/>
  <c r="AG186" i="2"/>
  <c r="AG187" i="2"/>
  <c r="AG189" i="2"/>
  <c r="AG190" i="2"/>
  <c r="AG192" i="2"/>
  <c r="AG193" i="2"/>
  <c r="AG195" i="2"/>
  <c r="AG196" i="2"/>
  <c r="AG198" i="2"/>
  <c r="AG199" i="2"/>
  <c r="AG201" i="2"/>
  <c r="AG202" i="2"/>
  <c r="AG204" i="2"/>
  <c r="AG205" i="2"/>
  <c r="AG207" i="2"/>
  <c r="AG208" i="2"/>
  <c r="AG210" i="2"/>
  <c r="AG211" i="2"/>
  <c r="AG213" i="2"/>
  <c r="AG214" i="2"/>
  <c r="AG216" i="2"/>
  <c r="AG217" i="2"/>
  <c r="AG219" i="2"/>
  <c r="AG220" i="2"/>
  <c r="AG221" i="2"/>
  <c r="AG222" i="2"/>
  <c r="AG223" i="2"/>
  <c r="AG225" i="2"/>
  <c r="AG226" i="2"/>
  <c r="AG228" i="2"/>
  <c r="AG229" i="2"/>
  <c r="AG231" i="2"/>
  <c r="AG232" i="2"/>
  <c r="AG234" i="2"/>
  <c r="AG235" i="2"/>
  <c r="AG237" i="2"/>
  <c r="AG238" i="2"/>
  <c r="AG240" i="2"/>
  <c r="AG241" i="2"/>
  <c r="AG243" i="2"/>
  <c r="AG244" i="2"/>
  <c r="AG246" i="2"/>
  <c r="AG247" i="2"/>
  <c r="AG249" i="2"/>
  <c r="AG250" i="2"/>
  <c r="AG252" i="2"/>
  <c r="AG253" i="2"/>
  <c r="AG255" i="2"/>
  <c r="AG256" i="2"/>
  <c r="AG258" i="2"/>
  <c r="AG259" i="2"/>
  <c r="AG261" i="2"/>
  <c r="AG262" i="2"/>
  <c r="AG267" i="2"/>
  <c r="AG268" i="2"/>
  <c r="AG270" i="2"/>
  <c r="AG271" i="2"/>
  <c r="AG273" i="2"/>
  <c r="AG274" i="2"/>
  <c r="AG276" i="2"/>
  <c r="AG277" i="2"/>
  <c r="AG279" i="2"/>
  <c r="AG280" i="2"/>
  <c r="AG282" i="2"/>
  <c r="AG283" i="2"/>
  <c r="AG285" i="2"/>
  <c r="AG286" i="2"/>
  <c r="AG288" i="2"/>
  <c r="AG289" i="2"/>
  <c r="AG291" i="2"/>
  <c r="AG292" i="2"/>
  <c r="AG294" i="2"/>
  <c r="AG295" i="2"/>
  <c r="AG297" i="2"/>
  <c r="AG298" i="2"/>
  <c r="AG300" i="2"/>
  <c r="AG301" i="2"/>
  <c r="AG303" i="2"/>
  <c r="AG304" i="2"/>
  <c r="AG306" i="2"/>
  <c r="AG307" i="2"/>
  <c r="AG309" i="2"/>
  <c r="AG310" i="2"/>
  <c r="AG312" i="2"/>
  <c r="AG313" i="2"/>
  <c r="AG315" i="2"/>
  <c r="AG316" i="2"/>
  <c r="AG318" i="2"/>
  <c r="AG319" i="2"/>
  <c r="AG321" i="2"/>
  <c r="AG322" i="2"/>
  <c r="AG324" i="2"/>
  <c r="AG325" i="2"/>
  <c r="AG327" i="2"/>
  <c r="AG328" i="2"/>
  <c r="AG330" i="2"/>
  <c r="AG331" i="2"/>
  <c r="AG333" i="2"/>
  <c r="AG334" i="2"/>
  <c r="AG336" i="2"/>
  <c r="AG337" i="2"/>
  <c r="AG339" i="2"/>
  <c r="AG340" i="2"/>
  <c r="AG342" i="2"/>
  <c r="AG343" i="2"/>
  <c r="AG345" i="2"/>
  <c r="AG346" i="2"/>
  <c r="AG348" i="2"/>
  <c r="AG349" i="2"/>
  <c r="AG351" i="2"/>
  <c r="AG352" i="2"/>
  <c r="AG354" i="2"/>
  <c r="AG355" i="2"/>
  <c r="AG357" i="2"/>
  <c r="AG358" i="2"/>
  <c r="AG360" i="2"/>
  <c r="AG361" i="2"/>
  <c r="AG363" i="2"/>
  <c r="AG364" i="2"/>
  <c r="AG366" i="2"/>
  <c r="AG367" i="2"/>
  <c r="AG369" i="2"/>
  <c r="AG370" i="2"/>
  <c r="AG372" i="2"/>
  <c r="AG373"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V371" i="2"/>
  <c r="AG371" i="2" s="1"/>
  <c r="V368" i="2"/>
  <c r="AG368" i="2" s="1"/>
  <c r="V365" i="2"/>
  <c r="V362" i="2"/>
  <c r="V359" i="2"/>
  <c r="AG359" i="2" s="1"/>
  <c r="V356" i="2"/>
  <c r="AG356" i="2" s="1"/>
  <c r="V353" i="2"/>
  <c r="V350" i="2"/>
  <c r="V347" i="2"/>
  <c r="AG347" i="2" s="1"/>
  <c r="V344" i="2"/>
  <c r="AG344" i="2" s="1"/>
  <c r="V341" i="2"/>
  <c r="V338" i="2"/>
  <c r="V335" i="2"/>
  <c r="AG335" i="2" s="1"/>
  <c r="V332" i="2"/>
  <c r="AG332" i="2" s="1"/>
  <c r="V329" i="2"/>
  <c r="V326" i="2"/>
  <c r="V323" i="2"/>
  <c r="AG323" i="2" s="1"/>
  <c r="V320" i="2"/>
  <c r="AG320" i="2" s="1"/>
  <c r="V317" i="2"/>
  <c r="V314" i="2"/>
  <c r="V311" i="2"/>
  <c r="AG311" i="2" s="1"/>
  <c r="V308" i="2"/>
  <c r="AG308" i="2" s="1"/>
  <c r="V305" i="2"/>
  <c r="V302" i="2"/>
  <c r="V299" i="2"/>
  <c r="AG299" i="2" s="1"/>
  <c r="V296" i="2"/>
  <c r="AG296" i="2" s="1"/>
  <c r="V293" i="2"/>
  <c r="V290" i="2"/>
  <c r="V287" i="2"/>
  <c r="AG287" i="2" s="1"/>
  <c r="V284" i="2"/>
  <c r="AG284" i="2" s="1"/>
  <c r="V281" i="2"/>
  <c r="V278" i="2"/>
  <c r="V275" i="2"/>
  <c r="AG275" i="2" s="1"/>
  <c r="V272" i="2"/>
  <c r="AG272" i="2" s="1"/>
  <c r="V269" i="2"/>
  <c r="V266" i="2"/>
  <c r="V265" i="2"/>
  <c r="AG265" i="2" s="1"/>
  <c r="V264" i="2"/>
  <c r="AG264" i="2" s="1"/>
  <c r="V263" i="2"/>
  <c r="V260" i="2"/>
  <c r="AG260" i="2" s="1"/>
  <c r="V257" i="2"/>
  <c r="V254" i="2"/>
  <c r="V251" i="2"/>
  <c r="AG251" i="2" s="1"/>
  <c r="V248" i="2"/>
  <c r="AG248" i="2" s="1"/>
  <c r="V245" i="2"/>
  <c r="V242" i="2"/>
  <c r="V239" i="2"/>
  <c r="AG239" i="2" s="1"/>
  <c r="V236" i="2"/>
  <c r="AG236" i="2" s="1"/>
  <c r="V233" i="2"/>
  <c r="V230" i="2"/>
  <c r="V227" i="2"/>
  <c r="AG227" i="2" s="1"/>
  <c r="V224" i="2"/>
  <c r="AG224" i="2" s="1"/>
  <c r="V221" i="2"/>
  <c r="V218" i="2"/>
  <c r="V215" i="2"/>
  <c r="AG215" i="2" s="1"/>
  <c r="V212" i="2"/>
  <c r="AG212" i="2" s="1"/>
  <c r="V209" i="2"/>
  <c r="V206" i="2"/>
  <c r="V203" i="2"/>
  <c r="AG203" i="2" s="1"/>
  <c r="V200" i="2"/>
  <c r="AG200" i="2" s="1"/>
  <c r="V197" i="2"/>
  <c r="V194" i="2"/>
  <c r="V191" i="2"/>
  <c r="AG191" i="2" s="1"/>
  <c r="V188" i="2"/>
  <c r="AG188" i="2" s="1"/>
  <c r="V185" i="2"/>
  <c r="V182" i="2"/>
  <c r="V179" i="2"/>
  <c r="AG179" i="2" s="1"/>
  <c r="V176" i="2"/>
  <c r="AG176" i="2" s="1"/>
  <c r="V173" i="2"/>
  <c r="V170" i="2"/>
  <c r="V167" i="2"/>
  <c r="AG167" i="2" s="1"/>
  <c r="V164" i="2"/>
  <c r="AG164" i="2" s="1"/>
  <c r="V161" i="2"/>
  <c r="V158" i="2"/>
  <c r="V155" i="2"/>
  <c r="AG155" i="2" s="1"/>
  <c r="V152" i="2"/>
  <c r="AG152" i="2" s="1"/>
  <c r="V149" i="2"/>
  <c r="V146" i="2"/>
  <c r="V143" i="2"/>
  <c r="AG143" i="2" s="1"/>
  <c r="V140" i="2"/>
  <c r="AG140" i="2" s="1"/>
  <c r="V137" i="2"/>
  <c r="V134" i="2"/>
  <c r="V131" i="2"/>
  <c r="AG131" i="2" s="1"/>
  <c r="V128" i="2"/>
  <c r="AG128" i="2" s="1"/>
  <c r="V125" i="2"/>
  <c r="V122" i="2"/>
  <c r="V119" i="2"/>
  <c r="AG119" i="2" s="1"/>
  <c r="V116" i="2"/>
  <c r="AG116" i="2" s="1"/>
  <c r="V113" i="2"/>
  <c r="V110" i="2"/>
  <c r="V107" i="2"/>
  <c r="AG107" i="2" s="1"/>
  <c r="V104" i="2"/>
  <c r="AG104" i="2" s="1"/>
  <c r="V101" i="2"/>
  <c r="V98" i="2"/>
  <c r="V95" i="2"/>
  <c r="AG95" i="2" s="1"/>
  <c r="V92" i="2"/>
  <c r="AG92" i="2" s="1"/>
  <c r="V89" i="2"/>
  <c r="V86" i="2"/>
  <c r="V83" i="2"/>
  <c r="AG83" i="2" s="1"/>
  <c r="V80" i="2"/>
  <c r="AG80" i="2" s="1"/>
  <c r="V77" i="2"/>
  <c r="V74" i="2"/>
  <c r="V71" i="2"/>
  <c r="AG71" i="2" s="1"/>
  <c r="V68" i="2"/>
  <c r="AG68" i="2" s="1"/>
  <c r="V65" i="2"/>
  <c r="V62" i="2"/>
  <c r="V59" i="2"/>
  <c r="AG59" i="2" s="1"/>
  <c r="V56" i="2"/>
  <c r="AG56" i="2" s="1"/>
  <c r="V53" i="2"/>
  <c r="V50" i="2"/>
  <c r="V47" i="2"/>
  <c r="AG47" i="2" s="1"/>
  <c r="V44" i="2"/>
  <c r="AG44" i="2" s="1"/>
  <c r="V41" i="2"/>
  <c r="V38" i="2"/>
  <c r="V35" i="2"/>
  <c r="AG35" i="2" s="1"/>
  <c r="V32" i="2"/>
  <c r="AG32" i="2" s="1"/>
  <c r="V29" i="2"/>
  <c r="AV29" i="13" s="1"/>
  <c r="V26" i="2"/>
  <c r="AY26" i="13" s="1"/>
  <c r="V23" i="2"/>
  <c r="AG23" i="2" s="1"/>
  <c r="V20" i="2"/>
  <c r="AG20" i="2" s="1"/>
  <c r="V17" i="2"/>
  <c r="AV17" i="13" s="1"/>
  <c r="V14" i="2"/>
  <c r="AY14" i="13" s="1"/>
  <c r="V11" i="2"/>
  <c r="AG11" i="2" s="1"/>
  <c r="V8" i="2"/>
  <c r="AG8" i="2" s="1"/>
  <c r="V5" i="2"/>
  <c r="AY5" i="13" s="1"/>
  <c r="V2" i="2"/>
  <c r="AY2" i="13" s="1"/>
  <c r="F7" i="4"/>
  <c r="J6" i="4" s="1"/>
  <c r="F6" i="4"/>
  <c r="F5" i="4"/>
  <c r="BB22" i="13" l="1"/>
  <c r="BB34" i="13"/>
  <c r="BB16" i="13"/>
  <c r="BB18" i="13"/>
  <c r="BB15" i="13"/>
  <c r="BB36" i="13"/>
  <c r="BB31" i="13"/>
  <c r="BB19" i="13"/>
  <c r="BB7" i="13"/>
  <c r="AV5" i="13"/>
  <c r="BB21" i="13"/>
  <c r="AM238" i="2"/>
  <c r="AM202" i="2"/>
  <c r="AM166" i="2"/>
  <c r="AM130" i="2"/>
  <c r="BB30" i="13"/>
  <c r="BB6" i="13"/>
  <c r="AV20" i="13"/>
  <c r="AY29" i="13"/>
  <c r="AV35" i="13"/>
  <c r="AV11" i="13"/>
  <c r="BB10" i="13"/>
  <c r="BB28" i="13"/>
  <c r="AV26" i="13"/>
  <c r="AJ347" i="2"/>
  <c r="AM347" i="2" s="1"/>
  <c r="BB4" i="13"/>
  <c r="BB27" i="13"/>
  <c r="AY20" i="13"/>
  <c r="AY35" i="13"/>
  <c r="BB9" i="13"/>
  <c r="BB3" i="13"/>
  <c r="AV2" i="13"/>
  <c r="AY11" i="13"/>
  <c r="AV32" i="13"/>
  <c r="BB37" i="13"/>
  <c r="BB25" i="13"/>
  <c r="BB13" i="13"/>
  <c r="BB24" i="13"/>
  <c r="BB12" i="13"/>
  <c r="AV8" i="13"/>
  <c r="BB33" i="13"/>
  <c r="AV23" i="13"/>
  <c r="AY32" i="13"/>
  <c r="AU36" i="13"/>
  <c r="AU24" i="13"/>
  <c r="AU12" i="13"/>
  <c r="AU29" i="13"/>
  <c r="AU17" i="13"/>
  <c r="AU5" i="13"/>
  <c r="AU34" i="13"/>
  <c r="AU22" i="13"/>
  <c r="AU10" i="13"/>
  <c r="AU35" i="13"/>
  <c r="AU23" i="13"/>
  <c r="AU11" i="13"/>
  <c r="AU8" i="13"/>
  <c r="AU32" i="13"/>
  <c r="AU20" i="13"/>
  <c r="AU31" i="13"/>
  <c r="AU19" i="13"/>
  <c r="AU7" i="13"/>
  <c r="AU28" i="13"/>
  <c r="AU16" i="13"/>
  <c r="AU4" i="13"/>
  <c r="AU33" i="13"/>
  <c r="AU21" i="13"/>
  <c r="AU9" i="13"/>
  <c r="AU30" i="13"/>
  <c r="AU18" i="13"/>
  <c r="AU27" i="13"/>
  <c r="AU15" i="13"/>
  <c r="AU6" i="13"/>
  <c r="AU3" i="13"/>
  <c r="AU26" i="13"/>
  <c r="AU14" i="13"/>
  <c r="AU37" i="13"/>
  <c r="AU25" i="13"/>
  <c r="AU13" i="13"/>
  <c r="AM22" i="2"/>
  <c r="AM58" i="2"/>
  <c r="AM94" i="2"/>
  <c r="AM312" i="2"/>
  <c r="AM276" i="2"/>
  <c r="AM240" i="2"/>
  <c r="AM204" i="2"/>
  <c r="AM168" i="2"/>
  <c r="AM132" i="2"/>
  <c r="AM96" i="2"/>
  <c r="AM60" i="2"/>
  <c r="AM24" i="2"/>
  <c r="AM319" i="2"/>
  <c r="AM283" i="2"/>
  <c r="AM83" i="2"/>
  <c r="AM9" i="2"/>
  <c r="AM237" i="2"/>
  <c r="AM201" i="2"/>
  <c r="AM165" i="2"/>
  <c r="AM129" i="2"/>
  <c r="AM93" i="2"/>
  <c r="AM81" i="2"/>
  <c r="AM369" i="2"/>
  <c r="AM45" i="2"/>
  <c r="AM37" i="2"/>
  <c r="AM151" i="2"/>
  <c r="AM7" i="2"/>
  <c r="AM346" i="2"/>
  <c r="AM253" i="2"/>
  <c r="AM181" i="2"/>
  <c r="AM109" i="2"/>
  <c r="AM187" i="2"/>
  <c r="AM331" i="2"/>
  <c r="AM106" i="2"/>
  <c r="AM348" i="2"/>
  <c r="AM144" i="2"/>
  <c r="AM108" i="2"/>
  <c r="AM223" i="2"/>
  <c r="AM367" i="2"/>
  <c r="AM295" i="2"/>
  <c r="AM259" i="2"/>
  <c r="AM79" i="2"/>
  <c r="AM322" i="2"/>
  <c r="AM115" i="2"/>
  <c r="AM43" i="2"/>
  <c r="AM361" i="2"/>
  <c r="AM363" i="2"/>
  <c r="AM75" i="2"/>
  <c r="AM39" i="2"/>
  <c r="AM3" i="2"/>
  <c r="AM250" i="2"/>
  <c r="AM360" i="2"/>
  <c r="AM324" i="2"/>
  <c r="AM288" i="2"/>
  <c r="AM252" i="2"/>
  <c r="AM216" i="2"/>
  <c r="AM72" i="2"/>
  <c r="AM354" i="2"/>
  <c r="AM337" i="2"/>
  <c r="AM301" i="2"/>
  <c r="AM262" i="2"/>
  <c r="AM244" i="2"/>
  <c r="AM226" i="2"/>
  <c r="AM208" i="2"/>
  <c r="AM190" i="2"/>
  <c r="AM172" i="2"/>
  <c r="AM154" i="2"/>
  <c r="AM136" i="2"/>
  <c r="AM118" i="2"/>
  <c r="AM100" i="2"/>
  <c r="AM66" i="2"/>
  <c r="AM30" i="2"/>
  <c r="AM370" i="2"/>
  <c r="AM178" i="2"/>
  <c r="AM358" i="2"/>
  <c r="AM310" i="2"/>
  <c r="AM351" i="2"/>
  <c r="AM316" i="2"/>
  <c r="AM27" i="2"/>
  <c r="AM357" i="2"/>
  <c r="AM249" i="2"/>
  <c r="AM256" i="2"/>
  <c r="AM220" i="2"/>
  <c r="AM184" i="2"/>
  <c r="AM148" i="2"/>
  <c r="AM112" i="2"/>
  <c r="AM274" i="2"/>
  <c r="AM34" i="2"/>
  <c r="AM280" i="2"/>
  <c r="AM63" i="2"/>
  <c r="AM309" i="2"/>
  <c r="AM273" i="2"/>
  <c r="AM213" i="2"/>
  <c r="AM177" i="2"/>
  <c r="AM141" i="2"/>
  <c r="AM105" i="2"/>
  <c r="AM69" i="2"/>
  <c r="AM57" i="2"/>
  <c r="AM33" i="2"/>
  <c r="AM21" i="2"/>
  <c r="AM315" i="2"/>
  <c r="AM279" i="2"/>
  <c r="AM343" i="2"/>
  <c r="AM307" i="2"/>
  <c r="AM271" i="2"/>
  <c r="AM247" i="2"/>
  <c r="AM211" i="2"/>
  <c r="AM175" i="2"/>
  <c r="AM139" i="2"/>
  <c r="AM103" i="2"/>
  <c r="AM55" i="2"/>
  <c r="AM19" i="2"/>
  <c r="AM12" i="2"/>
  <c r="AM333" i="2"/>
  <c r="AM222" i="2"/>
  <c r="AM78" i="2"/>
  <c r="AM235" i="2"/>
  <c r="AM199" i="2"/>
  <c r="AM163" i="2"/>
  <c r="AM127" i="2"/>
  <c r="AM91" i="2"/>
  <c r="AM258" i="2"/>
  <c r="AM114" i="2"/>
  <c r="AM366" i="2"/>
  <c r="AM234" i="2"/>
  <c r="AM345" i="2"/>
  <c r="AM349" i="2"/>
  <c r="AM289" i="2"/>
  <c r="AM217" i="2"/>
  <c r="AM145" i="2"/>
  <c r="AM73" i="2"/>
  <c r="AM372" i="2"/>
  <c r="AM298" i="2"/>
  <c r="AM186" i="2"/>
  <c r="AM42" i="2"/>
  <c r="AM342" i="2"/>
  <c r="AM126" i="2"/>
  <c r="AM292" i="2"/>
  <c r="AM232" i="2"/>
  <c r="AM196" i="2"/>
  <c r="AM160" i="2"/>
  <c r="AM124" i="2"/>
  <c r="AM88" i="2"/>
  <c r="AM180" i="2"/>
  <c r="AM36" i="2"/>
  <c r="AM150" i="2"/>
  <c r="AM6" i="2"/>
  <c r="AM306" i="2"/>
  <c r="AM90" i="2"/>
  <c r="AM231" i="2"/>
  <c r="AM195" i="2"/>
  <c r="AM159" i="2"/>
  <c r="AM123" i="2"/>
  <c r="AM87" i="2"/>
  <c r="AM52" i="2"/>
  <c r="AM16" i="2"/>
  <c r="AM48" i="2"/>
  <c r="AM198" i="2"/>
  <c r="AM18" i="2"/>
  <c r="AM340" i="2"/>
  <c r="AM304" i="2"/>
  <c r="AM268" i="2"/>
  <c r="AM51" i="2"/>
  <c r="AM15" i="2"/>
  <c r="AM286" i="2"/>
  <c r="AM214" i="2"/>
  <c r="AM142" i="2"/>
  <c r="AM70" i="2"/>
  <c r="AM334" i="2"/>
  <c r="AM270" i="2"/>
  <c r="AM162" i="2"/>
  <c r="AM54" i="2"/>
  <c r="AM328" i="2"/>
  <c r="AM325" i="2"/>
  <c r="AM313" i="2"/>
  <c r="AM277" i="2"/>
  <c r="AM241" i="2"/>
  <c r="AM229" i="2"/>
  <c r="AM205" i="2"/>
  <c r="AM193" i="2"/>
  <c r="AM169" i="2"/>
  <c r="AM157" i="2"/>
  <c r="AM133" i="2"/>
  <c r="AM121" i="2"/>
  <c r="AM97" i="2"/>
  <c r="AM85" i="2"/>
  <c r="AM61" i="2"/>
  <c r="AM25" i="2"/>
  <c r="AM373" i="2"/>
  <c r="AM355" i="2"/>
  <c r="AM339" i="2"/>
  <c r="AM321" i="2"/>
  <c r="AM364" i="2"/>
  <c r="AM330" i="2"/>
  <c r="AM294" i="2"/>
  <c r="AM255" i="2"/>
  <c r="AM219" i="2"/>
  <c r="AM183" i="2"/>
  <c r="AM147" i="2"/>
  <c r="AM111" i="2"/>
  <c r="AM76" i="2"/>
  <c r="AM40" i="2"/>
  <c r="AM4" i="2"/>
  <c r="AM327" i="2"/>
  <c r="AM291" i="2"/>
  <c r="AM303" i="2"/>
  <c r="AM285" i="2"/>
  <c r="AM267" i="2"/>
  <c r="AM246" i="2"/>
  <c r="AM228" i="2"/>
  <c r="AM210" i="2"/>
  <c r="AM192" i="2"/>
  <c r="AM174" i="2"/>
  <c r="AM156" i="2"/>
  <c r="AM138" i="2"/>
  <c r="AM120" i="2"/>
  <c r="AM102" i="2"/>
  <c r="AM84" i="2"/>
  <c r="AM67" i="2"/>
  <c r="AM49" i="2"/>
  <c r="AM31" i="2"/>
  <c r="AM13" i="2"/>
  <c r="AM352" i="2"/>
  <c r="AM336" i="2"/>
  <c r="AM318" i="2"/>
  <c r="AM300" i="2"/>
  <c r="AM282" i="2"/>
  <c r="AM261" i="2"/>
  <c r="AM243" i="2"/>
  <c r="AM225" i="2"/>
  <c r="AM207" i="2"/>
  <c r="AM189" i="2"/>
  <c r="AM171" i="2"/>
  <c r="AM153" i="2"/>
  <c r="AM135" i="2"/>
  <c r="AM117" i="2"/>
  <c r="AM99" i="2"/>
  <c r="AM82" i="2"/>
  <c r="AM64" i="2"/>
  <c r="AM46" i="2"/>
  <c r="AM28" i="2"/>
  <c r="AM10" i="2"/>
  <c r="AM297" i="2"/>
  <c r="AL371" i="7"/>
  <c r="AB385" i="7"/>
  <c r="AB392" i="7" s="1"/>
  <c r="AF200" i="7"/>
  <c r="AF302" i="7"/>
  <c r="AF173" i="7"/>
  <c r="AI338" i="7"/>
  <c r="AF68" i="7"/>
  <c r="AI131" i="7"/>
  <c r="AF140" i="7"/>
  <c r="AI305" i="7"/>
  <c r="AI26" i="7"/>
  <c r="AF35" i="7"/>
  <c r="AI62" i="7"/>
  <c r="AF71" i="7"/>
  <c r="AI98" i="7"/>
  <c r="AF107" i="7"/>
  <c r="AI134" i="7"/>
  <c r="AF143" i="7"/>
  <c r="AI170" i="7"/>
  <c r="AF179" i="7"/>
  <c r="AI206" i="7"/>
  <c r="AF215" i="7"/>
  <c r="AI242" i="7"/>
  <c r="AF251" i="7"/>
  <c r="AI272" i="7"/>
  <c r="AF281" i="7"/>
  <c r="AI308" i="7"/>
  <c r="AF317" i="7"/>
  <c r="AI344" i="7"/>
  <c r="AF353" i="7"/>
  <c r="AF164" i="7"/>
  <c r="AF59" i="7"/>
  <c r="AF167" i="7"/>
  <c r="AF203" i="7"/>
  <c r="AF269" i="7"/>
  <c r="AF305" i="7"/>
  <c r="AF206" i="7"/>
  <c r="AF272" i="7"/>
  <c r="AF344" i="7"/>
  <c r="AF29" i="7"/>
  <c r="AF65" i="7"/>
  <c r="AF101" i="7"/>
  <c r="AF137" i="7"/>
  <c r="AI164" i="7"/>
  <c r="AI236" i="7"/>
  <c r="AI23" i="7"/>
  <c r="AI269" i="7"/>
  <c r="AF314" i="7"/>
  <c r="AF2" i="7"/>
  <c r="AI29" i="7"/>
  <c r="AF38" i="7"/>
  <c r="AI65" i="7"/>
  <c r="AF74" i="7"/>
  <c r="AI101" i="7"/>
  <c r="AF110" i="7"/>
  <c r="AI137" i="7"/>
  <c r="AF146" i="7"/>
  <c r="AI173" i="7"/>
  <c r="AF182" i="7"/>
  <c r="AI209" i="7"/>
  <c r="AF218" i="7"/>
  <c r="AI245" i="7"/>
  <c r="AF254" i="7"/>
  <c r="AF264" i="7"/>
  <c r="AI265" i="7"/>
  <c r="AI275" i="7"/>
  <c r="AF284" i="7"/>
  <c r="AI311" i="7"/>
  <c r="AF320" i="7"/>
  <c r="AI347" i="7"/>
  <c r="AF356" i="7"/>
  <c r="AF20" i="7"/>
  <c r="AF239" i="7"/>
  <c r="AF26" i="7"/>
  <c r="AF62" i="7"/>
  <c r="AF98" i="7"/>
  <c r="AF134" i="7"/>
  <c r="AF242" i="7"/>
  <c r="AF308" i="7"/>
  <c r="AI92" i="7"/>
  <c r="AI128" i="7"/>
  <c r="AF209" i="7"/>
  <c r="AF347" i="7"/>
  <c r="AF32" i="7"/>
  <c r="AI59" i="7"/>
  <c r="AI167" i="7"/>
  <c r="AI203" i="7"/>
  <c r="AF212" i="7"/>
  <c r="AF278" i="7"/>
  <c r="AI104" i="7"/>
  <c r="AI176" i="7"/>
  <c r="AI248" i="7"/>
  <c r="AI350" i="7"/>
  <c r="AF341" i="7"/>
  <c r="AF170" i="7"/>
  <c r="AI266" i="7"/>
  <c r="AF275" i="7"/>
  <c r="AF56" i="7"/>
  <c r="AF95" i="7"/>
  <c r="AF245" i="7"/>
  <c r="AF265" i="7"/>
  <c r="AF311" i="7"/>
  <c r="AJ263" i="2"/>
  <c r="AM263" i="2" s="1"/>
  <c r="AJ47" i="2"/>
  <c r="AM47" i="2" s="1"/>
  <c r="AJ299" i="2"/>
  <c r="AM299" i="2" s="1"/>
  <c r="AJ215" i="2"/>
  <c r="AM215" i="2" s="1"/>
  <c r="AJ179" i="2"/>
  <c r="AM179" i="2" s="1"/>
  <c r="AJ35" i="2"/>
  <c r="AM35" i="2" s="1"/>
  <c r="AJ359" i="2"/>
  <c r="AM359" i="2" s="1"/>
  <c r="AJ311" i="2"/>
  <c r="AM311" i="2" s="1"/>
  <c r="AJ227" i="2"/>
  <c r="AM227" i="2" s="1"/>
  <c r="AJ11" i="2"/>
  <c r="AJ191" i="2"/>
  <c r="AM191" i="2" s="1"/>
  <c r="AJ143" i="2"/>
  <c r="AM143" i="2" s="1"/>
  <c r="AJ371" i="2"/>
  <c r="AM371" i="2" s="1"/>
  <c r="AJ323" i="2"/>
  <c r="AM323" i="2" s="1"/>
  <c r="AJ275" i="2"/>
  <c r="AM275" i="2" s="1"/>
  <c r="AJ107" i="2"/>
  <c r="AM107" i="2" s="1"/>
  <c r="AG353" i="2"/>
  <c r="AJ155" i="2"/>
  <c r="AM155" i="2" s="1"/>
  <c r="AJ251" i="2"/>
  <c r="AM251" i="2" s="1"/>
  <c r="AJ71" i="2"/>
  <c r="AM71" i="2" s="1"/>
  <c r="AJ335" i="2"/>
  <c r="AM335" i="2" s="1"/>
  <c r="AJ287" i="2"/>
  <c r="AM287" i="2" s="1"/>
  <c r="AJ119" i="2"/>
  <c r="AM119" i="2" s="1"/>
  <c r="AJ265" i="2"/>
  <c r="AM265" i="2" s="1"/>
  <c r="AG305" i="2"/>
  <c r="AG233" i="2"/>
  <c r="AG77" i="2"/>
  <c r="AJ264" i="2"/>
  <c r="AM264" i="2" s="1"/>
  <c r="AJ368" i="2"/>
  <c r="AM368" i="2" s="1"/>
  <c r="AJ356" i="2"/>
  <c r="AM356" i="2" s="1"/>
  <c r="AJ344" i="2"/>
  <c r="AM344" i="2" s="1"/>
  <c r="AJ332" i="2"/>
  <c r="AM332" i="2" s="1"/>
  <c r="AJ320" i="2"/>
  <c r="AM320" i="2" s="1"/>
  <c r="AJ308" i="2"/>
  <c r="AM308" i="2" s="1"/>
  <c r="AJ296" i="2"/>
  <c r="AM296" i="2" s="1"/>
  <c r="AJ284" i="2"/>
  <c r="AM284" i="2" s="1"/>
  <c r="AJ272" i="2"/>
  <c r="AM272" i="2" s="1"/>
  <c r="AJ260" i="2"/>
  <c r="AM260" i="2" s="1"/>
  <c r="AJ248" i="2"/>
  <c r="AM248" i="2" s="1"/>
  <c r="AJ236" i="2"/>
  <c r="AM236" i="2" s="1"/>
  <c r="AJ224" i="2"/>
  <c r="AM224" i="2" s="1"/>
  <c r="AJ212" i="2"/>
  <c r="AM212" i="2" s="1"/>
  <c r="AJ200" i="2"/>
  <c r="AM200" i="2" s="1"/>
  <c r="AJ188" i="2"/>
  <c r="AM188" i="2" s="1"/>
  <c r="AJ176" i="2"/>
  <c r="AM176" i="2" s="1"/>
  <c r="AJ164" i="2"/>
  <c r="AM164" i="2" s="1"/>
  <c r="AJ152" i="2"/>
  <c r="AM152" i="2" s="1"/>
  <c r="AJ140" i="2"/>
  <c r="AM140" i="2" s="1"/>
  <c r="AJ128" i="2"/>
  <c r="AM128" i="2" s="1"/>
  <c r="AJ116" i="2"/>
  <c r="AM116" i="2" s="1"/>
  <c r="AJ104" i="2"/>
  <c r="AM104" i="2" s="1"/>
  <c r="AJ92" i="2"/>
  <c r="AM92" i="2" s="1"/>
  <c r="AJ80" i="2"/>
  <c r="AM80" i="2" s="1"/>
  <c r="AJ68" i="2"/>
  <c r="AM68" i="2" s="1"/>
  <c r="AJ56" i="2"/>
  <c r="AM56" i="2" s="1"/>
  <c r="AJ44" i="2"/>
  <c r="AM44" i="2" s="1"/>
  <c r="AJ32" i="2"/>
  <c r="AM32" i="2" s="1"/>
  <c r="AJ20" i="2"/>
  <c r="AM20" i="2" s="1"/>
  <c r="AJ8" i="2"/>
  <c r="AM8" i="2" s="1"/>
  <c r="AJ167" i="2"/>
  <c r="AM167" i="2" s="1"/>
  <c r="AJ131" i="2"/>
  <c r="AM131" i="2" s="1"/>
  <c r="AJ95" i="2"/>
  <c r="AM95" i="2" s="1"/>
  <c r="AG125" i="2"/>
  <c r="AJ23" i="2"/>
  <c r="AM23" i="2" s="1"/>
  <c r="AG89" i="2"/>
  <c r="AG365" i="2"/>
  <c r="AJ365" i="2"/>
  <c r="AM365" i="2" s="1"/>
  <c r="AJ353" i="2"/>
  <c r="AM353" i="2" s="1"/>
  <c r="AJ341" i="2"/>
  <c r="AM341" i="2" s="1"/>
  <c r="AJ329" i="2"/>
  <c r="AM329" i="2" s="1"/>
  <c r="AJ317" i="2"/>
  <c r="AM317" i="2" s="1"/>
  <c r="AJ305" i="2"/>
  <c r="AM305" i="2" s="1"/>
  <c r="AJ293" i="2"/>
  <c r="AM293" i="2" s="1"/>
  <c r="AJ281" i="2"/>
  <c r="AM281" i="2" s="1"/>
  <c r="AJ269" i="2"/>
  <c r="AM269" i="2" s="1"/>
  <c r="AJ257" i="2"/>
  <c r="AM257" i="2" s="1"/>
  <c r="AJ245" i="2"/>
  <c r="AM245" i="2" s="1"/>
  <c r="AJ233" i="2"/>
  <c r="AM233" i="2" s="1"/>
  <c r="AJ221" i="2"/>
  <c r="AM221" i="2" s="1"/>
  <c r="AJ209" i="2"/>
  <c r="AM209" i="2" s="1"/>
  <c r="AJ197" i="2"/>
  <c r="AM197" i="2" s="1"/>
  <c r="AJ185" i="2"/>
  <c r="AM185" i="2" s="1"/>
  <c r="AJ173" i="2"/>
  <c r="AM173" i="2" s="1"/>
  <c r="AJ161" i="2"/>
  <c r="AM161" i="2" s="1"/>
  <c r="AJ149" i="2"/>
  <c r="AM149" i="2" s="1"/>
  <c r="AJ137" i="2"/>
  <c r="AM137" i="2" s="1"/>
  <c r="AJ125" i="2"/>
  <c r="AM125" i="2" s="1"/>
  <c r="AJ113" i="2"/>
  <c r="AM113" i="2" s="1"/>
  <c r="AJ101" i="2"/>
  <c r="AM101" i="2" s="1"/>
  <c r="AJ89" i="2"/>
  <c r="AM89" i="2" s="1"/>
  <c r="AJ77" i="2"/>
  <c r="AM77" i="2" s="1"/>
  <c r="AJ65" i="2"/>
  <c r="AM65" i="2" s="1"/>
  <c r="AJ53" i="2"/>
  <c r="AM53" i="2" s="1"/>
  <c r="AJ41" i="2"/>
  <c r="AM41" i="2" s="1"/>
  <c r="AJ29" i="2"/>
  <c r="AJ17" i="2"/>
  <c r="AM17" i="2" s="1"/>
  <c r="AJ5" i="2"/>
  <c r="AM5" i="2" s="1"/>
  <c r="AJ203" i="2"/>
  <c r="AM203" i="2" s="1"/>
  <c r="AJ59" i="2"/>
  <c r="AM59" i="2" s="1"/>
  <c r="AG269" i="2"/>
  <c r="AJ239" i="2"/>
  <c r="AM239" i="2" s="1"/>
  <c r="AJ362" i="2"/>
  <c r="AM362" i="2" s="1"/>
  <c r="AJ350" i="2"/>
  <c r="AM350" i="2" s="1"/>
  <c r="AJ338" i="2"/>
  <c r="AM338" i="2" s="1"/>
  <c r="AJ326" i="2"/>
  <c r="AM326" i="2" s="1"/>
  <c r="AJ314" i="2"/>
  <c r="AM314" i="2" s="1"/>
  <c r="AJ302" i="2"/>
  <c r="AM302" i="2" s="1"/>
  <c r="AJ290" i="2"/>
  <c r="AM290" i="2" s="1"/>
  <c r="AJ278" i="2"/>
  <c r="AM278" i="2" s="1"/>
  <c r="AJ266" i="2"/>
  <c r="AM266" i="2" s="1"/>
  <c r="AJ254" i="2"/>
  <c r="AM254" i="2" s="1"/>
  <c r="AJ242" i="2"/>
  <c r="AM242" i="2" s="1"/>
  <c r="AJ230" i="2"/>
  <c r="AM230" i="2" s="1"/>
  <c r="AJ218" i="2"/>
  <c r="AM218" i="2" s="1"/>
  <c r="AJ206" i="2"/>
  <c r="AM206" i="2" s="1"/>
  <c r="AJ194" i="2"/>
  <c r="AM194" i="2" s="1"/>
  <c r="AJ182" i="2"/>
  <c r="AM182" i="2" s="1"/>
  <c r="AJ170" i="2"/>
  <c r="AM170" i="2" s="1"/>
  <c r="AJ158" i="2"/>
  <c r="AM158" i="2" s="1"/>
  <c r="AJ146" i="2"/>
  <c r="AM146" i="2" s="1"/>
  <c r="AJ134" i="2"/>
  <c r="AM134" i="2" s="1"/>
  <c r="AJ122" i="2"/>
  <c r="AM122" i="2" s="1"/>
  <c r="AJ110" i="2"/>
  <c r="AM110" i="2" s="1"/>
  <c r="AJ98" i="2"/>
  <c r="AM98" i="2" s="1"/>
  <c r="AJ86" i="2"/>
  <c r="AM86" i="2" s="1"/>
  <c r="AJ74" i="2"/>
  <c r="AM74" i="2" s="1"/>
  <c r="AJ62" i="2"/>
  <c r="AM62" i="2" s="1"/>
  <c r="AJ50" i="2"/>
  <c r="AM50" i="2" s="1"/>
  <c r="AJ38" i="2"/>
  <c r="AM38" i="2" s="1"/>
  <c r="AJ26" i="2"/>
  <c r="AM26" i="2" s="1"/>
  <c r="AJ14" i="2"/>
  <c r="AM14" i="2" s="1"/>
  <c r="AJ2" i="2"/>
  <c r="AM2" i="2" s="1"/>
  <c r="AG137" i="2"/>
  <c r="AG41" i="2"/>
  <c r="AG245" i="2"/>
  <c r="AG197" i="2"/>
  <c r="AG149" i="2"/>
  <c r="AG101" i="2"/>
  <c r="AG53" i="2"/>
  <c r="AG5" i="2"/>
  <c r="AG281" i="2"/>
  <c r="AG341" i="2"/>
  <c r="AG293" i="2"/>
  <c r="AG173" i="2"/>
  <c r="AG257" i="2"/>
  <c r="AG209" i="2"/>
  <c r="AG161" i="2"/>
  <c r="AG113" i="2"/>
  <c r="AG65" i="2"/>
  <c r="AG17" i="2"/>
  <c r="AG29" i="2"/>
  <c r="AG317" i="2"/>
  <c r="AG185" i="2"/>
  <c r="AG329" i="2"/>
  <c r="AG362" i="2"/>
  <c r="AG350" i="2"/>
  <c r="AG338" i="2"/>
  <c r="AG326" i="2"/>
  <c r="AG314" i="2"/>
  <c r="AG302" i="2"/>
  <c r="AG290" i="2"/>
  <c r="AG278" i="2"/>
  <c r="AG266" i="2"/>
  <c r="AG254" i="2"/>
  <c r="AG242" i="2"/>
  <c r="AG230" i="2"/>
  <c r="AG218" i="2"/>
  <c r="AG206" i="2"/>
  <c r="AG194" i="2"/>
  <c r="AG182" i="2"/>
  <c r="AG170" i="2"/>
  <c r="AG158" i="2"/>
  <c r="AG146" i="2"/>
  <c r="AG134" i="2"/>
  <c r="AG122" i="2"/>
  <c r="AG110" i="2"/>
  <c r="AG98" i="2"/>
  <c r="AG86" i="2"/>
  <c r="AG74" i="2"/>
  <c r="AG62" i="2"/>
  <c r="AG50" i="2"/>
  <c r="AG38" i="2"/>
  <c r="AG26" i="2"/>
  <c r="AG14" i="2"/>
  <c r="AG2" i="2"/>
  <c r="AG263" i="2"/>
  <c r="BB35" i="13" l="1"/>
  <c r="BB17" i="13"/>
  <c r="BB26" i="13"/>
  <c r="BB5" i="13"/>
  <c r="BB2" i="13"/>
  <c r="BB8" i="13"/>
  <c r="AM29" i="2"/>
  <c r="BB29" i="13"/>
  <c r="AM11" i="2"/>
  <c r="BB11" i="13"/>
  <c r="BB20" i="13"/>
  <c r="BB23" i="13"/>
  <c r="BB14" i="13"/>
  <c r="BB32" i="13"/>
  <c r="R38"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0CC802-8AA2-499D-87B5-FFE215AA8676}" keepAlive="1" name="Query - All_India_Index_Upto_April23 (1) (1)" description="Connection to the 'All_India_Index_Upto_April23 (1) (1)' query in the workbook." type="5" refreshedVersion="8" background="1" saveData="1">
    <dbPr connection="Provider=Microsoft.Mashup.OleDb.1;Data Source=$Workbook$;Location=&quot;All_India_Index_Upto_April23 (1) (1)&quot;;Extended Properties=&quot;&quot;" command="SELECT * FROM [All_India_Index_Upto_April23 (1) (1)]"/>
  </connection>
  <connection id="2" xr16:uid="{468B9BBD-9164-45D1-B866-AA57469B9533}" keepAlive="1" name="Query - All_India_Index_Upto_April23 (1) (2)" description="Connection to the 'All_India_Index_Upto_April23 (1) (2)' query in the workbook." type="5" refreshedVersion="8" background="1" saveData="1">
    <dbPr connection="Provider=Microsoft.Mashup.OleDb.1;Data Source=$Workbook$;Location=&quot;All_India_Index_Upto_April23 (1) (2)&quot;;Extended Properties=&quot;&quot;" command="SELECT * FROM [All_India_Index_Upto_April23 (1) (2)]"/>
  </connection>
  <connection id="3" xr16:uid="{A146176E-776D-4F8B-AD78-A4BA2A077308}" keepAlive="1" name="Query - All_India_Index_Upto_April23 (1) (3)" description="Connection to the 'All_India_Index_Upto_April23 (1) (3)' query in the workbook." type="5" refreshedVersion="8" background="1" saveData="1">
    <dbPr connection="Provider=Microsoft.Mashup.OleDb.1;Data Source=$Workbook$;Location=&quot;All_India_Index_Upto_April23 (1) (3)&quot;;Extended Properties=&quot;&quot;" command="SELECT * FROM [All_India_Index_Upto_April23 (1) (3)]"/>
  </connection>
</connections>
</file>

<file path=xl/sharedStrings.xml><?xml version="1.0" encoding="utf-8"?>
<sst xmlns="http://schemas.openxmlformats.org/spreadsheetml/2006/main" count="2881" uniqueCount="149">
  <si>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</si>
  <si>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</si>
  <si>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</si>
  <si>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</si>
  <si>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</si>
  <si>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</si>
  <si>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</si>
  <si>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</si>
  <si>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</si>
  <si>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</si>
  <si>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</si>
  <si>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</si>
  <si>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</si>
  <si>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</si>
  <si>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</si>
  <si>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</si>
  <si>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</si>
  <si>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</si>
  <si>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</si>
  <si>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</si>
  <si>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</si>
  <si>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</si>
  <si>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</si>
  <si>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</si>
  <si>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</si>
  <si>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</si>
  <si>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</si>
  <si>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</si>
  <si>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</si>
  <si>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</si>
  <si>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</si>
  <si>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</si>
  <si>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</si>
  <si>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</si>
  <si>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</si>
  <si>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</si>
  <si>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</si>
  <si>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</si>
  <si>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</si>
  <si>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</si>
  <si>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</si>
  <si>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</si>
  <si>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</si>
  <si>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</si>
  <si>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</si>
  <si>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</si>
  <si>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</si>
  <si>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Which broader category has the highest contribution towards CPI calculation Contribution is calculated by evaluating the underlying index values for broader category and should add to 100% when contribution from different broader categories are added</t>
  </si>
  <si>
    <t>2. A trend of Y-o-Y increase in CPI (rural + urban) inflation starting 2017 for the entire basket of products combined. ◦ Create a graph depicting the growth rate Y-o-Y and identify the year with highest inflation rate ◦ Highlight the reason why the year has the highest inflation (based on research).</t>
  </si>
  <si>
    <t>3. With India's retail inflation reaching a 3-month high of 5.55% in November 2023, largely due to a sharp rise in food prices. Analyze the following for 12 months ending May'23 Investigate trends in the prices of broader food bucket category and evaluate month-on-month changes. Highlight month with highest and lowest food inflation Identify the absolute changes in inflation over the same 12 months period and identify the biggest individual category contributor (only within broader food category) towards inflation</t>
  </si>
  <si>
    <t>4.Investigate how the onset and progression of the COVID-19 pandemic affected inflation rates in India. Analyze the impact of key pandemic milestone (first lockdown) on the CPI inflation %, specially focus on categories like healthcare, food, and essential services.</t>
  </si>
  <si>
    <t>Glossary</t>
  </si>
  <si>
    <t>Food Expense</t>
  </si>
  <si>
    <t xml:space="preserve">Include sum of </t>
  </si>
  <si>
    <t>Housing Expense</t>
  </si>
  <si>
    <t>Handle Missing Values</t>
  </si>
  <si>
    <t>Clothing Expense</t>
  </si>
  <si>
    <t>Include Clothing and Footwear</t>
  </si>
  <si>
    <t>Include fuel and light charges</t>
  </si>
  <si>
    <t>Include Health Charges</t>
  </si>
  <si>
    <t>Includes Transport and Communication Charges</t>
  </si>
  <si>
    <t>Other</t>
  </si>
  <si>
    <t>Insight</t>
  </si>
  <si>
    <t>Remarks</t>
  </si>
  <si>
    <t>Includes sum of personal care ,Miscllaneous,Recreation, Education</t>
  </si>
  <si>
    <t>General Index</t>
  </si>
  <si>
    <t xml:space="preserve">Average of total expenses </t>
  </si>
  <si>
    <t xml:space="preserve">Mean </t>
  </si>
  <si>
    <t>Median</t>
  </si>
  <si>
    <t>Standard Deviation</t>
  </si>
  <si>
    <t>percent</t>
  </si>
  <si>
    <t>Total food expense</t>
  </si>
  <si>
    <t>Other Expenses</t>
  </si>
  <si>
    <t>Grand Total</t>
  </si>
  <si>
    <t>Total</t>
  </si>
  <si>
    <t xml:space="preserve">Total Expenses </t>
  </si>
  <si>
    <t>Average food expense</t>
  </si>
  <si>
    <t>Average Housing Expense</t>
  </si>
  <si>
    <t>Average Other Expenses</t>
  </si>
  <si>
    <t>Sum of food expenses</t>
  </si>
  <si>
    <t>Sum of clothing</t>
  </si>
  <si>
    <t>Sum of Housing Exp</t>
  </si>
  <si>
    <t>Sum of others</t>
  </si>
  <si>
    <t>Percentage</t>
  </si>
  <si>
    <t>R+U</t>
  </si>
  <si>
    <t xml:space="preserve">Rural </t>
  </si>
  <si>
    <t>percentage</t>
  </si>
  <si>
    <t>Values</t>
  </si>
  <si>
    <t>Heading</t>
  </si>
  <si>
    <t>Category</t>
  </si>
  <si>
    <t>Food</t>
  </si>
  <si>
    <t>Others</t>
  </si>
  <si>
    <t xml:space="preserve">% inflation </t>
  </si>
  <si>
    <t>Average of Sum of food expenses</t>
  </si>
  <si>
    <t>Average of Fuel and light</t>
  </si>
  <si>
    <t>Average of Health</t>
  </si>
  <si>
    <t>(All)</t>
  </si>
  <si>
    <t>Apr-23</t>
  </si>
  <si>
    <t>Aug-22</t>
  </si>
  <si>
    <t>Dec-22</t>
  </si>
  <si>
    <t>Feb-23</t>
  </si>
  <si>
    <t>Jan-23</t>
  </si>
  <si>
    <t>Jul-22</t>
  </si>
  <si>
    <t>Jun-22</t>
  </si>
  <si>
    <t>Mar-23</t>
  </si>
  <si>
    <t>May-23</t>
  </si>
  <si>
    <t>Nov-22</t>
  </si>
  <si>
    <t>Oct-22</t>
  </si>
  <si>
    <t>Sep-22</t>
  </si>
  <si>
    <t>Short date</t>
  </si>
  <si>
    <t>Average of Average food expense</t>
  </si>
  <si>
    <t xml:space="preserve">M-O-M % change in food </t>
  </si>
  <si>
    <t xml:space="preserve">Sum of M-O-M % change in food </t>
  </si>
  <si>
    <t>% Inflation change</t>
  </si>
  <si>
    <t>average</t>
  </si>
  <si>
    <t>Rural +Urban</t>
  </si>
  <si>
    <t>Short Date</t>
  </si>
  <si>
    <t>Jan-18</t>
  </si>
  <si>
    <t>Dec-18</t>
  </si>
  <si>
    <t>Jan-19</t>
  </si>
  <si>
    <t>Dec-19</t>
  </si>
  <si>
    <t>Jan-20</t>
  </si>
  <si>
    <t>Dec-20</t>
  </si>
  <si>
    <t>Jan-21</t>
  </si>
  <si>
    <t>Dec-21</t>
  </si>
  <si>
    <t>Jan-22</t>
  </si>
  <si>
    <t>inflation of food</t>
  </si>
  <si>
    <t>inflation of health</t>
  </si>
  <si>
    <t>inflation of others</t>
  </si>
  <si>
    <t>Pre Covid</t>
  </si>
  <si>
    <t>Covid</t>
  </si>
  <si>
    <t>Post covid</t>
  </si>
  <si>
    <t xml:space="preserve">            </t>
  </si>
  <si>
    <t>Feb-21</t>
  </si>
  <si>
    <t>Mar-21</t>
  </si>
  <si>
    <t>Apr-21</t>
  </si>
  <si>
    <t>May-21</t>
  </si>
  <si>
    <t>Jun-21</t>
  </si>
  <si>
    <t>Jul-21</t>
  </si>
  <si>
    <t>Aug-21</t>
  </si>
  <si>
    <t>Sep-21</t>
  </si>
  <si>
    <t>Oct-21</t>
  </si>
  <si>
    <t>Nov-21</t>
  </si>
  <si>
    <t>Feb-22</t>
  </si>
  <si>
    <t>Mar-22</t>
  </si>
  <si>
    <t>Apr-22</t>
  </si>
  <si>
    <t>May-22</t>
  </si>
  <si>
    <t>Crude oil</t>
  </si>
  <si>
    <t>Correal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</si>
</sst>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theme="1"/>
      <name val="Aptos Display"/>
      <family val="2"/>
    </font>
    <font>
      <sz val="8"/>
      <color rgb="FF1F1F1F"/>
      <name val="Arial"/>
      <family val="2"/>
    </font>
    <font>
      <sz val="8"/>
      <name val="Arial"/>
      <family val="2"/>
    </font>
    <font>
      <sz val="11"/>
      <name val="Times New Roman"/>
      <family val="1"/>
    </font>
    <font>
      <sz val="11"/>
      <name val="Tahoma"/>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0"/>
        <bgColor indexed="64"/>
      </patternFill>
    </fill>
  </fills>
  <borders count="7">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9" tint="0.39997558519241921"/>
      </left>
      <right/>
      <top style="thin">
        <color theme="9" tint="0.39997558519241921"/>
      </top>
      <bottom style="thin">
        <color theme="9" tint="0.39997558519241921"/>
      </bottom>
      <diagonal/>
    </border>
  </borders>
  <cellStyleXfs count="3">
    <xf numFmtId="0" fontId="0" fillId="0" borderId="0"/>
    <xf numFmtId="9" fontId="1" fillId="0" borderId="0" applyFont="0" applyFill="0" applyBorder="0" applyAlignment="0" applyProtection="0"/>
    <xf numFmtId="0" fontId="6" fillId="0" borderId="0"/>
  </cellStyleXfs>
  <cellXfs count="39">
    <xf numFmtId="0" fontId="0" fillId="0" borderId="0" xfId="0"/>
    <xf numFmtId="0" fontId="2" fillId="2" borderId="1" xfId="0" applyFont="1" applyFill="1" applyBorder="1"/>
    <xf numFmtId="0" fontId="0" fillId="3" borderId="1" xfId="0" applyFill="1" applyBorder="1"/>
    <xf numFmtId="0" fontId="2" fillId="2" borderId="2" xfId="0" applyFont="1" applyFill="1" applyBorder="1"/>
    <xf numFmtId="0" fontId="4" fillId="0" borderId="0" xfId="0" applyFont="1" applyAlignment="1">
      <alignment horizontal="left" vertical="center" wrapText="1"/>
    </xf>
    <xf numFmtId="0" fontId="4" fillId="0" borderId="0" xfId="0" applyFont="1" applyAlignment="1">
      <alignment horizontal="left" wrapText="1"/>
    </xf>
    <xf numFmtId="0" fontId="3" fillId="0" borderId="3" xfId="0" applyFont="1" applyBorder="1"/>
    <xf numFmtId="0" fontId="0" fillId="0" borderId="3" xfId="0" applyBorder="1"/>
    <xf numFmtId="0" fontId="3" fillId="0" borderId="3" xfId="0" applyFont="1" applyBorder="1" applyAlignment="1">
      <alignment vertical="top" wrapText="1"/>
    </xf>
    <xf numFmtId="0" fontId="3" fillId="0" borderId="3" xfId="0" applyFont="1" applyBorder="1" applyAlignment="1">
      <alignment wrapText="1"/>
    </xf>
    <xf numFmtId="0" fontId="0" fillId="0" borderId="1" xfId="0" applyBorder="1"/>
    <xf numFmtId="2" fontId="0" fillId="0" borderId="0" xfId="0" applyNumberFormat="1"/>
    <xf numFmtId="164" fontId="0" fillId="0" borderId="0" xfId="0" applyNumberFormat="1"/>
    <xf numFmtId="9" fontId="0" fillId="0" borderId="0" xfId="1" applyFont="1"/>
    <xf numFmtId="0" fontId="0" fillId="0" borderId="0" xfId="0" pivotButton="1"/>
    <xf numFmtId="0" fontId="3" fillId="4" borderId="4" xfId="0" applyFont="1" applyFill="1" applyBorder="1"/>
    <xf numFmtId="0" fontId="3" fillId="4" borderId="5" xfId="0" applyFont="1" applyFill="1" applyBorder="1"/>
    <xf numFmtId="0" fontId="3" fillId="4" borderId="0" xfId="0" applyFont="1" applyFill="1"/>
    <xf numFmtId="164" fontId="0" fillId="3" borderId="1" xfId="0" applyNumberFormat="1" applyFill="1" applyBorder="1"/>
    <xf numFmtId="0" fontId="3" fillId="4" borderId="4" xfId="0" applyFont="1" applyFill="1" applyBorder="1" applyAlignment="1">
      <alignment horizontal="center"/>
    </xf>
    <xf numFmtId="0" fontId="0" fillId="3" borderId="6" xfId="0" applyFill="1" applyBorder="1"/>
    <xf numFmtId="0" fontId="0" fillId="0" borderId="6" xfId="0" applyBorder="1"/>
    <xf numFmtId="0" fontId="2" fillId="2" borderId="6" xfId="0" applyFont="1" applyFill="1" applyBorder="1"/>
    <xf numFmtId="164" fontId="0" fillId="0" borderId="1" xfId="0" applyNumberFormat="1" applyBorder="1"/>
    <xf numFmtId="164" fontId="0" fillId="0" borderId="2" xfId="0" applyNumberFormat="1" applyBorder="1"/>
    <xf numFmtId="164" fontId="0" fillId="3" borderId="2" xfId="0" applyNumberFormat="1" applyFill="1" applyBorder="1"/>
    <xf numFmtId="0" fontId="5" fillId="0" borderId="0" xfId="0" applyFont="1"/>
    <xf numFmtId="165" fontId="0" fillId="0" borderId="1" xfId="0" applyNumberFormat="1" applyBorder="1"/>
    <xf numFmtId="10" fontId="0" fillId="0" borderId="0" xfId="0" applyNumberFormat="1"/>
    <xf numFmtId="166" fontId="0" fillId="3" borderId="1" xfId="1" applyNumberFormat="1" applyFont="1" applyFill="1" applyBorder="1"/>
    <xf numFmtId="166" fontId="0" fillId="0" borderId="0" xfId="0" applyNumberFormat="1"/>
    <xf numFmtId="166" fontId="0" fillId="0" borderId="1" xfId="1" applyNumberFormat="1" applyFont="1" applyBorder="1"/>
    <xf numFmtId="166" fontId="0" fillId="0" borderId="0" xfId="1" applyNumberFormat="1" applyFont="1"/>
    <xf numFmtId="0" fontId="0" fillId="0" borderId="3" xfId="0" applyBorder="1" applyAlignment="1">
      <alignment horizontal="center" vertical="center"/>
    </xf>
    <xf numFmtId="166" fontId="0" fillId="0" borderId="3" xfId="1" applyNumberFormat="1" applyFont="1" applyBorder="1"/>
    <xf numFmtId="1" fontId="7" fillId="5" borderId="3" xfId="2" applyNumberFormat="1" applyFont="1" applyFill="1" applyBorder="1" applyAlignment="1">
      <alignment horizontal="right"/>
    </xf>
    <xf numFmtId="1" fontId="8" fillId="5" borderId="3" xfId="2" applyNumberFormat="1" applyFont="1" applyFill="1" applyBorder="1" applyAlignment="1">
      <alignment horizontal="right"/>
    </xf>
    <xf numFmtId="0" fontId="0" fillId="0" borderId="3" xfId="0" applyBorder="1" applyAlignment="1">
      <alignment horizontal="center" vertical="center"/>
    </xf>
    <xf numFmtId="0" fontId="0" fillId="0" borderId="0" xfId="0" applyAlignment="1">
      <alignment horizontal="center"/>
    </xf>
  </cellXfs>
  <cellStyles count="3">
    <cellStyle name="Normal" xfId="0" builtinId="0"/>
    <cellStyle name="Normal 2 2 3 5" xfId="2" xr:uid="{40C25615-00D1-4E3C-86F0-2D8C4D422F10}"/>
    <cellStyle name="Percent" xfId="1" builtinId="5"/>
  </cellStyles>
  <dxfs count="32">
    <dxf>
      <numFmt numFmtId="164" formatCode="0.0"/>
    </dxf>
    <dxf>
      <numFmt numFmtId="164" formatCode="0.0"/>
    </dxf>
    <dxf>
      <numFmt numFmtId="164" formatCode="0.0"/>
    </dxf>
    <dxf>
      <numFmt numFmtId="0" formatCode="General"/>
    </dxf>
    <dxf>
      <numFmt numFmtId="0" formatCode="General"/>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14"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Inflation Year Wise from 2017-23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291675127285307"/>
          <c:y val="0.17568888888888889"/>
          <c:w val="0.77083248727146925"/>
          <c:h val="0.67674855643044618"/>
        </c:manualLayout>
      </c:layout>
      <c:lineChart>
        <c:grouping val="standard"/>
        <c:varyColors val="0"/>
        <c:ser>
          <c:idx val="0"/>
          <c:order val="0"/>
          <c:tx>
            <c:strRef>
              <c:f>'Solution 2'!$C$18</c:f>
              <c:strCache>
                <c:ptCount val="1"/>
                <c:pt idx="0">
                  <c:v>% inflation </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'Solution 2'!$A$19:$A$25</c:f>
              <c:numCache>
                <c:formatCode>General</c:formatCode>
                <c:ptCount val="7"/>
                <c:pt idx="0">
                  <c:v>2017</c:v>
                </c:pt>
                <c:pt idx="1">
                  <c:v>2018</c:v>
                </c:pt>
                <c:pt idx="2">
                  <c:v>2019</c:v>
                </c:pt>
                <c:pt idx="3">
                  <c:v>2020</c:v>
                </c:pt>
                <c:pt idx="4">
                  <c:v>2021</c:v>
                </c:pt>
                <c:pt idx="5">
                  <c:v>2022</c:v>
                </c:pt>
                <c:pt idx="6">
                  <c:v>2023</c:v>
                </c:pt>
              </c:numCache>
            </c:numRef>
          </c:cat>
          <c:val>
            <c:numRef>
              <c:f>'Solution 2'!$C$19:$C$25</c:f>
              <c:numCache>
                <c:formatCode>0%</c:formatCode>
                <c:ptCount val="7"/>
                <c:pt idx="1">
                  <c:v>3.9609321310314437E-2</c:v>
                </c:pt>
                <c:pt idx="2">
                  <c:v>3.9358550145593613E-2</c:v>
                </c:pt>
                <c:pt idx="3">
                  <c:v>6.3851393969976147E-2</c:v>
                </c:pt>
                <c:pt idx="4">
                  <c:v>5.2740276962542715E-2</c:v>
                </c:pt>
                <c:pt idx="5">
                  <c:v>6.6029943211151437E-2</c:v>
                </c:pt>
                <c:pt idx="6">
                  <c:v>3.195312121652364E-2</c:v>
                </c:pt>
              </c:numCache>
            </c:numRef>
          </c:val>
          <c:smooth val="0"/>
          <c:extLst>
            <c:ext xmlns:c16="http://schemas.microsoft.com/office/drawing/2014/chart" uri="{C3380CC4-5D6E-409C-BE32-E72D297353CC}">
              <c16:uniqueId val="{00000000-FDDB-4DE1-B03A-66E6135A3216}"/>
            </c:ext>
          </c:extLst>
        </c:ser>
        <c:dLbls>
          <c:dLblPos val="t"/>
          <c:showLegendKey val="0"/>
          <c:showVal val="1"/>
          <c:showCatName val="0"/>
          <c:showSerName val="0"/>
          <c:showPercent val="0"/>
          <c:showBubbleSize val="0"/>
        </c:dLbls>
        <c:smooth val="0"/>
        <c:axId val="57429247"/>
        <c:axId val="57429727"/>
      </c:lineChart>
      <c:catAx>
        <c:axId val="574292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429727"/>
        <c:crosses val="autoZero"/>
        <c:auto val="1"/>
        <c:lblAlgn val="ctr"/>
        <c:lblOffset val="100"/>
        <c:noMultiLvlLbl val="0"/>
      </c:catAx>
      <c:valAx>
        <c:axId val="5742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42924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2!PivotTable8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 2'!$B$3:$B$4</c:f>
              <c:strCache>
                <c:ptCount val="1"/>
                <c:pt idx="0">
                  <c:v>Average of Sum of food expenses</c:v>
                </c:pt>
              </c:strCache>
            </c:strRef>
          </c:tx>
          <c:spPr>
            <a:solidFill>
              <a:schemeClr val="accent1"/>
            </a:solidFill>
            <a:ln>
              <a:noFill/>
            </a:ln>
            <a:effectLst/>
          </c:spPr>
          <c:invertIfNegative val="0"/>
          <c:cat>
            <c:strRef>
              <c:f>'Solution 2'!$A$5:$A$7</c:f>
              <c:strCache>
                <c:ptCount val="2"/>
                <c:pt idx="0">
                  <c:v>2021</c:v>
                </c:pt>
                <c:pt idx="1">
                  <c:v>2022</c:v>
                </c:pt>
              </c:strCache>
            </c:strRef>
          </c:cat>
          <c:val>
            <c:numRef>
              <c:f>'Solution 2'!$B$5:$B$7</c:f>
              <c:numCache>
                <c:formatCode>0.0</c:formatCode>
                <c:ptCount val="2"/>
                <c:pt idx="0">
                  <c:v>2315.0638888888893</c:v>
                </c:pt>
                <c:pt idx="1">
                  <c:v>2442.1916666666657</c:v>
                </c:pt>
              </c:numCache>
            </c:numRef>
          </c:val>
          <c:extLst>
            <c:ext xmlns:c16="http://schemas.microsoft.com/office/drawing/2014/chart" uri="{C3380CC4-5D6E-409C-BE32-E72D297353CC}">
              <c16:uniqueId val="{00000000-3594-41CA-87AF-33394FDC7DD3}"/>
            </c:ext>
          </c:extLst>
        </c:ser>
        <c:ser>
          <c:idx val="1"/>
          <c:order val="1"/>
          <c:tx>
            <c:strRef>
              <c:f>'Solution 2'!$C$3:$C$4</c:f>
              <c:strCache>
                <c:ptCount val="1"/>
                <c:pt idx="0">
                  <c:v>Average of Fuel and light</c:v>
                </c:pt>
              </c:strCache>
            </c:strRef>
          </c:tx>
          <c:spPr>
            <a:solidFill>
              <a:schemeClr val="accent2"/>
            </a:solidFill>
            <a:ln>
              <a:noFill/>
            </a:ln>
            <a:effectLst/>
          </c:spPr>
          <c:invertIfNegative val="0"/>
          <c:cat>
            <c:strRef>
              <c:f>'Solution 2'!$A$5:$A$7</c:f>
              <c:strCache>
                <c:ptCount val="2"/>
                <c:pt idx="0">
                  <c:v>2021</c:v>
                </c:pt>
                <c:pt idx="1">
                  <c:v>2022</c:v>
                </c:pt>
              </c:strCache>
            </c:strRef>
          </c:cat>
          <c:val>
            <c:numRef>
              <c:f>'Solution 2'!$C$5:$C$7</c:f>
              <c:numCache>
                <c:formatCode>0.0</c:formatCode>
                <c:ptCount val="2"/>
                <c:pt idx="0">
                  <c:v>158.70833333333329</c:v>
                </c:pt>
                <c:pt idx="1">
                  <c:v>174.96944444444441</c:v>
                </c:pt>
              </c:numCache>
            </c:numRef>
          </c:val>
          <c:extLst>
            <c:ext xmlns:c16="http://schemas.microsoft.com/office/drawing/2014/chart" uri="{C3380CC4-5D6E-409C-BE32-E72D297353CC}">
              <c16:uniqueId val="{00000001-3594-41CA-87AF-33394FDC7DD3}"/>
            </c:ext>
          </c:extLst>
        </c:ser>
        <c:ser>
          <c:idx val="2"/>
          <c:order val="2"/>
          <c:tx>
            <c:strRef>
              <c:f>'Solution 2'!$D$3:$D$4</c:f>
              <c:strCache>
                <c:ptCount val="1"/>
                <c:pt idx="0">
                  <c:v>Average of Health</c:v>
                </c:pt>
              </c:strCache>
            </c:strRef>
          </c:tx>
          <c:spPr>
            <a:solidFill>
              <a:schemeClr val="accent3"/>
            </a:solidFill>
            <a:ln>
              <a:noFill/>
            </a:ln>
            <a:effectLst/>
          </c:spPr>
          <c:invertIfNegative val="0"/>
          <c:cat>
            <c:strRef>
              <c:f>'Solution 2'!$A$5:$A$7</c:f>
              <c:strCache>
                <c:ptCount val="2"/>
                <c:pt idx="0">
                  <c:v>2021</c:v>
                </c:pt>
                <c:pt idx="1">
                  <c:v>2022</c:v>
                </c:pt>
              </c:strCache>
            </c:strRef>
          </c:cat>
          <c:val>
            <c:numRef>
              <c:f>'Solution 2'!$D$5:$D$7</c:f>
              <c:numCache>
                <c:formatCode>0.0</c:formatCode>
                <c:ptCount val="2"/>
                <c:pt idx="0">
                  <c:v>165.13333333333338</c:v>
                </c:pt>
                <c:pt idx="1">
                  <c:v>175.35277777777776</c:v>
                </c:pt>
              </c:numCache>
            </c:numRef>
          </c:val>
          <c:extLst>
            <c:ext xmlns:c16="http://schemas.microsoft.com/office/drawing/2014/chart" uri="{C3380CC4-5D6E-409C-BE32-E72D297353CC}">
              <c16:uniqueId val="{00000002-3594-41CA-87AF-33394FDC7DD3}"/>
            </c:ext>
          </c:extLst>
        </c:ser>
        <c:dLbls>
          <c:showLegendKey val="0"/>
          <c:showVal val="0"/>
          <c:showCatName val="0"/>
          <c:showSerName val="0"/>
          <c:showPercent val="0"/>
          <c:showBubbleSize val="0"/>
        </c:dLbls>
        <c:gapWidth val="219"/>
        <c:overlap val="-27"/>
        <c:axId val="865468351"/>
        <c:axId val="865468831"/>
      </c:barChart>
      <c:catAx>
        <c:axId val="86546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468831"/>
        <c:crosses val="autoZero"/>
        <c:auto val="1"/>
        <c:lblAlgn val="ctr"/>
        <c:lblOffset val="100"/>
        <c:noMultiLvlLbl val="0"/>
      </c:catAx>
      <c:valAx>
        <c:axId val="8654688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46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Impact Of Covid -19 on cpi inflation (Pre VS Post covid) For Rural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'solution 4'!$C$35</c:f>
              <c:strCache>
                <c:ptCount val="1"/>
                <c:pt idx="0">
                  <c:v>inflation of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4'!$C$36:$C$40</c:f>
              <c:numCache>
                <c:formatCode>0.0%</c:formatCode>
                <c:ptCount val="5"/>
                <c:pt idx="0">
                  <c:v>-9.6198127206671077E-3</c:v>
                </c:pt>
                <c:pt idx="1">
                  <c:v>9.7019195755084803E-2</c:v>
                </c:pt>
                <c:pt idx="2">
                  <c:v>8.3950265755504988E-2</c:v>
                </c:pt>
                <c:pt idx="3">
                  <c:v>4.8304670488379456E-2</c:v>
                </c:pt>
                <c:pt idx="4">
                  <c:v>5.5169176942441521E-2</c:v>
                </c:pt>
              </c:numCache>
            </c:numRef>
          </c:val>
          <c:extLst>
            <c:ext xmlns:c16="http://schemas.microsoft.com/office/drawing/2014/chart" uri="{C3380CC4-5D6E-409C-BE32-E72D297353CC}">
              <c16:uniqueId val="{00000000-BCAA-446C-8C74-7D5F63B7FEA1}"/>
            </c:ext>
          </c:extLst>
        </c:ser>
        <c:ser>
          <c:idx val="1"/>
          <c:order val="1"/>
          <c:tx>
            <c:strRef>
              <c:f>'solution 4'!$D$35</c:f>
              <c:strCache>
                <c:ptCount val="1"/>
                <c:pt idx="0">
                  <c:v>inflation of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4'!$D$36:$D$40</c:f>
              <c:numCache>
                <c:formatCode>0.0%</c:formatCode>
                <c:ptCount val="5"/>
                <c:pt idx="0">
                  <c:v>9.9999999999999964E-2</c:v>
                </c:pt>
                <c:pt idx="1">
                  <c:v>3.4759358288770172E-2</c:v>
                </c:pt>
                <c:pt idx="2">
                  <c:v>3.7893384714194005E-2</c:v>
                </c:pt>
                <c:pt idx="3">
                  <c:v>7.0769230769230765E-2</c:v>
                </c:pt>
                <c:pt idx="4">
                  <c:v>5.0372066399542142E-2</c:v>
                </c:pt>
              </c:numCache>
            </c:numRef>
          </c:val>
          <c:extLst>
            <c:ext xmlns:c16="http://schemas.microsoft.com/office/drawing/2014/chart" uri="{C3380CC4-5D6E-409C-BE32-E72D297353CC}">
              <c16:uniqueId val="{00000001-BCAA-446C-8C74-7D5F63B7FEA1}"/>
            </c:ext>
          </c:extLst>
        </c:ser>
        <c:ser>
          <c:idx val="2"/>
          <c:order val="2"/>
          <c:tx>
            <c:strRef>
              <c:f>'solution 4'!$E$35</c:f>
              <c:strCache>
                <c:ptCount val="1"/>
                <c:pt idx="0">
                  <c:v>inflation of 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4'!$E$36:$E$40</c:f>
              <c:numCache>
                <c:formatCode>0.0%</c:formatCode>
                <c:ptCount val="5"/>
                <c:pt idx="0">
                  <c:v>6.780923994038765E-2</c:v>
                </c:pt>
                <c:pt idx="1">
                  <c:v>4.3607186464329324E-2</c:v>
                </c:pt>
                <c:pt idx="2">
                  <c:v>4.3492695883134015E-2</c:v>
                </c:pt>
                <c:pt idx="3">
                  <c:v>5.1212938005390757E-2</c:v>
                </c:pt>
                <c:pt idx="4">
                  <c:v>5.281372253987382E-2</c:v>
                </c:pt>
              </c:numCache>
            </c:numRef>
          </c:val>
          <c:extLst>
            <c:ext xmlns:c16="http://schemas.microsoft.com/office/drawing/2014/chart" uri="{C3380CC4-5D6E-409C-BE32-E72D297353CC}">
              <c16:uniqueId val="{00000002-BCAA-446C-8C74-7D5F63B7FEA1}"/>
            </c:ext>
          </c:extLst>
        </c:ser>
        <c:dLbls>
          <c:dLblPos val="outEnd"/>
          <c:showLegendKey val="0"/>
          <c:showVal val="1"/>
          <c:showCatName val="0"/>
          <c:showSerName val="0"/>
          <c:showPercent val="0"/>
          <c:showBubbleSize val="0"/>
        </c:dLbls>
        <c:gapWidth val="219"/>
        <c:overlap val="-27"/>
        <c:axId val="181109552"/>
        <c:axId val="181112432"/>
      </c:barChart>
      <c:catAx>
        <c:axId val="18110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2432"/>
        <c:crosses val="autoZero"/>
        <c:auto val="1"/>
        <c:lblAlgn val="ctr"/>
        <c:lblOffset val="100"/>
        <c:noMultiLvlLbl val="0"/>
      </c:catAx>
      <c:valAx>
        <c:axId val="181112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Impact Of Covid -19 on cpi inflation (Pre VS Post covid) For R+U</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'solution 4'!$I$35</c:f>
              <c:strCache>
                <c:ptCount val="1"/>
                <c:pt idx="0">
                  <c:v>inflation of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4'!$I$36:$I$40</c:f>
              <c:numCache>
                <c:formatCode>0.0%</c:formatCode>
                <c:ptCount val="5"/>
                <c:pt idx="0">
                  <c:v>-4.5487439263932642E-3</c:v>
                </c:pt>
                <c:pt idx="1">
                  <c:v>0.10330794114577922</c:v>
                </c:pt>
                <c:pt idx="2">
                  <c:v>8.7646947288585561E-2</c:v>
                </c:pt>
                <c:pt idx="3">
                  <c:v>4.8740609809986825E-2</c:v>
                </c:pt>
                <c:pt idx="4">
                  <c:v>5.2749957562383577E-2</c:v>
                </c:pt>
              </c:numCache>
            </c:numRef>
          </c:val>
          <c:extLst>
            <c:ext xmlns:c16="http://schemas.microsoft.com/office/drawing/2014/chart" uri="{C3380CC4-5D6E-409C-BE32-E72D297353CC}">
              <c16:uniqueId val="{00000000-3248-4813-A6CD-7F36AC1FD08F}"/>
            </c:ext>
          </c:extLst>
        </c:ser>
        <c:ser>
          <c:idx val="1"/>
          <c:order val="1"/>
          <c:tx>
            <c:strRef>
              <c:f>'solution 4'!$J$35</c:f>
              <c:strCache>
                <c:ptCount val="1"/>
                <c:pt idx="0">
                  <c:v>inflation of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4'!$J$36:$J$40</c:f>
              <c:numCache>
                <c:formatCode>0.0%</c:formatCode>
                <c:ptCount val="5"/>
                <c:pt idx="0">
                  <c:v>8.7021755438859663E-2</c:v>
                </c:pt>
                <c:pt idx="1">
                  <c:v>3.6526533425224064E-2</c:v>
                </c:pt>
                <c:pt idx="2">
                  <c:v>4.6957671957672115E-2</c:v>
                </c:pt>
                <c:pt idx="3">
                  <c:v>7.0935342121782693E-2</c:v>
                </c:pt>
                <c:pt idx="4">
                  <c:v>5.6592765460910084E-2</c:v>
                </c:pt>
              </c:numCache>
            </c:numRef>
          </c:val>
          <c:extLst>
            <c:ext xmlns:c16="http://schemas.microsoft.com/office/drawing/2014/chart" uri="{C3380CC4-5D6E-409C-BE32-E72D297353CC}">
              <c16:uniqueId val="{00000001-3248-4813-A6CD-7F36AC1FD08F}"/>
            </c:ext>
          </c:extLst>
        </c:ser>
        <c:ser>
          <c:idx val="2"/>
          <c:order val="2"/>
          <c:tx>
            <c:strRef>
              <c:f>'solution 4'!$K$35</c:f>
              <c:strCache>
                <c:ptCount val="1"/>
                <c:pt idx="0">
                  <c:v>inflation of 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4'!$K$36:$K$40</c:f>
              <c:numCache>
                <c:formatCode>0.0%</c:formatCode>
                <c:ptCount val="5"/>
                <c:pt idx="0">
                  <c:v>5.8655494191582912E-2</c:v>
                </c:pt>
                <c:pt idx="1">
                  <c:v>4.3657923104563338E-2</c:v>
                </c:pt>
                <c:pt idx="2">
                  <c:v>5.4054054054053689E-2</c:v>
                </c:pt>
                <c:pt idx="3">
                  <c:v>5.1983805668016234E-2</c:v>
                </c:pt>
                <c:pt idx="4">
                  <c:v>6.0159607120933163E-2</c:v>
                </c:pt>
              </c:numCache>
            </c:numRef>
          </c:val>
          <c:extLst>
            <c:ext xmlns:c16="http://schemas.microsoft.com/office/drawing/2014/chart" uri="{C3380CC4-5D6E-409C-BE32-E72D297353CC}">
              <c16:uniqueId val="{00000002-3248-4813-A6CD-7F36AC1FD08F}"/>
            </c:ext>
          </c:extLst>
        </c:ser>
        <c:dLbls>
          <c:dLblPos val="outEnd"/>
          <c:showLegendKey val="0"/>
          <c:showVal val="1"/>
          <c:showCatName val="0"/>
          <c:showSerName val="0"/>
          <c:showPercent val="0"/>
          <c:showBubbleSize val="0"/>
        </c:dLbls>
        <c:gapWidth val="219"/>
        <c:overlap val="-27"/>
        <c:axId val="1037073104"/>
        <c:axId val="1037072624"/>
      </c:barChart>
      <c:catAx>
        <c:axId val="10370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72624"/>
        <c:crosses val="autoZero"/>
        <c:auto val="1"/>
        <c:lblAlgn val="ctr"/>
        <c:lblOffset val="100"/>
        <c:noMultiLvlLbl val="0"/>
      </c:catAx>
      <c:valAx>
        <c:axId val="1037072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7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Impact Of Covid -19 on cpi inflation (Pre VS Post covid) For Urban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'solution 4'!$O$35</c:f>
              <c:strCache>
                <c:ptCount val="1"/>
                <c:pt idx="0">
                  <c:v>inflation of food</c:v>
                </c:pt>
              </c:strCache>
            </c:strRef>
          </c:tx>
          <c:spPr>
            <a:solidFill>
              <a:schemeClr val="accent1"/>
            </a:solidFill>
            <a:ln>
              <a:noFill/>
            </a:ln>
            <a:effectLst/>
          </c:spPr>
          <c:invertIfNegative val="0"/>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4'!$O$36:$O$40</c:f>
              <c:numCache>
                <c:formatCode>0.0%</c:formatCode>
                <c:ptCount val="5"/>
                <c:pt idx="0">
                  <c:v>2.7282266526755458E-3</c:v>
                </c:pt>
                <c:pt idx="1">
                  <c:v>0.11424829753797781</c:v>
                </c:pt>
                <c:pt idx="2">
                  <c:v>9.4225498535110155E-2</c:v>
                </c:pt>
                <c:pt idx="3">
                  <c:v>4.9938832576022447E-2</c:v>
                </c:pt>
                <c:pt idx="4">
                  <c:v>4.7752926859972192E-2</c:v>
                </c:pt>
              </c:numCache>
            </c:numRef>
          </c:val>
          <c:extLst>
            <c:ext xmlns:c16="http://schemas.microsoft.com/office/drawing/2014/chart" uri="{C3380CC4-5D6E-409C-BE32-E72D297353CC}">
              <c16:uniqueId val="{00000000-8269-4C0F-98B9-7ED089A9FD4A}"/>
            </c:ext>
          </c:extLst>
        </c:ser>
        <c:ser>
          <c:idx val="1"/>
          <c:order val="1"/>
          <c:tx>
            <c:strRef>
              <c:f>'solution 4'!$P$35</c:f>
              <c:strCache>
                <c:ptCount val="1"/>
                <c:pt idx="0">
                  <c:v>inflation of health</c:v>
                </c:pt>
              </c:strCache>
            </c:strRef>
          </c:tx>
          <c:spPr>
            <a:solidFill>
              <a:schemeClr val="accent2"/>
            </a:solidFill>
            <a:ln>
              <a:noFill/>
            </a:ln>
            <a:effectLst/>
          </c:spPr>
          <c:invertIfNegative val="0"/>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4'!$P$36:$P$40</c:f>
              <c:numCache>
                <c:formatCode>0.0%</c:formatCode>
                <c:ptCount val="5"/>
                <c:pt idx="0">
                  <c:v>6.4341085271317919E-2</c:v>
                </c:pt>
                <c:pt idx="1">
                  <c:v>3.9187227866472982E-2</c:v>
                </c:pt>
                <c:pt idx="2">
                  <c:v>6.3282336578581316E-2</c:v>
                </c:pt>
                <c:pt idx="3">
                  <c:v>7.1382219338092148E-2</c:v>
                </c:pt>
                <c:pt idx="4">
                  <c:v>6.6827212522576729E-2</c:v>
                </c:pt>
              </c:numCache>
            </c:numRef>
          </c:val>
          <c:extLst>
            <c:ext xmlns:c16="http://schemas.microsoft.com/office/drawing/2014/chart" uri="{C3380CC4-5D6E-409C-BE32-E72D297353CC}">
              <c16:uniqueId val="{00000001-8269-4C0F-98B9-7ED089A9FD4A}"/>
            </c:ext>
          </c:extLst>
        </c:ser>
        <c:ser>
          <c:idx val="2"/>
          <c:order val="2"/>
          <c:tx>
            <c:strRef>
              <c:f>'solution 4'!$Q$35</c:f>
              <c:strCache>
                <c:ptCount val="1"/>
                <c:pt idx="0">
                  <c:v>inflation of others</c:v>
                </c:pt>
              </c:strCache>
            </c:strRef>
          </c:tx>
          <c:spPr>
            <a:solidFill>
              <a:schemeClr val="accent3"/>
            </a:solidFill>
            <a:ln>
              <a:noFill/>
            </a:ln>
            <a:effectLst/>
          </c:spPr>
          <c:invertIfNegative val="0"/>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4'!$Q$36:$Q$40</c:f>
              <c:numCache>
                <c:formatCode>0.0%</c:formatCode>
                <c:ptCount val="5"/>
                <c:pt idx="0">
                  <c:v>5.0719005052467979E-2</c:v>
                </c:pt>
                <c:pt idx="1">
                  <c:v>4.5387453874538575E-2</c:v>
                </c:pt>
                <c:pt idx="2">
                  <c:v>6.3531063531063622E-2</c:v>
                </c:pt>
                <c:pt idx="3">
                  <c:v>5.2076466710613278E-2</c:v>
                </c:pt>
                <c:pt idx="4">
                  <c:v>6.6011235955056285E-2</c:v>
                </c:pt>
              </c:numCache>
            </c:numRef>
          </c:val>
          <c:extLst>
            <c:ext xmlns:c16="http://schemas.microsoft.com/office/drawing/2014/chart" uri="{C3380CC4-5D6E-409C-BE32-E72D297353CC}">
              <c16:uniqueId val="{00000002-8269-4C0F-98B9-7ED089A9FD4A}"/>
            </c:ext>
          </c:extLst>
        </c:ser>
        <c:dLbls>
          <c:showLegendKey val="0"/>
          <c:showVal val="0"/>
          <c:showCatName val="0"/>
          <c:showSerName val="0"/>
          <c:showPercent val="0"/>
          <c:showBubbleSize val="0"/>
        </c:dLbls>
        <c:gapWidth val="219"/>
        <c:overlap val="-27"/>
        <c:axId val="1763850144"/>
        <c:axId val="1763851104"/>
      </c:barChart>
      <c:catAx>
        <c:axId val="17638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851104"/>
        <c:crosses val="autoZero"/>
        <c:auto val="1"/>
        <c:lblAlgn val="ctr"/>
        <c:lblOffset val="100"/>
        <c:noMultiLvlLbl val="0"/>
      </c:catAx>
      <c:valAx>
        <c:axId val="1763851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850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3!PivotTable4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CPI trend jun 22-may 23</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 3'!$B$50:$B$51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'solution 3'!$A$52:$A$64</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3'!$B$52:$B$64</c:f>
              <c:numCache>
                <c:formatCode>0.0</c:formatCode>
                <c:ptCount val="12"/>
                <c:pt idx="0">
                  <c:v>175.7904761904762</c:v>
                </c:pt>
                <c:pt idx="1">
                  <c:v>176.11428571428573</c:v>
                </c:pt>
                <c:pt idx="2">
                  <c:v>176.33571428571429</c:v>
                </c:pt>
                <c:pt idx="3">
                  <c:v>177.26666666666665</c:v>
                </c:pt>
                <c:pt idx="4">
                  <c:v>178.46190476190478</c:v>
                </c:pt>
                <c:pt idx="5">
                  <c:v>178.37857142857146</c:v>
                </c:pt>
                <c:pt idx="6">
                  <c:v>177.39523809523811</c:v>
                </c:pt>
                <c:pt idx="7">
                  <c:v>178.16190476190479</c:v>
                </c:pt>
                <c:pt idx="8">
                  <c:v>177.34523809523807</c:v>
                </c:pt>
                <c:pt idx="9">
                  <c:v>177.35714285714286</c:v>
                </c:pt>
                <c:pt idx="10">
                  <c:v>178.2166666666667</c:v>
                </c:pt>
                <c:pt idx="11">
                  <c:v>179.47142857142862</c:v>
                </c:pt>
              </c:numCache>
            </c:numRef>
          </c:val>
          <c:smooth val="0"/>
          <c:extLst>
            <c:ext xmlns:c16="http://schemas.microsoft.com/office/drawing/2014/chart" uri="{C3380CC4-5D6E-409C-BE32-E72D297353CC}">
              <c16:uniqueId val="{00000000-6870-4CBA-B311-D02A7FF77D3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43703232"/>
        <c:axId val="2143704672"/>
      </c:lineChart>
      <c:catAx>
        <c:axId val="2143703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43704672"/>
        <c:crosses val="autoZero"/>
        <c:auto val="1"/>
        <c:lblAlgn val="ctr"/>
        <c:lblOffset val="100"/>
        <c:noMultiLvlLbl val="0"/>
      </c:catAx>
      <c:valAx>
        <c:axId val="21437046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Food Index (avg)</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437032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a:t>
            </a:r>
            <a:r>
              <a:rPr lang="en-US" baseline="0"/>
              <a:t> Food Inflation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A08A94-0A73-47D4-985A-C749919D284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760A39-EC9B-4694-9018-31C464DA5D6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AAEEAC-53A4-4AB1-AC7E-24D0E8C0771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E48BEB-3E04-4762-8D15-ED15724B68CF}"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EACEE8-259B-443B-A5B4-F0D7B64722ED}"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3FE23D-6CA3-40EC-BAA8-CA8F64366B1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6214F7-1AC2-482D-A32B-472A8C98061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DDA2BE-BC77-44E4-9598-7D23FD368231}"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97D57A-47B7-422B-BCCB-0E55604E5C0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506A87-CE09-4496-9A0E-73AD3B36224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E821C5-03A1-4748-9BF5-AF7FDBA0E44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57D10F-75EC-44D5-86AA-30C58B4401C7}"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0587270341207349"/>
          <c:y val="0.16708333333333336"/>
          <c:w val="0.863571741032371"/>
          <c:h val="0.64426837270341208"/>
        </c:manualLayout>
      </c:layout>
      <c:barChart>
        <c:barDir val="col"/>
        <c:grouping val="clustered"/>
        <c:varyColors val="0"/>
        <c:ser>
          <c:idx val="0"/>
          <c:order val="0"/>
          <c:tx>
            <c:strRef>
              <c:f>'solution 3'!$B$76:$B$87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823-4C02-A5C6-A99C735C4EE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823-4C02-A5C6-A99C735C4EE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F823-4C02-A5C6-A99C735C4EE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F823-4C02-A5C6-A99C735C4EE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F823-4C02-A5C6-A99C735C4EE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F823-4C02-A5C6-A99C735C4EE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8-F823-4C02-A5C6-A99C735C4EE2}"/>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9-F823-4C02-A5C6-A99C735C4EE2}"/>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A-F823-4C02-A5C6-A99C735C4EE2}"/>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B-F823-4C02-A5C6-A99C735C4EE2}"/>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C-F823-4C02-A5C6-A99C735C4EE2}"/>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D-F823-4C02-A5C6-A99C735C4EE2}"/>
              </c:ext>
            </c:extLst>
          </c:dPt>
          <c:dLbls>
            <c:dLbl>
              <c:idx val="0"/>
              <c:tx>
                <c:rich>
                  <a:bodyPr/>
                  <a:lstStyle/>
                  <a:p>
                    <a:fld id="{62A08A94-0A73-47D4-985A-C749919D284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823-4C02-A5C6-A99C735C4EE2}"/>
                </c:ext>
              </c:extLst>
            </c:dLbl>
            <c:dLbl>
              <c:idx val="1"/>
              <c:tx>
                <c:rich>
                  <a:bodyPr/>
                  <a:lstStyle/>
                  <a:p>
                    <a:fld id="{3C760A39-EC9B-4694-9018-31C464DA5D6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823-4C02-A5C6-A99C735C4EE2}"/>
                </c:ext>
              </c:extLst>
            </c:dLbl>
            <c:dLbl>
              <c:idx val="2"/>
              <c:tx>
                <c:rich>
                  <a:bodyPr/>
                  <a:lstStyle/>
                  <a:p>
                    <a:fld id="{12AAEEAC-53A4-4AB1-AC7E-24D0E8C0771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23-4C02-A5C6-A99C735C4EE2}"/>
                </c:ext>
              </c:extLst>
            </c:dLbl>
            <c:dLbl>
              <c:idx val="3"/>
              <c:tx>
                <c:rich>
                  <a:bodyPr/>
                  <a:lstStyle/>
                  <a:p>
                    <a:fld id="{6EE48BEB-3E04-4762-8D15-ED15724B68C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23-4C02-A5C6-A99C735C4EE2}"/>
                </c:ext>
              </c:extLst>
            </c:dLbl>
            <c:dLbl>
              <c:idx val="4"/>
              <c:tx>
                <c:rich>
                  <a:bodyPr/>
                  <a:lstStyle/>
                  <a:p>
                    <a:fld id="{31EACEE8-259B-443B-A5B4-F0D7B64722E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23-4C02-A5C6-A99C735C4EE2}"/>
                </c:ext>
              </c:extLst>
            </c:dLbl>
            <c:dLbl>
              <c:idx val="5"/>
              <c:tx>
                <c:rich>
                  <a:bodyPr/>
                  <a:lstStyle/>
                  <a:p>
                    <a:fld id="{BD3FE23D-6CA3-40EC-BAA8-CA8F64366B1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823-4C02-A5C6-A99C735C4EE2}"/>
                </c:ext>
              </c:extLst>
            </c:dLbl>
            <c:dLbl>
              <c:idx val="6"/>
              <c:tx>
                <c:rich>
                  <a:bodyPr/>
                  <a:lstStyle/>
                  <a:p>
                    <a:fld id="{726214F7-1AC2-482D-A32B-472A8C98061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823-4C02-A5C6-A99C735C4EE2}"/>
                </c:ext>
              </c:extLst>
            </c:dLbl>
            <c:dLbl>
              <c:idx val="7"/>
              <c:tx>
                <c:rich>
                  <a:bodyPr/>
                  <a:lstStyle/>
                  <a:p>
                    <a:fld id="{FADDA2BE-BC77-44E4-9598-7D23FD36823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823-4C02-A5C6-A99C735C4EE2}"/>
                </c:ext>
              </c:extLst>
            </c:dLbl>
            <c:dLbl>
              <c:idx val="8"/>
              <c:tx>
                <c:rich>
                  <a:bodyPr/>
                  <a:lstStyle/>
                  <a:p>
                    <a:fld id="{0097D57A-47B7-422B-BCCB-0E55604E5C0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823-4C02-A5C6-A99C735C4EE2}"/>
                </c:ext>
              </c:extLst>
            </c:dLbl>
            <c:dLbl>
              <c:idx val="9"/>
              <c:tx>
                <c:rich>
                  <a:bodyPr/>
                  <a:lstStyle/>
                  <a:p>
                    <a:fld id="{A6506A87-CE09-4496-9A0E-73AD3B36224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823-4C02-A5C6-A99C735C4EE2}"/>
                </c:ext>
              </c:extLst>
            </c:dLbl>
            <c:dLbl>
              <c:idx val="10"/>
              <c:tx>
                <c:rich>
                  <a:bodyPr/>
                  <a:lstStyle/>
                  <a:p>
                    <a:fld id="{D5E821C5-03A1-4748-9BF5-AF7FDBA0E44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823-4C02-A5C6-A99C735C4EE2}"/>
                </c:ext>
              </c:extLst>
            </c:dLbl>
            <c:dLbl>
              <c:idx val="11"/>
              <c:tx>
                <c:rich>
                  <a:bodyPr/>
                  <a:lstStyle/>
                  <a:p>
                    <a:fld id="{8957D10F-75EC-44D5-86AA-30C58B4401C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823-4C02-A5C6-A99C735C4E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'solution 3'!$B$76:$B$87</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3'!$B$76:$B$87</c:f>
              <c:numCache>
                <c:formatCode>General</c:formatCode>
                <c:ptCount val="12"/>
                <c:pt idx="0">
                  <c:v>6.3620680556498877E-3</c:v>
                </c:pt>
                <c:pt idx="1">
                  <c:v>2.1541803542679174E-3</c:v>
                </c:pt>
                <c:pt idx="2">
                  <c:v>1.5669310168679798E-3</c:v>
                </c:pt>
                <c:pt idx="3">
                  <c:v>5.3257326432239443E-3</c:v>
                </c:pt>
                <c:pt idx="4">
                  <c:v>6.9749497127123503E-3</c:v>
                </c:pt>
                <c:pt idx="5">
                  <c:v>1.6619487742657209E-4</c:v>
                </c:pt>
                <c:pt idx="6">
                  <c:v>-5.1245882374405388E-3</c:v>
                </c:pt>
                <c:pt idx="7">
                  <c:v>4.2191492843013205E-3</c:v>
                </c:pt>
                <c:pt idx="8">
                  <c:v>-4.6887288334953887E-3</c:v>
                </c:pt>
                <c:pt idx="9">
                  <c:v>2.6043598390547776E-4</c:v>
                </c:pt>
                <c:pt idx="10">
                  <c:v>4.8890864741948856E-3</c:v>
                </c:pt>
                <c:pt idx="11">
                  <c:v>7.3485383377681346E-3</c:v>
                </c:pt>
              </c:numCache>
            </c:numRef>
          </c:val>
          <c:extLst>
            <c:ext xmlns:c15="http://schemas.microsoft.com/office/drawing/2012/chart" uri="{02D57815-91ED-43cb-92C2-25804820EDAC}">
              <c15:datalabelsRange>
                <c15:f>'solution 3'!$B$76:$B$87</c15:f>
                <c15:dlblRangeCache>
                  <c:ptCount val="12"/>
                  <c:pt idx="0">
                    <c:v>0.01</c:v>
                  </c:pt>
                  <c:pt idx="1">
                    <c:v>0.22%</c:v>
                  </c:pt>
                  <c:pt idx="2">
                    <c:v>0.16%</c:v>
                  </c:pt>
                  <c:pt idx="3">
                    <c:v>0.53%</c:v>
                  </c:pt>
                  <c:pt idx="4">
                    <c:v>0.70%</c:v>
                  </c:pt>
                  <c:pt idx="5">
                    <c:v>0.02%</c:v>
                  </c:pt>
                  <c:pt idx="6">
                    <c:v>-0.51%</c:v>
                  </c:pt>
                  <c:pt idx="7">
                    <c:v>0.42%</c:v>
                  </c:pt>
                  <c:pt idx="8">
                    <c:v>-0.47%</c:v>
                  </c:pt>
                  <c:pt idx="9">
                    <c:v>0.03%</c:v>
                  </c:pt>
                  <c:pt idx="10">
                    <c:v>0.49%</c:v>
                  </c:pt>
                  <c:pt idx="11">
                    <c:v>0.73%</c:v>
                  </c:pt>
                </c15:dlblRangeCache>
              </c15:datalabelsRange>
            </c:ext>
            <c:ext xmlns:c16="http://schemas.microsoft.com/office/drawing/2014/chart" uri="{C3380CC4-5D6E-409C-BE32-E72D297353CC}">
              <c16:uniqueId val="{00000000-F823-4C02-A5C6-A99C735C4EE2}"/>
            </c:ext>
          </c:extLst>
        </c:ser>
        <c:dLbls>
          <c:dLblPos val="outEnd"/>
          <c:showLegendKey val="0"/>
          <c:showVal val="1"/>
          <c:showCatName val="0"/>
          <c:showSerName val="0"/>
          <c:showPercent val="0"/>
          <c:showBubbleSize val="0"/>
        </c:dLbls>
        <c:gapWidth val="219"/>
        <c:overlap val="-27"/>
        <c:axId val="2136505248"/>
        <c:axId val="2136505728"/>
      </c:barChart>
      <c:catAx>
        <c:axId val="2136505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05728"/>
        <c:crosses val="autoZero"/>
        <c:auto val="1"/>
        <c:lblAlgn val="ctr"/>
        <c:lblOffset val="100"/>
        <c:noMultiLvlLbl val="0"/>
      </c:catAx>
      <c:valAx>
        <c:axId val="213650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0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3-9702-42F1-A0D1-668D0E45E130}"/>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2-9702-42F1-A0D1-668D0E45E130}"/>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3'!$A$98:$A$111</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3'!$B$98:$B$111</c:f>
              <c:numCache>
                <c:formatCode>0.0%</c:formatCode>
                <c:ptCount val="14"/>
                <c:pt idx="0">
                  <c:v>0.1201318333970844</c:v>
                </c:pt>
                <c:pt idx="1">
                  <c:v>-2.5060081873888963E-2</c:v>
                </c:pt>
                <c:pt idx="2">
                  <c:v>1.8222018227553496E-2</c:v>
                </c:pt>
                <c:pt idx="3">
                  <c:v>7.9749422148858315E-2</c:v>
                </c:pt>
                <c:pt idx="4">
                  <c:v>-0.16455547421002759</c:v>
                </c:pt>
                <c:pt idx="5">
                  <c:v>1.973126249962542E-2</c:v>
                </c:pt>
                <c:pt idx="6">
                  <c:v>-0.10286210294370869</c:v>
                </c:pt>
                <c:pt idx="7">
                  <c:v>6.107466728084171E-2</c:v>
                </c:pt>
                <c:pt idx="8">
                  <c:v>2.3510800227864254E-2</c:v>
                </c:pt>
                <c:pt idx="9">
                  <c:v>0.15828211467659009</c:v>
                </c:pt>
                <c:pt idx="10">
                  <c:v>2.554175836706853E-2</c:v>
                </c:pt>
                <c:pt idx="11">
                  <c:v>4.947222280159657E-2</c:v>
                </c:pt>
                <c:pt idx="12">
                  <c:v>2.5465269199315799E-2</c:v>
                </c:pt>
                <c:pt idx="13">
                  <c:v>2.9372571320132781E-2</c:v>
                </c:pt>
              </c:numCache>
            </c:numRef>
          </c:val>
          <c:extLst>
            <c:ext xmlns:c16="http://schemas.microsoft.com/office/drawing/2014/chart" uri="{C3380CC4-5D6E-409C-BE32-E72D297353CC}">
              <c16:uniqueId val="{00000000-9702-42F1-A0D1-668D0E45E130}"/>
            </c:ext>
          </c:extLst>
        </c:ser>
        <c:dLbls>
          <c:dLblPos val="outEnd"/>
          <c:showLegendKey val="0"/>
          <c:showVal val="1"/>
          <c:showCatName val="0"/>
          <c:showSerName val="0"/>
          <c:showPercent val="0"/>
          <c:showBubbleSize val="0"/>
        </c:dLbls>
        <c:gapWidth val="219"/>
        <c:overlap val="-27"/>
        <c:axId val="791557920"/>
        <c:axId val="791567520"/>
      </c:barChart>
      <c:catAx>
        <c:axId val="7915579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solidFill>
                <a:latin typeface="+mn-lt"/>
                <a:ea typeface="+mn-ea"/>
                <a:cs typeface="+mn-cs"/>
              </a:defRPr>
            </a:pPr>
            <a:endParaRPr lang="en-US"/>
          </a:p>
        </c:txPr>
        <c:crossAx val="791567520"/>
        <c:crosses val="autoZero"/>
        <c:auto val="1"/>
        <c:lblAlgn val="ctr"/>
        <c:lblOffset val="100"/>
        <c:noMultiLvlLbl val="0"/>
      </c:catAx>
      <c:valAx>
        <c:axId val="791567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79155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Urban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1-FFA7-4F9A-836C-D0D6B3E2749A}"/>
              </c:ext>
            </c:extLst>
          </c:dPt>
          <c:dPt>
            <c:idx val="9"/>
            <c:invertIfNegative val="0"/>
            <c:bubble3D val="0"/>
            <c:spPr>
              <a:solidFill>
                <a:schemeClr val="accent6"/>
              </a:solidFill>
              <a:ln>
                <a:solidFill>
                  <a:schemeClr val="tx1"/>
                </a:solidFill>
              </a:ln>
              <a:effectLst/>
            </c:spPr>
            <c:extLst>
              <c:ext xmlns:c16="http://schemas.microsoft.com/office/drawing/2014/chart" uri="{C3380CC4-5D6E-409C-BE32-E72D297353CC}">
                <c16:uniqueId val="{00000003-FFA7-4F9A-836C-D0D6B3E2749A}"/>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3'!$A$98:$A$111</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3'!$D$98:$D$111</c:f>
              <c:numCache>
                <c:formatCode>0.0%</c:formatCode>
                <c:ptCount val="14"/>
                <c:pt idx="0">
                  <c:v>0.10437591753856065</c:v>
                </c:pt>
                <c:pt idx="1">
                  <c:v>-1.658564828334555E-2</c:v>
                </c:pt>
                <c:pt idx="2">
                  <c:v>3.2773193094220249E-2</c:v>
                </c:pt>
                <c:pt idx="3">
                  <c:v>7.556223474588214E-2</c:v>
                </c:pt>
                <c:pt idx="4">
                  <c:v>-0.13564935240235884</c:v>
                </c:pt>
                <c:pt idx="5">
                  <c:v>1.5745157737123826E-2</c:v>
                </c:pt>
                <c:pt idx="6">
                  <c:v>-0.11664212684616586</c:v>
                </c:pt>
                <c:pt idx="7">
                  <c:v>7.8658050751888295E-2</c:v>
                </c:pt>
                <c:pt idx="8">
                  <c:v>2.296654122151353E-2</c:v>
                </c:pt>
                <c:pt idx="9">
                  <c:v>0.1450807911873194</c:v>
                </c:pt>
                <c:pt idx="10">
                  <c:v>4.1948811065176048E-2</c:v>
                </c:pt>
                <c:pt idx="11">
                  <c:v>5.9602013751183049E-2</c:v>
                </c:pt>
                <c:pt idx="12">
                  <c:v>2.1299287130506578E-2</c:v>
                </c:pt>
                <c:pt idx="13">
                  <c:v>2.9372571320132781E-2</c:v>
                </c:pt>
              </c:numCache>
            </c:numRef>
          </c:val>
          <c:extLst>
            <c:ext xmlns:c16="http://schemas.microsoft.com/office/drawing/2014/chart" uri="{C3380CC4-5D6E-409C-BE32-E72D297353CC}">
              <c16:uniqueId val="{00000004-FFA7-4F9A-836C-D0D6B3E2749A}"/>
            </c:ext>
          </c:extLst>
        </c:ser>
        <c:dLbls>
          <c:dLblPos val="outEnd"/>
          <c:showLegendKey val="0"/>
          <c:showVal val="1"/>
          <c:showCatName val="0"/>
          <c:showSerName val="0"/>
          <c:showPercent val="0"/>
          <c:showBubbleSize val="0"/>
        </c:dLbls>
        <c:gapWidth val="219"/>
        <c:overlap val="-27"/>
        <c:axId val="791557920"/>
        <c:axId val="791567520"/>
      </c:barChart>
      <c:catAx>
        <c:axId val="7915579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solidFill>
                <a:latin typeface="+mn-lt"/>
                <a:ea typeface="+mn-ea"/>
                <a:cs typeface="+mn-cs"/>
              </a:defRPr>
            </a:pPr>
            <a:endParaRPr lang="en-US"/>
          </a:p>
        </c:txPr>
        <c:crossAx val="791567520"/>
        <c:crosses val="autoZero"/>
        <c:auto val="1"/>
        <c:lblAlgn val="ctr"/>
        <c:lblOffset val="100"/>
        <c:noMultiLvlLbl val="0"/>
      </c:catAx>
      <c:valAx>
        <c:axId val="791567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79155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Rural</a:t>
            </a:r>
            <a:r>
              <a:rPr lang="en-US" baseline="0"/>
              <a:t> +Urban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3'!$A$98:$A$111</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3'!$G$98:$G$111</c:f>
              <c:numCache>
                <c:formatCode>0.0%</c:formatCode>
                <c:ptCount val="14"/>
                <c:pt idx="0">
                  <c:v>0.11501183688996432</c:v>
                </c:pt>
                <c:pt idx="1">
                  <c:v>-2.2019945909686377E-2</c:v>
                </c:pt>
                <c:pt idx="2">
                  <c:v>2.4133882997823472E-2</c:v>
                </c:pt>
                <c:pt idx="3">
                  <c:v>7.9749422148858315E-2</c:v>
                </c:pt>
                <c:pt idx="4">
                  <c:v>-0.16455547421002759</c:v>
                </c:pt>
                <c:pt idx="5">
                  <c:v>1.973126249962542E-2</c:v>
                </c:pt>
                <c:pt idx="6">
                  <c:v>-0.10877646422437171</c:v>
                </c:pt>
                <c:pt idx="7">
                  <c:v>6.6921137836445682E-2</c:v>
                </c:pt>
                <c:pt idx="8">
                  <c:v>2.3319166334388818E-2</c:v>
                </c:pt>
                <c:pt idx="9">
                  <c:v>0.1541254955032626</c:v>
                </c:pt>
                <c:pt idx="10">
                  <c:v>3.2287590315394542E-2</c:v>
                </c:pt>
                <c:pt idx="11">
                  <c:v>5.4661891133482306E-2</c:v>
                </c:pt>
                <c:pt idx="12">
                  <c:v>2.4009458472456738E-2</c:v>
                </c:pt>
                <c:pt idx="13">
                  <c:v>3.3973194486927961E-2</c:v>
                </c:pt>
              </c:numCache>
            </c:numRef>
          </c:val>
          <c:extLst>
            <c:ext xmlns:c16="http://schemas.microsoft.com/office/drawing/2014/chart" uri="{C3380CC4-5D6E-409C-BE32-E72D297353CC}">
              <c16:uniqueId val="{00000004-3647-4A26-B81C-F39DE9EE33CE}"/>
            </c:ext>
          </c:extLst>
        </c:ser>
        <c:dLbls>
          <c:dLblPos val="outEnd"/>
          <c:showLegendKey val="0"/>
          <c:showVal val="1"/>
          <c:showCatName val="0"/>
          <c:showSerName val="0"/>
          <c:showPercent val="0"/>
          <c:showBubbleSize val="0"/>
        </c:dLbls>
        <c:gapWidth val="219"/>
        <c:overlap val="-27"/>
        <c:axId val="791557920"/>
        <c:axId val="791567520"/>
      </c:barChart>
      <c:catAx>
        <c:axId val="7915579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solidFill>
                <a:latin typeface="+mn-lt"/>
                <a:ea typeface="+mn-ea"/>
                <a:cs typeface="+mn-cs"/>
              </a:defRPr>
            </a:pPr>
            <a:endParaRPr lang="en-US"/>
          </a:p>
        </c:txPr>
        <c:crossAx val="791567520"/>
        <c:crosses val="autoZero"/>
        <c:auto val="1"/>
        <c:lblAlgn val="ctr"/>
        <c:lblOffset val="100"/>
        <c:noMultiLvlLbl val="0"/>
      </c:catAx>
      <c:valAx>
        <c:axId val="791567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79155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a:t>
            </a:r>
            <a:r>
              <a:rPr lang="en-IN" baseline="0"/>
              <a:t> for Category to CPI (R+U)</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A-452F-BF0B-30D31D37A9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A-452F-BF0B-30D31D37A9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3A-452F-BF0B-30D31D37A9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3A-452F-BF0B-30D31D37A9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3A-452F-BF0B-30D31D37A9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3A-452F-BF0B-30D31D37A9A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3A-452F-BF0B-30D31D37A9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1'!$AA$385:$AA$391</c:f>
              <c:numCache>
                <c:formatCode>0%</c:formatCode>
                <c:ptCount val="7"/>
                <c:pt idx="0">
                  <c:v>0.56125234983439265</c:v>
                </c:pt>
                <c:pt idx="1">
                  <c:v>7.8506848088801359E-2</c:v>
                </c:pt>
                <c:pt idx="2">
                  <c:v>8.2132306865992308E-2</c:v>
                </c:pt>
                <c:pt idx="3">
                  <c:v>0.15871452869035899</c:v>
                </c:pt>
                <c:pt idx="4">
                  <c:v>4.0909497806821238E-2</c:v>
                </c:pt>
                <c:pt idx="5">
                  <c:v>4.1558499686688746E-2</c:v>
                </c:pt>
                <c:pt idx="6">
                  <c:v>3.688121027660908E-2</c:v>
                </c:pt>
              </c:numCache>
            </c:numRef>
          </c:val>
          <c:extLst>
            <c:ext xmlns:c16="http://schemas.microsoft.com/office/drawing/2014/chart" uri="{C3380CC4-5D6E-409C-BE32-E72D297353CC}">
              <c16:uniqueId val="{00000000-0B2F-4973-813E-19C0641F73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7B-4CC7-93C1-86D7FD3D1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7B-4CC7-93C1-86D7FD3D1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7B-4CC7-93C1-86D7FD3D12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7B-4CC7-93C1-86D7FD3D12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7B-4CC7-93C1-86D7FD3D12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7B-4CC7-93C1-86D7FD3D12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7B-4CC7-93C1-86D7FD3D12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1'!$AC$385:$AC$391</c:f>
              <c:numCache>
                <c:formatCode>0%</c:formatCode>
                <c:ptCount val="7"/>
                <c:pt idx="0">
                  <c:v>0.56002883972338247</c:v>
                </c:pt>
                <c:pt idx="1">
                  <c:v>7.1745340020048565E-2</c:v>
                </c:pt>
                <c:pt idx="2">
                  <c:v>8.5243288018603647E-2</c:v>
                </c:pt>
                <c:pt idx="3">
                  <c:v>0.16155975320856428</c:v>
                </c:pt>
                <c:pt idx="4">
                  <c:v>4.1036402171973525E-2</c:v>
                </c:pt>
                <c:pt idx="5">
                  <c:v>4.2228144262447281E-2</c:v>
                </c:pt>
                <c:pt idx="6">
                  <c:v>3.8158232594980315E-2</c:v>
                </c:pt>
              </c:numCache>
            </c:numRef>
          </c:val>
          <c:extLst>
            <c:ext xmlns:c16="http://schemas.microsoft.com/office/drawing/2014/chart" uri="{C3380CC4-5D6E-409C-BE32-E72D297353CC}">
              <c16:uniqueId val="{00000000-7B57-445C-8D72-0D0493EEC0C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Urban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B1-4818-BA47-5D1D71AFD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B1-4818-BA47-5D1D71AFDB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B1-4818-BA47-5D1D71AFDB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B1-4818-BA47-5D1D71AFDB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B1-4818-BA47-5D1D71AFDB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B1-4818-BA47-5D1D71AFDB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B1-4818-BA47-5D1D71AFDB56}"/>
              </c:ext>
            </c:extLst>
          </c:dPt>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1'!$AE$385:$AE$391</c:f>
              <c:numCache>
                <c:formatCode>0%</c:formatCode>
                <c:ptCount val="7"/>
                <c:pt idx="0">
                  <c:v>0.56914559799175202</c:v>
                </c:pt>
                <c:pt idx="1">
                  <c:v>7.7483414021875585E-2</c:v>
                </c:pt>
                <c:pt idx="2">
                  <c:v>7.8312712928097564E-2</c:v>
                </c:pt>
                <c:pt idx="3">
                  <c:v>0.15716334947104185</c:v>
                </c:pt>
                <c:pt idx="4">
                  <c:v>4.1106329567868041E-2</c:v>
                </c:pt>
                <c:pt idx="5">
                  <c:v>4.0837367760444693E-2</c:v>
                </c:pt>
                <c:pt idx="6">
                  <c:v>3.5951228258920581E-2</c:v>
                </c:pt>
              </c:numCache>
            </c:numRef>
          </c:val>
          <c:extLst>
            <c:ext xmlns:c16="http://schemas.microsoft.com/office/drawing/2014/chart" uri="{C3380CC4-5D6E-409C-BE32-E72D297353CC}">
              <c16:uniqueId val="{00000000-9C99-49BC-94D7-5BDDA506E0D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for Category to CPI(R+U)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29-467E-AE78-07494D0A21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29-467E-AE78-07494D0A21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29-467E-AE78-07494D0A21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229-467E-AE78-07494D0A21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229-467E-AE78-07494D0A21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229-467E-AE78-07494D0A21E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229-467E-AE78-07494D0A21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1'!$AA$385:$AA$391</c:f>
              <c:numCache>
                <c:formatCode>0%</c:formatCode>
                <c:ptCount val="7"/>
                <c:pt idx="0">
                  <c:v>0.56125234983439265</c:v>
                </c:pt>
                <c:pt idx="1">
                  <c:v>7.8506848088801359E-2</c:v>
                </c:pt>
                <c:pt idx="2">
                  <c:v>8.2132306865992308E-2</c:v>
                </c:pt>
                <c:pt idx="3">
                  <c:v>0.15871452869035899</c:v>
                </c:pt>
                <c:pt idx="4">
                  <c:v>4.0909497806821238E-2</c:v>
                </c:pt>
                <c:pt idx="5">
                  <c:v>4.1558499686688746E-2</c:v>
                </c:pt>
                <c:pt idx="6">
                  <c:v>3.688121027660908E-2</c:v>
                </c:pt>
              </c:numCache>
            </c:numRef>
          </c:val>
          <c:extLst>
            <c:ext xmlns:c16="http://schemas.microsoft.com/office/drawing/2014/chart" uri="{C3380CC4-5D6E-409C-BE32-E72D297353CC}">
              <c16:uniqueId val="{0000000E-3229-467E-AE78-07494D0A21E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for Category to CPI</a:t>
            </a:r>
          </a:p>
          <a:p>
            <a:pPr>
              <a:defRPr/>
            </a:pPr>
            <a:r>
              <a:rPr lang="en-IN"/>
              <a:t>Rural</a:t>
            </a:r>
          </a:p>
        </c:rich>
      </c:tx>
      <c:layout>
        <c:manualLayout>
          <c:xMode val="edge"/>
          <c:yMode val="edge"/>
          <c:x val="0.12563355576573268"/>
          <c:y val="1.34212497935468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7AF-43C3-849F-BB2C2F5F8E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7AF-43C3-849F-BB2C2F5F8E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7AF-43C3-849F-BB2C2F5F8E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7AF-43C3-849F-BB2C2F5F8E3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7AF-43C3-849F-BB2C2F5F8E3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7AF-43C3-849F-BB2C2F5F8E3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7AF-43C3-849F-BB2C2F5F8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1'!$AC$385:$AC$391</c:f>
              <c:numCache>
                <c:formatCode>0%</c:formatCode>
                <c:ptCount val="7"/>
                <c:pt idx="0">
                  <c:v>0.56002883972338247</c:v>
                </c:pt>
                <c:pt idx="1">
                  <c:v>7.1745340020048565E-2</c:v>
                </c:pt>
                <c:pt idx="2">
                  <c:v>8.5243288018603647E-2</c:v>
                </c:pt>
                <c:pt idx="3">
                  <c:v>0.16155975320856428</c:v>
                </c:pt>
                <c:pt idx="4">
                  <c:v>4.1036402171973525E-2</c:v>
                </c:pt>
                <c:pt idx="5">
                  <c:v>4.2228144262447281E-2</c:v>
                </c:pt>
                <c:pt idx="6">
                  <c:v>3.8158232594980315E-2</c:v>
                </c:pt>
              </c:numCache>
            </c:numRef>
          </c:val>
          <c:extLst>
            <c:ext xmlns:c16="http://schemas.microsoft.com/office/drawing/2014/chart" uri="{C3380CC4-5D6E-409C-BE32-E72D297353CC}">
              <c16:uniqueId val="{0000000E-E7AF-43C3-849F-BB2C2F5F8E3E}"/>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for Category to CPI</a:t>
            </a:r>
          </a:p>
          <a:p>
            <a:pPr>
              <a:defRPr/>
            </a:pPr>
            <a:r>
              <a:rPr lang="en-IN"/>
              <a:t>Urban</a:t>
            </a:r>
          </a:p>
        </c:rich>
      </c:tx>
      <c:layout>
        <c:manualLayout>
          <c:xMode val="edge"/>
          <c:yMode val="edge"/>
          <c:x val="0.11282289249806651"/>
          <c:y val="3.05032963842251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038413369428683E-2"/>
          <c:y val="0.24059659743064349"/>
          <c:w val="0.80694155689935509"/>
          <c:h val="0.44438525850142618"/>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BD-40A9-A3E3-B1F647F991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BD-40A9-A3E3-B1F647F991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1BD-40A9-A3E3-B1F647F9914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1BD-40A9-A3E3-B1F647F9914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1BD-40A9-A3E3-B1F647F9914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1BD-40A9-A3E3-B1F647F9914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1BD-40A9-A3E3-B1F647F991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'Solution 1'!$Y$385:$Y$391</c:f>
              <c:strCache>
                <c:ptCount val="7"/>
                <c:pt idx="0">
                  <c:v>Sum of food expenses</c:v>
                </c:pt>
                <c:pt idx="1">
                  <c:v>Sum of Housing Exp</c:v>
                </c:pt>
                <c:pt idx="2">
                  <c:v>Sum of clothing</c:v>
                </c:pt>
                <c:pt idx="3">
                  <c:v>Sum of others</c:v>
                </c:pt>
                <c:pt idx="4">
                  <c:v>Fuel and light</c:v>
                </c:pt>
                <c:pt idx="5">
                  <c:v>Health</c:v>
                </c:pt>
                <c:pt idx="6">
                  <c:v>Transport and communication</c:v>
                </c:pt>
              </c:strCache>
            </c:strRef>
          </c:cat>
          <c:val>
            <c:numRef>
              <c:f>'Solution 1'!$AE$385:$AE$391</c:f>
              <c:numCache>
                <c:formatCode>0%</c:formatCode>
                <c:ptCount val="7"/>
                <c:pt idx="0">
                  <c:v>0.56914559799175202</c:v>
                </c:pt>
                <c:pt idx="1">
                  <c:v>7.7483414021875585E-2</c:v>
                </c:pt>
                <c:pt idx="2">
                  <c:v>7.8312712928097564E-2</c:v>
                </c:pt>
                <c:pt idx="3">
                  <c:v>0.15716334947104185</c:v>
                </c:pt>
                <c:pt idx="4">
                  <c:v>4.1106329567868041E-2</c:v>
                </c:pt>
                <c:pt idx="5">
                  <c:v>4.0837367760444693E-2</c:v>
                </c:pt>
                <c:pt idx="6">
                  <c:v>3.5951228258920581E-2</c:v>
                </c:pt>
              </c:numCache>
            </c:numRef>
          </c:val>
          <c:extLst>
            <c:ext xmlns:c16="http://schemas.microsoft.com/office/drawing/2014/chart" uri="{C3380CC4-5D6E-409C-BE32-E72D297353CC}">
              <c16:uniqueId val="{0000000E-D1BD-40A9-A3E3-B1F647F9914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ln>
                  <a:solidFill>
                    <a:schemeClr val="tx1">
                      <a:alpha val="70000"/>
                    </a:schemeClr>
                  </a:solidFill>
                </a:ln>
                <a:solidFill>
                  <a:schemeClr val="tx1">
                    <a:lumMod val="65000"/>
                    <a:lumOff val="35000"/>
                  </a:schemeClr>
                </a:solidFill>
                <a:latin typeface="+mn-lt"/>
                <a:ea typeface="+mn-ea"/>
                <a:cs typeface="+mn-cs"/>
              </a:defRPr>
            </a:pPr>
            <a:r>
              <a:rPr lang="en-US">
                <a:ln>
                  <a:solidFill>
                    <a:schemeClr val="tx1">
                      <a:alpha val="70000"/>
                    </a:schemeClr>
                  </a:solidFill>
                </a:ln>
              </a:rPr>
              <a:t>% Inflation Year Wise from 2017-23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ln>
                <a:solidFill>
                  <a:schemeClr val="tx1">
                    <a:alpha val="70000"/>
                  </a:schemeClr>
                </a:solidFill>
              </a:ln>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611226888685854"/>
          <c:y val="0.12558324593123671"/>
          <c:w val="0.77083248727146925"/>
          <c:h val="0.75102881260169685"/>
        </c:manualLayout>
      </c:layout>
      <c:lineChart>
        <c:grouping val="standard"/>
        <c:varyColors val="0"/>
        <c:ser>
          <c:idx val="0"/>
          <c:order val="0"/>
          <c:tx>
            <c:strRef>
              <c:f>'Solution 2'!$C$18</c:f>
              <c:strCache>
                <c:ptCount val="1"/>
                <c:pt idx="0">
                  <c:v>% inflation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'Solution 2'!$A$19:$A$25</c:f>
              <c:numCache>
                <c:formatCode>General</c:formatCode>
                <c:ptCount val="7"/>
                <c:pt idx="0">
                  <c:v>2017</c:v>
                </c:pt>
                <c:pt idx="1">
                  <c:v>2018</c:v>
                </c:pt>
                <c:pt idx="2">
                  <c:v>2019</c:v>
                </c:pt>
                <c:pt idx="3">
                  <c:v>2020</c:v>
                </c:pt>
                <c:pt idx="4">
                  <c:v>2021</c:v>
                </c:pt>
                <c:pt idx="5">
                  <c:v>2022</c:v>
                </c:pt>
                <c:pt idx="6">
                  <c:v>2023</c:v>
                </c:pt>
              </c:numCache>
            </c:numRef>
          </c:cat>
          <c:val>
            <c:numRef>
              <c:f>'Solution 2'!$C$19:$C$25</c:f>
              <c:numCache>
                <c:formatCode>0%</c:formatCode>
                <c:ptCount val="7"/>
                <c:pt idx="1">
                  <c:v>3.9609321310314437E-2</c:v>
                </c:pt>
                <c:pt idx="2">
                  <c:v>3.9358550145593613E-2</c:v>
                </c:pt>
                <c:pt idx="3">
                  <c:v>6.3851393969976147E-2</c:v>
                </c:pt>
                <c:pt idx="4">
                  <c:v>5.2740276962542715E-2</c:v>
                </c:pt>
                <c:pt idx="5">
                  <c:v>6.6029943211151437E-2</c:v>
                </c:pt>
                <c:pt idx="6">
                  <c:v>3.195312121652364E-2</c:v>
                </c:pt>
              </c:numCache>
            </c:numRef>
          </c:val>
          <c:smooth val="0"/>
          <c:extLst>
            <c:ext xmlns:c16="http://schemas.microsoft.com/office/drawing/2014/chart" uri="{C3380CC4-5D6E-409C-BE32-E72D297353CC}">
              <c16:uniqueId val="{00000000-88E7-4794-81E7-CECFCE4E7A7A}"/>
            </c:ext>
          </c:extLst>
        </c:ser>
        <c:dLbls>
          <c:dLblPos val="t"/>
          <c:showLegendKey val="0"/>
          <c:showVal val="1"/>
          <c:showCatName val="0"/>
          <c:showSerName val="0"/>
          <c:showPercent val="0"/>
          <c:showBubbleSize val="0"/>
        </c:dLbls>
        <c:marker val="1"/>
        <c:smooth val="0"/>
        <c:axId val="57429247"/>
        <c:axId val="57429727"/>
      </c:lineChart>
      <c:catAx>
        <c:axId val="5742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429727"/>
        <c:crosses val="autoZero"/>
        <c:auto val="1"/>
        <c:lblAlgn val="ctr"/>
        <c:lblOffset val="100"/>
        <c:noMultiLvlLbl val="0"/>
      </c:catAx>
      <c:valAx>
        <c:axId val="574297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5742924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2!PivotTable8</c:name>
    <c:fmtId val="9"/>
  </c:pivotSource>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IN">
                <a:ln>
                  <a:solidFill>
                    <a:schemeClr val="tx1">
                      <a:alpha val="70000"/>
                    </a:schemeClr>
                  </a:solidFill>
                </a:ln>
              </a:rPr>
              <a:t>Change</a:t>
            </a:r>
            <a:r>
              <a:rPr lang="en-IN" baseline="0">
                <a:ln>
                  <a:solidFill>
                    <a:schemeClr val="tx1">
                      <a:alpha val="70000"/>
                    </a:schemeClr>
                  </a:solidFill>
                </a:ln>
              </a:rPr>
              <a:t> in Price from 2021 to 2022</a:t>
            </a:r>
            <a:endParaRPr lang="en-IN">
              <a:ln>
                <a:solidFill>
                  <a:schemeClr val="tx1">
                    <a:alpha val="7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8531480211225"/>
          <c:y val="2.9060619580093861E-2"/>
          <c:w val="0.87841658582075521"/>
          <c:h val="0.78249307479224373"/>
        </c:manualLayout>
      </c:layout>
      <c:barChart>
        <c:barDir val="col"/>
        <c:grouping val="clustered"/>
        <c:varyColors val="0"/>
        <c:ser>
          <c:idx val="0"/>
          <c:order val="0"/>
          <c:tx>
            <c:strRef>
              <c:f>'Solution 2'!$B$3:$B$4</c:f>
              <c:strCache>
                <c:ptCount val="1"/>
                <c:pt idx="0">
                  <c:v>Average of Sum of food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2'!$A$5:$A$7</c:f>
              <c:strCache>
                <c:ptCount val="2"/>
                <c:pt idx="0">
                  <c:v>2021</c:v>
                </c:pt>
                <c:pt idx="1">
                  <c:v>2022</c:v>
                </c:pt>
              </c:strCache>
            </c:strRef>
          </c:cat>
          <c:val>
            <c:numRef>
              <c:f>'Solution 2'!$B$5:$B$7</c:f>
              <c:numCache>
                <c:formatCode>0.0</c:formatCode>
                <c:ptCount val="2"/>
                <c:pt idx="0">
                  <c:v>2315.0638888888893</c:v>
                </c:pt>
                <c:pt idx="1">
                  <c:v>2442.1916666666657</c:v>
                </c:pt>
              </c:numCache>
            </c:numRef>
          </c:val>
          <c:extLst>
            <c:ext xmlns:c16="http://schemas.microsoft.com/office/drawing/2014/chart" uri="{C3380CC4-5D6E-409C-BE32-E72D297353CC}">
              <c16:uniqueId val="{00000000-BFB2-48FE-AD09-5BD945949AAB}"/>
            </c:ext>
          </c:extLst>
        </c:ser>
        <c:ser>
          <c:idx val="1"/>
          <c:order val="1"/>
          <c:tx>
            <c:strRef>
              <c:f>'Solution 2'!$C$3:$C$4</c:f>
              <c:strCache>
                <c:ptCount val="1"/>
                <c:pt idx="0">
                  <c:v>Average of Fuel and light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2'!$A$5:$A$7</c:f>
              <c:strCache>
                <c:ptCount val="2"/>
                <c:pt idx="0">
                  <c:v>2021</c:v>
                </c:pt>
                <c:pt idx="1">
                  <c:v>2022</c:v>
                </c:pt>
              </c:strCache>
            </c:strRef>
          </c:cat>
          <c:val>
            <c:numRef>
              <c:f>'Solution 2'!$C$5:$C$7</c:f>
              <c:numCache>
                <c:formatCode>0.0</c:formatCode>
                <c:ptCount val="2"/>
                <c:pt idx="0">
                  <c:v>158.70833333333329</c:v>
                </c:pt>
                <c:pt idx="1">
                  <c:v>174.96944444444441</c:v>
                </c:pt>
              </c:numCache>
            </c:numRef>
          </c:val>
          <c:extLst>
            <c:ext xmlns:c16="http://schemas.microsoft.com/office/drawing/2014/chart" uri="{C3380CC4-5D6E-409C-BE32-E72D297353CC}">
              <c16:uniqueId val="{00000001-BFB2-48FE-AD09-5BD945949AAB}"/>
            </c:ext>
          </c:extLst>
        </c:ser>
        <c:ser>
          <c:idx val="2"/>
          <c:order val="2"/>
          <c:tx>
            <c:strRef>
              <c:f>'Solution 2'!$D$3:$D$4</c:f>
              <c:strCache>
                <c:ptCount val="1"/>
                <c:pt idx="0">
                  <c:v>Average of Health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2'!$A$5:$A$7</c:f>
              <c:strCache>
                <c:ptCount val="2"/>
                <c:pt idx="0">
                  <c:v>2021</c:v>
                </c:pt>
                <c:pt idx="1">
                  <c:v>2022</c:v>
                </c:pt>
              </c:strCache>
            </c:strRef>
          </c:cat>
          <c:val>
            <c:numRef>
              <c:f>'Solution 2'!$D$5:$D$7</c:f>
              <c:numCache>
                <c:formatCode>0.0</c:formatCode>
                <c:ptCount val="2"/>
                <c:pt idx="0">
                  <c:v>165.13333333333338</c:v>
                </c:pt>
                <c:pt idx="1">
                  <c:v>175.35277777777776</c:v>
                </c:pt>
              </c:numCache>
            </c:numRef>
          </c:val>
          <c:extLst>
            <c:ext xmlns:c16="http://schemas.microsoft.com/office/drawing/2014/chart" uri="{C3380CC4-5D6E-409C-BE32-E72D297353CC}">
              <c16:uniqueId val="{00000002-BFB2-48FE-AD09-5BD945949AAB}"/>
            </c:ext>
          </c:extLst>
        </c:ser>
        <c:dLbls>
          <c:dLblPos val="outEnd"/>
          <c:showLegendKey val="0"/>
          <c:showVal val="1"/>
          <c:showCatName val="0"/>
          <c:showSerName val="0"/>
          <c:showPercent val="0"/>
          <c:showBubbleSize val="0"/>
        </c:dLbls>
        <c:gapWidth val="219"/>
        <c:overlap val="-27"/>
        <c:axId val="865468351"/>
        <c:axId val="865468831"/>
      </c:barChart>
      <c:catAx>
        <c:axId val="86546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865468831"/>
        <c:crosses val="autoZero"/>
        <c:auto val="1"/>
        <c:lblAlgn val="ctr"/>
        <c:lblOffset val="100"/>
        <c:noMultiLvlLbl val="0"/>
      </c:catAx>
      <c:valAx>
        <c:axId val="86546883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865468351"/>
        <c:crosses val="autoZero"/>
        <c:crossBetween val="between"/>
      </c:valAx>
      <c:spPr>
        <a:noFill/>
        <a:ln>
          <a:noFill/>
        </a:ln>
        <a:effectLst/>
      </c:spPr>
    </c:plotArea>
    <c:legend>
      <c:legendPos val="b"/>
      <c:layout>
        <c:manualLayout>
          <c:xMode val="edge"/>
          <c:yMode val="edge"/>
          <c:x val="0.1266690528593612"/>
          <c:y val="0.85637273277297099"/>
          <c:w val="0.87333102183877431"/>
          <c:h val="7.203309726387416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3!PivotTable4</c:name>
    <c:fmtId val="9"/>
  </c:pivotSource>
  <c:chart>
    <c:title>
      <c:tx>
        <c:rich>
          <a:bodyPr rot="0" spcFirstLastPara="1" vertOverflow="ellipsis" vert="horz" wrap="square" anchor="ctr" anchorCtr="1"/>
          <a:lstStyle/>
          <a:p>
            <a:pPr>
              <a:defRPr sz="1400" b="0" i="0" u="none" strike="noStrike" kern="1200" cap="none" spc="20" baseline="0">
                <a:ln>
                  <a:solidFill>
                    <a:schemeClr val="tx1">
                      <a:alpha val="70000"/>
                    </a:schemeClr>
                  </a:solidFill>
                </a:ln>
                <a:solidFill>
                  <a:schemeClr val="dk1">
                    <a:lumMod val="50000"/>
                    <a:lumOff val="50000"/>
                  </a:schemeClr>
                </a:solidFill>
                <a:latin typeface="+mn-lt"/>
                <a:ea typeface="+mn-ea"/>
                <a:cs typeface="+mn-cs"/>
              </a:defRPr>
            </a:pPr>
            <a:r>
              <a:rPr lang="en-US">
                <a:ln>
                  <a:solidFill>
                    <a:schemeClr val="tx1">
                      <a:alpha val="70000"/>
                    </a:schemeClr>
                  </a:solidFill>
                </a:ln>
              </a:rPr>
              <a:t>CPI trend jun 22-may 23</a:t>
            </a:r>
          </a:p>
        </c:rich>
      </c:tx>
      <c:overlay val="0"/>
      <c:spPr>
        <a:noFill/>
        <a:ln>
          <a:noFill/>
        </a:ln>
        <a:effectLst/>
      </c:spPr>
      <c:txPr>
        <a:bodyPr rot="0" spcFirstLastPara="1" vertOverflow="ellipsis" vert="horz" wrap="square" anchor="ctr" anchorCtr="1"/>
        <a:lstStyle/>
        <a:p>
          <a:pPr>
            <a:defRPr sz="1400" b="0" i="0" u="none" strike="noStrike" kern="1200" cap="none" spc="20" baseline="0">
              <a:ln>
                <a:solidFill>
                  <a:schemeClr val="tx1">
                    <a:alpha val="70000"/>
                  </a:schemeClr>
                </a:solidFill>
              </a:ln>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 3'!$B$50:$B$51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'solution 3'!$A$52:$A$64</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3'!$B$52:$B$64</c:f>
              <c:numCache>
                <c:formatCode>0.0</c:formatCode>
                <c:ptCount val="12"/>
                <c:pt idx="0">
                  <c:v>175.7904761904762</c:v>
                </c:pt>
                <c:pt idx="1">
                  <c:v>176.11428571428573</c:v>
                </c:pt>
                <c:pt idx="2">
                  <c:v>176.33571428571429</c:v>
                </c:pt>
                <c:pt idx="3">
                  <c:v>177.26666666666665</c:v>
                </c:pt>
                <c:pt idx="4">
                  <c:v>178.46190476190478</c:v>
                </c:pt>
                <c:pt idx="5">
                  <c:v>178.37857142857146</c:v>
                </c:pt>
                <c:pt idx="6">
                  <c:v>177.39523809523811</c:v>
                </c:pt>
                <c:pt idx="7">
                  <c:v>178.16190476190479</c:v>
                </c:pt>
                <c:pt idx="8">
                  <c:v>177.34523809523807</c:v>
                </c:pt>
                <c:pt idx="9">
                  <c:v>177.35714285714286</c:v>
                </c:pt>
                <c:pt idx="10">
                  <c:v>178.2166666666667</c:v>
                </c:pt>
                <c:pt idx="11">
                  <c:v>179.47142857142862</c:v>
                </c:pt>
              </c:numCache>
            </c:numRef>
          </c:val>
          <c:smooth val="0"/>
          <c:extLst>
            <c:ext xmlns:c16="http://schemas.microsoft.com/office/drawing/2014/chart" uri="{C3380CC4-5D6E-409C-BE32-E72D297353CC}">
              <c16:uniqueId val="{00000000-549D-4B85-BCA9-1006FDBB629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43703232"/>
        <c:axId val="2143704672"/>
      </c:lineChart>
      <c:catAx>
        <c:axId val="2143703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ln>
                  <a:solidFill>
                    <a:schemeClr val="tx1">
                      <a:alpha val="70000"/>
                    </a:schemeClr>
                  </a:solidFill>
                </a:ln>
                <a:solidFill>
                  <a:schemeClr val="dk1">
                    <a:lumMod val="65000"/>
                    <a:lumOff val="35000"/>
                  </a:schemeClr>
                </a:solidFill>
                <a:latin typeface="+mn-lt"/>
                <a:ea typeface="+mn-ea"/>
                <a:cs typeface="+mn-cs"/>
              </a:defRPr>
            </a:pPr>
            <a:endParaRPr lang="en-US"/>
          </a:p>
        </c:txPr>
        <c:crossAx val="2143704672"/>
        <c:crosses val="autoZero"/>
        <c:auto val="1"/>
        <c:lblAlgn val="ctr"/>
        <c:lblOffset val="100"/>
        <c:noMultiLvlLbl val="0"/>
      </c:catAx>
      <c:valAx>
        <c:axId val="2143704672"/>
        <c:scaling>
          <c:orientation val="minMax"/>
        </c:scaling>
        <c:delete val="0"/>
        <c:axPos val="l"/>
        <c:title>
          <c:tx>
            <c:rich>
              <a:bodyPr rot="-5400000" spcFirstLastPara="1" vertOverflow="ellipsis" vert="horz" wrap="square" anchor="ctr" anchorCtr="1"/>
              <a:lstStyle/>
              <a:p>
                <a:pPr>
                  <a:defRPr sz="900" b="0" i="0" u="none" strike="noStrike" kern="1200" cap="all" baseline="0">
                    <a:ln>
                      <a:solidFill>
                        <a:schemeClr val="tx1">
                          <a:alpha val="70000"/>
                        </a:schemeClr>
                      </a:solidFill>
                    </a:ln>
                    <a:solidFill>
                      <a:schemeClr val="dk1">
                        <a:lumMod val="65000"/>
                        <a:lumOff val="35000"/>
                      </a:schemeClr>
                    </a:solidFill>
                    <a:latin typeface="+mn-lt"/>
                    <a:ea typeface="+mn-ea"/>
                    <a:cs typeface="+mn-cs"/>
                  </a:defRPr>
                </a:pPr>
                <a:r>
                  <a:rPr lang="en-IN">
                    <a:ln>
                      <a:solidFill>
                        <a:schemeClr val="tx1">
                          <a:alpha val="70000"/>
                        </a:schemeClr>
                      </a:solidFill>
                    </a:ln>
                  </a:rPr>
                  <a:t>Food Index (avg)</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tx1">
                        <a:alpha val="70000"/>
                      </a:schemeClr>
                    </a:solidFill>
                  </a:ln>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ln>
                  <a:solidFill>
                    <a:schemeClr val="tx1">
                      <a:alpha val="70000"/>
                    </a:schemeClr>
                  </a:solidFill>
                </a:ln>
                <a:solidFill>
                  <a:schemeClr val="dk1">
                    <a:lumMod val="65000"/>
                    <a:lumOff val="35000"/>
                  </a:schemeClr>
                </a:solidFill>
                <a:latin typeface="+mn-lt"/>
                <a:ea typeface="+mn-ea"/>
                <a:cs typeface="+mn-cs"/>
              </a:defRPr>
            </a:pPr>
            <a:endParaRPr lang="en-US"/>
          </a:p>
        </c:txPr>
        <c:crossAx val="21437032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price Index.xlsx]solution 3!PivotTable5</c:name>
    <c:fmtId val="13"/>
  </c:pivotSource>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US">
                <a:ln>
                  <a:solidFill>
                    <a:schemeClr val="tx1">
                      <a:alpha val="70000"/>
                    </a:schemeClr>
                  </a:solidFill>
                </a:ln>
              </a:rPr>
              <a:t>M-O-M</a:t>
            </a:r>
            <a:r>
              <a:rPr lang="en-US" baseline="0">
                <a:ln>
                  <a:solidFill>
                    <a:schemeClr val="tx1">
                      <a:alpha val="70000"/>
                    </a:schemeClr>
                  </a:solidFill>
                </a:ln>
              </a:rPr>
              <a:t> Food Inflation %</a:t>
            </a:r>
            <a:endParaRPr lang="en-US">
              <a:ln>
                <a:solidFill>
                  <a:schemeClr val="tx1">
                    <a:alpha val="7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A78C50-3E27-4004-9282-F553EADE731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B06BC7-41C4-48DB-B500-8A5A4273732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9828C7-F4CC-49EB-A5E6-1CD8B477A95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6DA80D-0763-4586-874B-B7597F34FC2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E82066-F870-4383-9FF4-D95193981CA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03670D-6BC9-4D35-9388-D65CAA132FC9}"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1AB883-7AF2-4CEC-A836-8B28A9D6959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53A76C-BCFF-4380-8C97-045A80AE7D8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473E74-963F-45AD-9BA3-929095DDC81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FF6F4F-2623-40C3-8C46-8D735446A21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C32EDD-D4C5-4A71-B5BF-C38C13717C6C}"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53E278-534D-41A6-B237-B8E87C36969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A78C50-3E27-4004-9282-F553EADE731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984BAD-8BD0-413E-953A-FD40161080C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DC67E8-A73C-46B4-A154-9755C0A4EA2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C8B4E1-A31D-44C8-B4A3-88D73F33F90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D4CF71-1D7B-4CF2-9873-A549C88BEAA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397C2E-A7C0-4DA7-A2A1-AD977F1A1E68}"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E34A1E-9150-40CF-BA72-E5238DB1293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E11A2F-B247-43F0-A826-7B64172E7A8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1E27BA-27F6-4495-AC7A-8AC2CA3C29A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806A09-F8E3-4938-8F4B-E93C62F29920}"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07121F-FC17-43AF-9612-7F82EEB5265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81F544-B0E6-4688-AF8D-106A4CEAE63C}"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96FF2-C8A7-474A-B099-A8CAD3587A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D0B3D4-3594-47BB-AD0B-BE825187802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06B3F7-0C7A-4498-AAD1-7F8CC7F843D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88A67EC-F7D7-480B-B25A-C8A8756956D8}"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A10772-21AA-42EE-A0A3-A66BC8CD5AF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13CBAE-2D32-4901-BBB6-0F117E29F3D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475915-E4E2-4E0A-9948-7A6F1FC69678}"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E58461-B29F-4A1F-8D35-777274BF948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36A5F3-2E16-4ADA-93C3-059E803730C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B20AE5-FD10-45C6-AA37-D051F2AF044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2F8A04-B8EA-4D08-B139-9030CF5E4C5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53E63-60B7-47DA-BCF4-5CD4A22C2E2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296FF2-C8A7-474A-B099-A8CAD3587A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E18A5-B059-401A-8AC7-BDF58BA9BCF9}"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586B3E-888D-43FE-BD8D-AA823E9BA00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BAB9FE-0D6B-48DB-92E0-EC01FB5C7D0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3C5A3D-B1D3-48D2-948A-D715747F47C6}"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3F14EB-D731-4EDA-9020-847995C949D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0B74D7-FE7D-4982-8535-4C5F563F0E0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014A09-8FD1-44E7-8330-036662D59D1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1AA61F-48A6-416C-BB95-69DA5E8A521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10F83A-EC6E-4568-B370-29C3D3E3438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FD3A32-60D1-4AC1-8EF8-D32E0F22B08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DB6D59-AAF2-4B19-8541-B2DB854C423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55F6C3EA-79FB-4C50-AB9B-752E4DFC6444}" type="CELLRANGE">
                  <a:rPr lang="en-US">
                    <a:ln>
                      <a:solidFill>
                        <a:schemeClr val="tx1"/>
                      </a:solidFill>
                    </a:ln>
                  </a:rPr>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8F114348-7643-41A3-B909-FAF4622C731B}"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EA2680E7-7266-4E51-9318-281EDFB40223}"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D68465DA-3AB2-4565-83B3-95B159140A60}"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D8C30E37-7F40-4D7C-93B1-F704DAC99C5E}"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D02C2523-BB32-4082-8105-E16512BC0C18}"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9"/>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CFC94722-748E-486D-B145-3CDD143C4C6A}"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9AA7BFC2-8EB7-444E-BD25-F0A89FD2DBB2}"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22BFBEA3-823A-4E15-8C41-D1DD9947602E}"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8C60B533-1BDE-40EA-AD35-8106C19F600C}"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BF3980F3-A0C6-4F8D-B5AB-6F98EA0B578A}"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fld id="{A7F2A09A-B839-4106-88F6-27349E75FDFA}" type="CELLRANGE">
                  <a:rPr lang="en-IN"/>
                  <a:pPr>
                    <a:defRPr>
                      <a:ln>
                        <a:solidFill>
                          <a:schemeClr val="tx1">
                            <a:alpha val="70000"/>
                          </a:schemeClr>
                        </a:solidFill>
                      </a:ln>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0587270341207349"/>
          <c:y val="0.17171296296296298"/>
          <c:w val="0.863571741032371"/>
          <c:h val="0.64426837270341208"/>
        </c:manualLayout>
      </c:layout>
      <c:barChart>
        <c:barDir val="col"/>
        <c:grouping val="clustered"/>
        <c:varyColors val="0"/>
        <c:ser>
          <c:idx val="0"/>
          <c:order val="0"/>
          <c:tx>
            <c:strRef>
              <c:f>'solution 3'!$B$76:$B$87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3FE-4C58-B131-89FD19280E7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3FE-4C58-B131-89FD19280E7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3FE-4C58-B131-89FD19280E7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3FE-4C58-B131-89FD19280E7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63FE-4C58-B131-89FD19280E79}"/>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63FE-4C58-B131-89FD19280E79}"/>
              </c:ext>
            </c:extLst>
          </c:dPt>
          <c:dPt>
            <c:idx val="6"/>
            <c:invertIfNegative val="0"/>
            <c:bubble3D val="0"/>
            <c:spPr>
              <a:solidFill>
                <a:srgbClr val="C00000"/>
              </a:solidFill>
              <a:ln>
                <a:noFill/>
              </a:ln>
              <a:effectLst/>
            </c:spPr>
            <c:extLst>
              <c:ext xmlns:c16="http://schemas.microsoft.com/office/drawing/2014/chart" uri="{C3380CC4-5D6E-409C-BE32-E72D297353CC}">
                <c16:uniqueId val="{0000000D-63FE-4C58-B131-89FD19280E79}"/>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63FE-4C58-B131-89FD19280E79}"/>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63FE-4C58-B131-89FD19280E79}"/>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63FE-4C58-B131-89FD19280E79}"/>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5-63FE-4C58-B131-89FD19280E79}"/>
              </c:ext>
            </c:extLst>
          </c:dPt>
          <c:dPt>
            <c:idx val="11"/>
            <c:invertIfNegative val="0"/>
            <c:bubble3D val="0"/>
            <c:spPr>
              <a:solidFill>
                <a:schemeClr val="accent6"/>
              </a:solidFill>
              <a:ln>
                <a:noFill/>
              </a:ln>
              <a:effectLst/>
            </c:spPr>
            <c:extLst>
              <c:ext xmlns:c16="http://schemas.microsoft.com/office/drawing/2014/chart" uri="{C3380CC4-5D6E-409C-BE32-E72D297353CC}">
                <c16:uniqueId val="{00000017-63FE-4C58-B131-89FD19280E79}"/>
              </c:ext>
            </c:extLst>
          </c:dPt>
          <c:dLbls>
            <c:dLbl>
              <c:idx val="0"/>
              <c:tx>
                <c:rich>
                  <a:bodyPr/>
                  <a:lstStyle/>
                  <a:p>
                    <a:fld id="{55F6C3EA-79FB-4C50-AB9B-752E4DFC6444}" type="CELLRANGE">
                      <a:rPr lang="en-US">
                        <a:ln>
                          <a:solidFill>
                            <a:schemeClr val="tx1"/>
                          </a:solidFill>
                        </a:ln>
                      </a:rPr>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FE-4C58-B131-89FD19280E79}"/>
                </c:ext>
              </c:extLst>
            </c:dLbl>
            <c:dLbl>
              <c:idx val="1"/>
              <c:tx>
                <c:rich>
                  <a:bodyPr/>
                  <a:lstStyle/>
                  <a:p>
                    <a:fld id="{8F114348-7643-41A3-B909-FAF4622C731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FE-4C58-B131-89FD19280E79}"/>
                </c:ext>
              </c:extLst>
            </c:dLbl>
            <c:dLbl>
              <c:idx val="2"/>
              <c:tx>
                <c:rich>
                  <a:bodyPr/>
                  <a:lstStyle/>
                  <a:p>
                    <a:fld id="{EA2680E7-7266-4E51-9318-281EDFB40223}"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3FE-4C58-B131-89FD19280E79}"/>
                </c:ext>
              </c:extLst>
            </c:dLbl>
            <c:dLbl>
              <c:idx val="3"/>
              <c:tx>
                <c:rich>
                  <a:bodyPr/>
                  <a:lstStyle/>
                  <a:p>
                    <a:fld id="{D68465DA-3AB2-4565-83B3-95B159140A6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3FE-4C58-B131-89FD19280E79}"/>
                </c:ext>
              </c:extLst>
            </c:dLbl>
            <c:dLbl>
              <c:idx val="4"/>
              <c:tx>
                <c:rich>
                  <a:bodyPr/>
                  <a:lstStyle/>
                  <a:p>
                    <a:fld id="{D8C30E37-7F40-4D7C-93B1-F704DAC99C5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3FE-4C58-B131-89FD19280E79}"/>
                </c:ext>
              </c:extLst>
            </c:dLbl>
            <c:dLbl>
              <c:idx val="5"/>
              <c:tx>
                <c:rich>
                  <a:bodyPr/>
                  <a:lstStyle/>
                  <a:p>
                    <a:fld id="{D02C2523-BB32-4082-8105-E16512BC0C1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3FE-4C58-B131-89FD19280E79}"/>
                </c:ext>
              </c:extLst>
            </c:dLbl>
            <c:dLbl>
              <c:idx val="6"/>
              <c:tx>
                <c:rich>
                  <a:bodyPr/>
                  <a:lstStyle/>
                  <a:p>
                    <a:fld id="{CFC94722-748E-486D-B145-3CDD143C4C6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3FE-4C58-B131-89FD19280E79}"/>
                </c:ext>
              </c:extLst>
            </c:dLbl>
            <c:dLbl>
              <c:idx val="7"/>
              <c:tx>
                <c:rich>
                  <a:bodyPr/>
                  <a:lstStyle/>
                  <a:p>
                    <a:fld id="{9AA7BFC2-8EB7-444E-BD25-F0A89FD2DBB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3FE-4C58-B131-89FD19280E79}"/>
                </c:ext>
              </c:extLst>
            </c:dLbl>
            <c:dLbl>
              <c:idx val="8"/>
              <c:tx>
                <c:rich>
                  <a:bodyPr/>
                  <a:lstStyle/>
                  <a:p>
                    <a:fld id="{22BFBEA3-823A-4E15-8C41-D1DD9947602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3FE-4C58-B131-89FD19280E79}"/>
                </c:ext>
              </c:extLst>
            </c:dLbl>
            <c:dLbl>
              <c:idx val="9"/>
              <c:tx>
                <c:rich>
                  <a:bodyPr/>
                  <a:lstStyle/>
                  <a:p>
                    <a:fld id="{8C60B533-1BDE-40EA-AD35-8106C19F600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3FE-4C58-B131-89FD19280E79}"/>
                </c:ext>
              </c:extLst>
            </c:dLbl>
            <c:dLbl>
              <c:idx val="10"/>
              <c:tx>
                <c:rich>
                  <a:bodyPr/>
                  <a:lstStyle/>
                  <a:p>
                    <a:fld id="{BF3980F3-A0C6-4F8D-B5AB-6F98EA0B578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3FE-4C58-B131-89FD19280E79}"/>
                </c:ext>
              </c:extLst>
            </c:dLbl>
            <c:dLbl>
              <c:idx val="11"/>
              <c:tx>
                <c:rich>
                  <a:bodyPr/>
                  <a:lstStyle/>
                  <a:p>
                    <a:fld id="{A7F2A09A-B839-4106-88F6-27349E75FDF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3FE-4C58-B131-89FD19280E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'solution 3'!$B$76:$B$87</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'solution 3'!$B$76:$B$87</c:f>
              <c:numCache>
                <c:formatCode>General</c:formatCode>
                <c:ptCount val="12"/>
                <c:pt idx="0">
                  <c:v>6.3620680556498877E-3</c:v>
                </c:pt>
                <c:pt idx="1">
                  <c:v>2.1541803542679174E-3</c:v>
                </c:pt>
                <c:pt idx="2">
                  <c:v>1.5669310168679798E-3</c:v>
                </c:pt>
                <c:pt idx="3">
                  <c:v>5.3257326432239443E-3</c:v>
                </c:pt>
                <c:pt idx="4">
                  <c:v>6.9749497127123503E-3</c:v>
                </c:pt>
                <c:pt idx="5">
                  <c:v>1.6619487742657209E-4</c:v>
                </c:pt>
                <c:pt idx="6">
                  <c:v>-5.1245882374405388E-3</c:v>
                </c:pt>
                <c:pt idx="7">
                  <c:v>4.2191492843013205E-3</c:v>
                </c:pt>
                <c:pt idx="8">
                  <c:v>-4.6887288334953887E-3</c:v>
                </c:pt>
                <c:pt idx="9">
                  <c:v>2.6043598390547776E-4</c:v>
                </c:pt>
                <c:pt idx="10">
                  <c:v>4.8890864741948856E-3</c:v>
                </c:pt>
                <c:pt idx="11">
                  <c:v>7.3485383377681346E-3</c:v>
                </c:pt>
              </c:numCache>
            </c:numRef>
          </c:val>
          <c:extLst>
            <c:ext xmlns:c15="http://schemas.microsoft.com/office/drawing/2012/chart" uri="{02D57815-91ED-43cb-92C2-25804820EDAC}">
              <c15:datalabelsRange>
                <c15:f>'solution 3'!$B$76:$B$87</c15:f>
                <c15:dlblRangeCache>
                  <c:ptCount val="12"/>
                  <c:pt idx="0">
                    <c:v>0.01</c:v>
                  </c:pt>
                  <c:pt idx="1">
                    <c:v>0.22%</c:v>
                  </c:pt>
                  <c:pt idx="2">
                    <c:v>0.16%</c:v>
                  </c:pt>
                  <c:pt idx="3">
                    <c:v>0.53%</c:v>
                  </c:pt>
                  <c:pt idx="4">
                    <c:v>0.70%</c:v>
                  </c:pt>
                  <c:pt idx="5">
                    <c:v>0.02%</c:v>
                  </c:pt>
                  <c:pt idx="6">
                    <c:v>-0.51%</c:v>
                  </c:pt>
                  <c:pt idx="7">
                    <c:v>0.42%</c:v>
                  </c:pt>
                  <c:pt idx="8">
                    <c:v>-0.47%</c:v>
                  </c:pt>
                  <c:pt idx="9">
                    <c:v>0.03%</c:v>
                  </c:pt>
                  <c:pt idx="10">
                    <c:v>0.49%</c:v>
                  </c:pt>
                  <c:pt idx="11">
                    <c:v>0.73%</c:v>
                  </c:pt>
                </c15:dlblRangeCache>
              </c15:datalabelsRange>
            </c:ext>
            <c:ext xmlns:c16="http://schemas.microsoft.com/office/drawing/2014/chart" uri="{C3380CC4-5D6E-409C-BE32-E72D297353CC}">
              <c16:uniqueId val="{00000018-63FE-4C58-B131-89FD19280E79}"/>
            </c:ext>
          </c:extLst>
        </c:ser>
        <c:dLbls>
          <c:dLblPos val="outEnd"/>
          <c:showLegendKey val="0"/>
          <c:showVal val="1"/>
          <c:showCatName val="0"/>
          <c:showSerName val="0"/>
          <c:showPercent val="0"/>
          <c:showBubbleSize val="0"/>
        </c:dLbls>
        <c:gapWidth val="219"/>
        <c:overlap val="-27"/>
        <c:axId val="2136505248"/>
        <c:axId val="2136505728"/>
      </c:barChart>
      <c:catAx>
        <c:axId val="2136505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2136505728"/>
        <c:crosses val="autoZero"/>
        <c:auto val="1"/>
        <c:lblAlgn val="ctr"/>
        <c:lblOffset val="100"/>
        <c:noMultiLvlLbl val="0"/>
      </c:catAx>
      <c:valAx>
        <c:axId val="213650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213650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69000"/>
                    </a:schemeClr>
                  </a:solidFill>
                </a:ln>
                <a:solidFill>
                  <a:schemeClr val="tx1">
                    <a:lumMod val="65000"/>
                    <a:lumOff val="35000"/>
                  </a:schemeClr>
                </a:solidFill>
                <a:latin typeface="+mn-lt"/>
                <a:ea typeface="+mn-ea"/>
                <a:cs typeface="+mn-cs"/>
              </a:defRPr>
            </a:pPr>
            <a:r>
              <a:rPr lang="en-IN" sz="1400" b="0" i="0" u="none" strike="noStrike" baseline="0">
                <a:ln>
                  <a:solidFill>
                    <a:schemeClr val="tx1">
                      <a:alpha val="69000"/>
                    </a:schemeClr>
                  </a:solidFill>
                </a:ln>
                <a:effectLst/>
              </a:rPr>
              <a:t>Absolute Change in Food Catagories for R+U (jun 22-may 23)</a:t>
            </a:r>
            <a:endParaRPr lang="en-US">
              <a:ln>
                <a:solidFill>
                  <a:schemeClr val="tx1">
                    <a:alpha val="69000"/>
                  </a:schemeClr>
                </a:solidFill>
              </a:ln>
            </a:endParaRPr>
          </a:p>
        </c:rich>
      </c:tx>
      <c:layout>
        <c:manualLayout>
          <c:xMode val="edge"/>
          <c:yMode val="edge"/>
          <c:x val="0.10840966754155729"/>
          <c:y val="2.5380710659898477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9000"/>
                  </a:schemeClr>
                </a:solidFill>
              </a:ln>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1-BF28-4541-B9DA-E4A4C9ECD3B2}"/>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3-BF28-4541-B9DA-E4A4C9ECD3B2}"/>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3'!$A$98:$A$111</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'solution 3'!$G$98:$G$111</c:f>
              <c:numCache>
                <c:formatCode>0.0%</c:formatCode>
                <c:ptCount val="14"/>
                <c:pt idx="0">
                  <c:v>0.11501183688996432</c:v>
                </c:pt>
                <c:pt idx="1">
                  <c:v>-2.2019945909686377E-2</c:v>
                </c:pt>
                <c:pt idx="2">
                  <c:v>2.4133882997823472E-2</c:v>
                </c:pt>
                <c:pt idx="3">
                  <c:v>7.9749422148858315E-2</c:v>
                </c:pt>
                <c:pt idx="4">
                  <c:v>-0.16455547421002759</c:v>
                </c:pt>
                <c:pt idx="5">
                  <c:v>1.973126249962542E-2</c:v>
                </c:pt>
                <c:pt idx="6">
                  <c:v>-0.10877646422437171</c:v>
                </c:pt>
                <c:pt idx="7">
                  <c:v>6.6921137836445682E-2</c:v>
                </c:pt>
                <c:pt idx="8">
                  <c:v>2.3319166334388818E-2</c:v>
                </c:pt>
                <c:pt idx="9">
                  <c:v>0.1541254955032626</c:v>
                </c:pt>
                <c:pt idx="10">
                  <c:v>3.2287590315394542E-2</c:v>
                </c:pt>
                <c:pt idx="11">
                  <c:v>5.4661891133482306E-2</c:v>
                </c:pt>
                <c:pt idx="12">
                  <c:v>2.4009458472456738E-2</c:v>
                </c:pt>
                <c:pt idx="13">
                  <c:v>3.3973194486927961E-2</c:v>
                </c:pt>
              </c:numCache>
            </c:numRef>
          </c:val>
          <c:extLst>
            <c:ext xmlns:c16="http://schemas.microsoft.com/office/drawing/2014/chart" uri="{C3380CC4-5D6E-409C-BE32-E72D297353CC}">
              <c16:uniqueId val="{00000004-BF28-4541-B9DA-E4A4C9ECD3B2}"/>
            </c:ext>
          </c:extLst>
        </c:ser>
        <c:dLbls>
          <c:dLblPos val="outEnd"/>
          <c:showLegendKey val="0"/>
          <c:showVal val="1"/>
          <c:showCatName val="0"/>
          <c:showSerName val="0"/>
          <c:showPercent val="0"/>
          <c:showBubbleSize val="0"/>
        </c:dLbls>
        <c:gapWidth val="219"/>
        <c:overlap val="-27"/>
        <c:axId val="791557920"/>
        <c:axId val="791567520"/>
      </c:barChart>
      <c:catAx>
        <c:axId val="7915579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ln>
                  <a:solidFill>
                    <a:schemeClr val="tx1">
                      <a:alpha val="68000"/>
                    </a:schemeClr>
                  </a:solidFill>
                </a:ln>
                <a:solidFill>
                  <a:schemeClr val="tx1"/>
                </a:solidFill>
                <a:latin typeface="+mn-lt"/>
                <a:ea typeface="+mn-ea"/>
                <a:cs typeface="+mn-cs"/>
              </a:defRPr>
            </a:pPr>
            <a:endParaRPr lang="en-US"/>
          </a:p>
        </c:txPr>
        <c:crossAx val="791567520"/>
        <c:crosses val="autoZero"/>
        <c:auto val="1"/>
        <c:lblAlgn val="ctr"/>
        <c:lblOffset val="100"/>
        <c:noMultiLvlLbl val="0"/>
      </c:catAx>
      <c:valAx>
        <c:axId val="791567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79155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IN" sz="1400" b="0" i="0" u="none" strike="noStrike" baseline="0">
                <a:ln>
                  <a:solidFill>
                    <a:schemeClr val="tx1">
                      <a:alpha val="70000"/>
                    </a:schemeClr>
                  </a:solidFill>
                </a:ln>
                <a:effectLst/>
              </a:rPr>
              <a:t>Impact Of Covid -19 on cpi inflation (Pre VS Post covid) For Rural</a:t>
            </a:r>
            <a:endParaRPr lang="en-IN">
              <a:ln>
                <a:solidFill>
                  <a:schemeClr val="tx1">
                    <a:alpha val="7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1522946960916678E-2"/>
          <c:y val="0.13914140952798534"/>
          <c:w val="0.91238115671508369"/>
          <c:h val="0.74076669183475352"/>
        </c:manualLayout>
      </c:layout>
      <c:barChart>
        <c:barDir val="col"/>
        <c:grouping val="clustered"/>
        <c:varyColors val="0"/>
        <c:ser>
          <c:idx val="0"/>
          <c:order val="0"/>
          <c:tx>
            <c:strRef>
              <c:f>'solution 4'!$C$35</c:f>
              <c:strCache>
                <c:ptCount val="1"/>
                <c:pt idx="0">
                  <c:v>inflation of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4'!$C$36:$C$40</c:f>
              <c:numCache>
                <c:formatCode>0.0%</c:formatCode>
                <c:ptCount val="5"/>
                <c:pt idx="0">
                  <c:v>-9.6198127206671077E-3</c:v>
                </c:pt>
                <c:pt idx="1">
                  <c:v>9.7019195755084803E-2</c:v>
                </c:pt>
                <c:pt idx="2">
                  <c:v>8.3950265755504988E-2</c:v>
                </c:pt>
                <c:pt idx="3">
                  <c:v>4.8304670488379456E-2</c:v>
                </c:pt>
                <c:pt idx="4">
                  <c:v>5.5169176942441521E-2</c:v>
                </c:pt>
              </c:numCache>
            </c:numRef>
          </c:val>
          <c:extLst>
            <c:ext xmlns:c16="http://schemas.microsoft.com/office/drawing/2014/chart" uri="{C3380CC4-5D6E-409C-BE32-E72D297353CC}">
              <c16:uniqueId val="{00000000-49DA-486C-857F-F123AF674812}"/>
            </c:ext>
          </c:extLst>
        </c:ser>
        <c:ser>
          <c:idx val="1"/>
          <c:order val="1"/>
          <c:tx>
            <c:strRef>
              <c:f>'solution 4'!$D$35</c:f>
              <c:strCache>
                <c:ptCount val="1"/>
                <c:pt idx="0">
                  <c:v>inflation of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4'!$D$36:$D$40</c:f>
              <c:numCache>
                <c:formatCode>0.0%</c:formatCode>
                <c:ptCount val="5"/>
                <c:pt idx="0">
                  <c:v>9.9999999999999964E-2</c:v>
                </c:pt>
                <c:pt idx="1">
                  <c:v>3.4759358288770172E-2</c:v>
                </c:pt>
                <c:pt idx="2">
                  <c:v>3.7893384714194005E-2</c:v>
                </c:pt>
                <c:pt idx="3">
                  <c:v>7.0769230769230765E-2</c:v>
                </c:pt>
                <c:pt idx="4">
                  <c:v>5.0372066399542142E-2</c:v>
                </c:pt>
              </c:numCache>
            </c:numRef>
          </c:val>
          <c:extLst>
            <c:ext xmlns:c16="http://schemas.microsoft.com/office/drawing/2014/chart" uri="{C3380CC4-5D6E-409C-BE32-E72D297353CC}">
              <c16:uniqueId val="{00000001-49DA-486C-857F-F123AF674812}"/>
            </c:ext>
          </c:extLst>
        </c:ser>
        <c:ser>
          <c:idx val="2"/>
          <c:order val="2"/>
          <c:tx>
            <c:strRef>
              <c:f>'solution 4'!$E$35</c:f>
              <c:strCache>
                <c:ptCount val="1"/>
                <c:pt idx="0">
                  <c:v>inflation of 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4'!$A$36:$B$40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4'!$E$36:$E$40</c:f>
              <c:numCache>
                <c:formatCode>0.0%</c:formatCode>
                <c:ptCount val="5"/>
                <c:pt idx="0">
                  <c:v>6.780923994038765E-2</c:v>
                </c:pt>
                <c:pt idx="1">
                  <c:v>4.3607186464329324E-2</c:v>
                </c:pt>
                <c:pt idx="2">
                  <c:v>4.3492695883134015E-2</c:v>
                </c:pt>
                <c:pt idx="3">
                  <c:v>5.1212938005390757E-2</c:v>
                </c:pt>
                <c:pt idx="4">
                  <c:v>5.281372253987382E-2</c:v>
                </c:pt>
              </c:numCache>
            </c:numRef>
          </c:val>
          <c:extLst>
            <c:ext xmlns:c16="http://schemas.microsoft.com/office/drawing/2014/chart" uri="{C3380CC4-5D6E-409C-BE32-E72D297353CC}">
              <c16:uniqueId val="{00000002-49DA-486C-857F-F123AF674812}"/>
            </c:ext>
          </c:extLst>
        </c:ser>
        <c:dLbls>
          <c:dLblPos val="outEnd"/>
          <c:showLegendKey val="0"/>
          <c:showVal val="1"/>
          <c:showCatName val="0"/>
          <c:showSerName val="0"/>
          <c:showPercent val="0"/>
          <c:showBubbleSize val="0"/>
        </c:dLbls>
        <c:gapWidth val="219"/>
        <c:overlap val="-27"/>
        <c:axId val="181109552"/>
        <c:axId val="181112432"/>
      </c:barChart>
      <c:catAx>
        <c:axId val="18110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81112432"/>
        <c:crosses val="autoZero"/>
        <c:auto val="1"/>
        <c:lblAlgn val="ctr"/>
        <c:lblOffset val="100"/>
        <c:noMultiLvlLbl val="0"/>
      </c:catAx>
      <c:valAx>
        <c:axId val="18111243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8110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IN"/>
              <a:t>Impact Of Covid -19 on cpi inflation (Pre VS Post covid) For Urban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9306013265913633E-2"/>
          <c:y val="0.12487179487179489"/>
          <c:w val="0.89726480675538556"/>
          <c:h val="0.63420639727726347"/>
        </c:manualLayout>
      </c:layout>
      <c:barChart>
        <c:barDir val="col"/>
        <c:grouping val="clustered"/>
        <c:varyColors val="0"/>
        <c:ser>
          <c:idx val="0"/>
          <c:order val="0"/>
          <c:tx>
            <c:strRef>
              <c:f>'solution 4'!$O$35</c:f>
              <c:strCache>
                <c:ptCount val="1"/>
                <c:pt idx="0">
                  <c:v>inflation of food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4'!$O$36:$O$40</c:f>
              <c:numCache>
                <c:formatCode>0.0%</c:formatCode>
                <c:ptCount val="5"/>
                <c:pt idx="0">
                  <c:v>2.7282266526755458E-3</c:v>
                </c:pt>
                <c:pt idx="1">
                  <c:v>0.11424829753797781</c:v>
                </c:pt>
                <c:pt idx="2">
                  <c:v>9.4225498535110155E-2</c:v>
                </c:pt>
                <c:pt idx="3">
                  <c:v>4.9938832576022447E-2</c:v>
                </c:pt>
                <c:pt idx="4">
                  <c:v>4.7752926859972192E-2</c:v>
                </c:pt>
              </c:numCache>
            </c:numRef>
          </c:val>
          <c:extLst>
            <c:ext xmlns:c16="http://schemas.microsoft.com/office/drawing/2014/chart" uri="{C3380CC4-5D6E-409C-BE32-E72D297353CC}">
              <c16:uniqueId val="{00000000-D9CD-45B6-9671-7A5132D33D91}"/>
            </c:ext>
          </c:extLst>
        </c:ser>
        <c:ser>
          <c:idx val="1"/>
          <c:order val="1"/>
          <c:tx>
            <c:strRef>
              <c:f>'solution 4'!$P$35</c:f>
              <c:strCache>
                <c:ptCount val="1"/>
                <c:pt idx="0">
                  <c:v>inflation of health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4'!$P$36:$P$40</c:f>
              <c:numCache>
                <c:formatCode>0.0%</c:formatCode>
                <c:ptCount val="5"/>
                <c:pt idx="0">
                  <c:v>6.4341085271317919E-2</c:v>
                </c:pt>
                <c:pt idx="1">
                  <c:v>3.9187227866472982E-2</c:v>
                </c:pt>
                <c:pt idx="2">
                  <c:v>6.3282336578581316E-2</c:v>
                </c:pt>
                <c:pt idx="3">
                  <c:v>7.1382219338092148E-2</c:v>
                </c:pt>
                <c:pt idx="4">
                  <c:v>6.6827212522576729E-2</c:v>
                </c:pt>
              </c:numCache>
            </c:numRef>
          </c:val>
          <c:extLst>
            <c:ext xmlns:c16="http://schemas.microsoft.com/office/drawing/2014/chart" uri="{C3380CC4-5D6E-409C-BE32-E72D297353CC}">
              <c16:uniqueId val="{00000001-D9CD-45B6-9671-7A5132D33D91}"/>
            </c:ext>
          </c:extLst>
        </c:ser>
        <c:ser>
          <c:idx val="2"/>
          <c:order val="2"/>
          <c:tx>
            <c:strRef>
              <c:f>'solution 4'!$Q$35</c:f>
              <c:strCache>
                <c:ptCount val="1"/>
                <c:pt idx="0">
                  <c:v>inflation of others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4'!$M$36:$N$40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4'!$Q$36:$Q$40</c:f>
              <c:numCache>
                <c:formatCode>0.0%</c:formatCode>
                <c:ptCount val="5"/>
                <c:pt idx="0">
                  <c:v>5.0719005052467979E-2</c:v>
                </c:pt>
                <c:pt idx="1">
                  <c:v>4.5387453874538575E-2</c:v>
                </c:pt>
                <c:pt idx="2">
                  <c:v>6.3531063531063622E-2</c:v>
                </c:pt>
                <c:pt idx="3">
                  <c:v>5.2076466710613278E-2</c:v>
                </c:pt>
                <c:pt idx="4">
                  <c:v>6.6011235955056285E-2</c:v>
                </c:pt>
              </c:numCache>
            </c:numRef>
          </c:val>
          <c:extLst>
            <c:ext xmlns:c16="http://schemas.microsoft.com/office/drawing/2014/chart" uri="{C3380CC4-5D6E-409C-BE32-E72D297353CC}">
              <c16:uniqueId val="{00000002-D9CD-45B6-9671-7A5132D33D91}"/>
            </c:ext>
          </c:extLst>
        </c:ser>
        <c:dLbls>
          <c:dLblPos val="outEnd"/>
          <c:showLegendKey val="0"/>
          <c:showVal val="1"/>
          <c:showCatName val="0"/>
          <c:showSerName val="0"/>
          <c:showPercent val="0"/>
          <c:showBubbleSize val="0"/>
        </c:dLbls>
        <c:gapWidth val="219"/>
        <c:overlap val="-27"/>
        <c:axId val="1763850144"/>
        <c:axId val="1763851104"/>
      </c:barChart>
      <c:catAx>
        <c:axId val="17638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763851104"/>
        <c:crosses val="autoZero"/>
        <c:auto val="1"/>
        <c:lblAlgn val="ctr"/>
        <c:lblOffset val="100"/>
        <c:noMultiLvlLbl val="0"/>
      </c:catAx>
      <c:valAx>
        <c:axId val="176385110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763850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chemeClr val="tx1">
                <a:alpha val="70000"/>
              </a:schemeClr>
            </a:solidFill>
          </a:ln>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68000"/>
                    </a:schemeClr>
                  </a:solidFill>
                </a:ln>
                <a:solidFill>
                  <a:schemeClr val="tx1">
                    <a:lumMod val="65000"/>
                    <a:lumOff val="35000"/>
                  </a:schemeClr>
                </a:solidFill>
                <a:latin typeface="+mn-lt"/>
                <a:ea typeface="+mn-ea"/>
                <a:cs typeface="+mn-cs"/>
              </a:defRPr>
            </a:pPr>
            <a:r>
              <a:rPr lang="en-IN" sz="1400" b="0" i="0" u="none" strike="noStrike" baseline="0">
                <a:ln>
                  <a:solidFill>
                    <a:schemeClr val="tx1">
                      <a:alpha val="68000"/>
                    </a:schemeClr>
                  </a:solidFill>
                </a:ln>
                <a:effectLst/>
              </a:rPr>
              <a:t>Impact Of Covid -19 on cpi inflation (Pre VS Post covid) For R+U</a:t>
            </a:r>
            <a:endParaRPr lang="en-IN">
              <a:ln>
                <a:solidFill>
                  <a:schemeClr val="tx1">
                    <a:alpha val="68000"/>
                  </a:schemeClr>
                </a:solidFill>
              </a:ln>
            </a:endParaRPr>
          </a:p>
        </c:rich>
      </c:tx>
      <c:layout>
        <c:manualLayout>
          <c:xMode val="edge"/>
          <c:yMode val="edge"/>
          <c:x val="0.1118607445196111"/>
          <c:y val="2.7777898953766512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68000"/>
                  </a:schemeClr>
                </a:solidFill>
              </a:ln>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'solution 4'!$I$35</c:f>
              <c:strCache>
                <c:ptCount val="1"/>
                <c:pt idx="0">
                  <c:v>inflation of food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4'!$I$36:$I$40</c:f>
              <c:numCache>
                <c:formatCode>0.0%</c:formatCode>
                <c:ptCount val="5"/>
                <c:pt idx="0">
                  <c:v>-4.5487439263932642E-3</c:v>
                </c:pt>
                <c:pt idx="1">
                  <c:v>0.10330794114577922</c:v>
                </c:pt>
                <c:pt idx="2">
                  <c:v>8.7646947288585561E-2</c:v>
                </c:pt>
                <c:pt idx="3">
                  <c:v>4.8740609809986825E-2</c:v>
                </c:pt>
                <c:pt idx="4">
                  <c:v>5.2749957562383577E-2</c:v>
                </c:pt>
              </c:numCache>
            </c:numRef>
          </c:val>
          <c:extLst>
            <c:ext xmlns:c16="http://schemas.microsoft.com/office/drawing/2014/chart" uri="{C3380CC4-5D6E-409C-BE32-E72D297353CC}">
              <c16:uniqueId val="{00000000-604E-4909-AD06-6A45560FCEA0}"/>
            </c:ext>
          </c:extLst>
        </c:ser>
        <c:ser>
          <c:idx val="1"/>
          <c:order val="1"/>
          <c:tx>
            <c:strRef>
              <c:f>'solution 4'!$J$35</c:f>
              <c:strCache>
                <c:ptCount val="1"/>
                <c:pt idx="0">
                  <c:v>inflation of health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4'!$J$36:$J$40</c:f>
              <c:numCache>
                <c:formatCode>0.0%</c:formatCode>
                <c:ptCount val="5"/>
                <c:pt idx="0">
                  <c:v>8.7021755438859663E-2</c:v>
                </c:pt>
                <c:pt idx="1">
                  <c:v>3.6526533425224064E-2</c:v>
                </c:pt>
                <c:pt idx="2">
                  <c:v>4.6957671957672115E-2</c:v>
                </c:pt>
                <c:pt idx="3">
                  <c:v>7.0935342121782693E-2</c:v>
                </c:pt>
                <c:pt idx="4">
                  <c:v>5.6592765460910084E-2</c:v>
                </c:pt>
              </c:numCache>
            </c:numRef>
          </c:val>
          <c:extLst>
            <c:ext xmlns:c16="http://schemas.microsoft.com/office/drawing/2014/chart" uri="{C3380CC4-5D6E-409C-BE32-E72D297353CC}">
              <c16:uniqueId val="{00000001-604E-4909-AD06-6A45560FCEA0}"/>
            </c:ext>
          </c:extLst>
        </c:ser>
        <c:ser>
          <c:idx val="2"/>
          <c:order val="2"/>
          <c:tx>
            <c:strRef>
              <c:f>'solution 4'!$K$35</c:f>
              <c:strCache>
                <c:ptCount val="1"/>
                <c:pt idx="0">
                  <c:v>inflation of 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'solution 4'!$G$36:$H$40</c:f>
              <c:multiLvlStrCache>
                <c:ptCount val="5"/>
                <c:lvl>
                  <c:pt idx="0">
                    <c:v>2018</c:v>
                  </c:pt>
                  <c:pt idx="1">
                    <c:v>2019</c:v>
                  </c:pt>
                  <c:pt idx="2">
                    <c:v>2020</c:v>
                  </c:pt>
                  <c:pt idx="3">
                    <c:v>2021</c:v>
                  </c:pt>
                  <c:pt idx="4">
                    <c:v>2022</c:v>
                  </c:pt>
                </c:lvl>
                <c:lvl>
                  <c:pt idx="0">
                    <c:v>Pre Covid</c:v>
                  </c:pt>
                  <c:pt idx="2">
                    <c:v>Covid</c:v>
                  </c:pt>
                  <c:pt idx="3">
                    <c:v>Post covid</c:v>
                  </c:pt>
                </c:lvl>
              </c:multiLvlStrCache>
            </c:multiLvlStrRef>
          </c:cat>
          <c:val>
            <c:numRef>
              <c:f>'solution 4'!$K$36:$K$40</c:f>
              <c:numCache>
                <c:formatCode>0.0%</c:formatCode>
                <c:ptCount val="5"/>
                <c:pt idx="0">
                  <c:v>5.8655494191582912E-2</c:v>
                </c:pt>
                <c:pt idx="1">
                  <c:v>4.3657923104563338E-2</c:v>
                </c:pt>
                <c:pt idx="2">
                  <c:v>5.4054054054053689E-2</c:v>
                </c:pt>
                <c:pt idx="3">
                  <c:v>5.1983805668016234E-2</c:v>
                </c:pt>
                <c:pt idx="4">
                  <c:v>6.0159607120933163E-2</c:v>
                </c:pt>
              </c:numCache>
            </c:numRef>
          </c:val>
          <c:extLst>
            <c:ext xmlns:c16="http://schemas.microsoft.com/office/drawing/2014/chart" uri="{C3380CC4-5D6E-409C-BE32-E72D297353CC}">
              <c16:uniqueId val="{00000002-604E-4909-AD06-6A45560FCEA0}"/>
            </c:ext>
          </c:extLst>
        </c:ser>
        <c:dLbls>
          <c:dLblPos val="outEnd"/>
          <c:showLegendKey val="0"/>
          <c:showVal val="1"/>
          <c:showCatName val="0"/>
          <c:showSerName val="0"/>
          <c:showPercent val="0"/>
          <c:showBubbleSize val="0"/>
        </c:dLbls>
        <c:gapWidth val="219"/>
        <c:overlap val="-27"/>
        <c:axId val="1037073104"/>
        <c:axId val="1037072624"/>
      </c:barChart>
      <c:catAx>
        <c:axId val="10370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037072624"/>
        <c:crosses val="autoZero"/>
        <c:auto val="1"/>
        <c:lblAlgn val="ctr"/>
        <c:lblOffset val="100"/>
        <c:noMultiLvlLbl val="0"/>
      </c:catAx>
      <c:valAx>
        <c:axId val="10370726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103707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IN">
                <a:ln>
                  <a:solidFill>
                    <a:schemeClr val="tx1">
                      <a:alpha val="70000"/>
                    </a:schemeClr>
                  </a:solidFill>
                </a:ln>
              </a:rPr>
              <a:t>Correlation</a:t>
            </a:r>
            <a:r>
              <a:rPr lang="en-IN" baseline="0">
                <a:ln>
                  <a:solidFill>
                    <a:schemeClr val="tx1">
                      <a:alpha val="70000"/>
                    </a:schemeClr>
                  </a:solidFill>
                </a:ln>
              </a:rPr>
              <a:t> with Crude Oil</a:t>
            </a:r>
            <a:endParaRPr lang="en-IN">
              <a:ln>
                <a:solidFill>
                  <a:schemeClr val="tx1">
                    <a:alpha val="7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7755571649434229E-2"/>
          <c:y val="0.12213197969543149"/>
          <c:w val="0.91919811393438833"/>
          <c:h val="0.49375274791158719"/>
        </c:manualLayout>
      </c:layout>
      <c:barChart>
        <c:barDir val="col"/>
        <c:grouping val="clustered"/>
        <c:varyColors val="0"/>
        <c:ser>
          <c:idx val="0"/>
          <c:order val="0"/>
          <c:spPr>
            <a:solidFill>
              <a:schemeClr val="accent1"/>
            </a:solidFill>
            <a:ln>
              <a:noFill/>
            </a:ln>
            <a:effectLst/>
          </c:spPr>
          <c:invertIfNegative val="0"/>
          <c:dPt>
            <c:idx val="6"/>
            <c:invertIfNegative val="0"/>
            <c:bubble3D val="0"/>
            <c:spPr>
              <a:solidFill>
                <a:schemeClr val="accent6"/>
              </a:solidFill>
              <a:ln>
                <a:noFill/>
              </a:ln>
              <a:effectLst/>
            </c:spPr>
            <c:extLst>
              <c:ext xmlns:c16="http://schemas.microsoft.com/office/drawing/2014/chart" uri="{C3380CC4-5D6E-409C-BE32-E72D297353CC}">
                <c16:uniqueId val="{00000001-E4A2-4FB1-A6C3-74947A9F8639}"/>
              </c:ext>
            </c:extLst>
          </c:dPt>
          <c:dPt>
            <c:idx val="7"/>
            <c:invertIfNegative val="0"/>
            <c:bubble3D val="0"/>
            <c:spPr>
              <a:solidFill>
                <a:srgbClr val="C00000"/>
              </a:solidFill>
              <a:ln>
                <a:noFill/>
              </a:ln>
              <a:effectLst/>
            </c:spPr>
            <c:extLst>
              <c:ext xmlns:c16="http://schemas.microsoft.com/office/drawing/2014/chart" uri="{C3380CC4-5D6E-409C-BE32-E72D297353CC}">
                <c16:uniqueId val="{00000003-E4A2-4FB1-A6C3-74947A9F86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5'!$F$41:$F$66</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strCache>
            </c:strRef>
          </c:cat>
          <c:val>
            <c:numRef>
              <c:f>'solution 5'!$G$41:$G$66</c:f>
              <c:numCache>
                <c:formatCode>0.0</c:formatCode>
                <c:ptCount val="26"/>
                <c:pt idx="0">
                  <c:v>-0.44045988561589722</c:v>
                </c:pt>
                <c:pt idx="1">
                  <c:v>3.3774413172077772E-2</c:v>
                </c:pt>
                <c:pt idx="2">
                  <c:v>-0.33620639116145912</c:v>
                </c:pt>
                <c:pt idx="3">
                  <c:v>-0.38428285220947722</c:v>
                </c:pt>
                <c:pt idx="4">
                  <c:v>0.38110474201451228</c:v>
                </c:pt>
                <c:pt idx="5">
                  <c:v>-0.10353136628799742</c:v>
                </c:pt>
                <c:pt idx="6">
                  <c:v>0.50801010118685741</c:v>
                </c:pt>
                <c:pt idx="7">
                  <c:v>-0.53750797269117823</c:v>
                </c:pt>
                <c:pt idx="8">
                  <c:v>-7.2878290420246558E-2</c:v>
                </c:pt>
                <c:pt idx="9">
                  <c:v>-0.36312911386901164</c:v>
                </c:pt>
                <c:pt idx="10">
                  <c:v>-0.2457686043139474</c:v>
                </c:pt>
                <c:pt idx="11">
                  <c:v>-0.27718783292302679</c:v>
                </c:pt>
                <c:pt idx="12">
                  <c:v>-0.1199600327720934</c:v>
                </c:pt>
                <c:pt idx="13">
                  <c:v>-0.43306944174191669</c:v>
                </c:pt>
                <c:pt idx="14">
                  <c:v>-0.23940927371055376</c:v>
                </c:pt>
                <c:pt idx="15">
                  <c:v>-0.19824306057409916</c:v>
                </c:pt>
                <c:pt idx="16">
                  <c:v>-0.23274571147679357</c:v>
                </c:pt>
                <c:pt idx="17">
                  <c:v>-0.33758077148447174</c:v>
                </c:pt>
                <c:pt idx="18">
                  <c:v>-0.15043349729085717</c:v>
                </c:pt>
                <c:pt idx="19">
                  <c:v>-0.26082997793321361</c:v>
                </c:pt>
                <c:pt idx="20">
                  <c:v>-0.33236572257914787</c:v>
                </c:pt>
                <c:pt idx="21">
                  <c:v>-0.10469004965693059</c:v>
                </c:pt>
                <c:pt idx="22">
                  <c:v>-0.18535797218120506</c:v>
                </c:pt>
                <c:pt idx="23">
                  <c:v>-0.27899228801840809</c:v>
                </c:pt>
                <c:pt idx="24">
                  <c:v>-0.40054354020553579</c:v>
                </c:pt>
                <c:pt idx="25">
                  <c:v>-0.25548448709081628</c:v>
                </c:pt>
              </c:numCache>
            </c:numRef>
          </c:val>
          <c:extLst>
            <c:ext xmlns:c16="http://schemas.microsoft.com/office/drawing/2014/chart" uri="{C3380CC4-5D6E-409C-BE32-E72D297353CC}">
              <c16:uniqueId val="{00000004-E4A2-4FB1-A6C3-74947A9F8639}"/>
            </c:ext>
          </c:extLst>
        </c:ser>
        <c:dLbls>
          <c:dLblPos val="outEnd"/>
          <c:showLegendKey val="0"/>
          <c:showVal val="1"/>
          <c:showCatName val="0"/>
          <c:showSerName val="0"/>
          <c:showPercent val="0"/>
          <c:showBubbleSize val="0"/>
        </c:dLbls>
        <c:gapWidth val="219"/>
        <c:overlap val="-27"/>
        <c:axId val="791536320"/>
        <c:axId val="791526720"/>
      </c:barChart>
      <c:catAx>
        <c:axId val="7915363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1526720"/>
        <c:crosses val="autoZero"/>
        <c:auto val="1"/>
        <c:lblAlgn val="ctr"/>
        <c:lblOffset val="100"/>
        <c:noMultiLvlLbl val="0"/>
      </c:catAx>
      <c:valAx>
        <c:axId val="7915267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153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r>
              <a:rPr lang="en-IN">
                <a:ln>
                  <a:solidFill>
                    <a:schemeClr val="tx1">
                      <a:alpha val="70000"/>
                    </a:schemeClr>
                  </a:solidFill>
                </a:ln>
              </a:rPr>
              <a:t>Correlation</a:t>
            </a:r>
            <a:r>
              <a:rPr lang="en-IN" baseline="0">
                <a:ln>
                  <a:solidFill>
                    <a:schemeClr val="tx1">
                      <a:alpha val="70000"/>
                    </a:schemeClr>
                  </a:solidFill>
                </a:ln>
              </a:rPr>
              <a:t> with Crude Oil</a:t>
            </a:r>
            <a:endParaRPr lang="en-IN">
              <a:ln>
                <a:solidFill>
                  <a:schemeClr val="tx1">
                    <a:alpha val="7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70000"/>
                  </a:schemeClr>
                </a:solidFill>
              </a:ln>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6"/>
            <c:invertIfNegative val="0"/>
            <c:bubble3D val="0"/>
            <c:spPr>
              <a:solidFill>
                <a:schemeClr val="accent6"/>
              </a:solidFill>
              <a:ln>
                <a:noFill/>
              </a:ln>
              <a:effectLst/>
            </c:spPr>
            <c:extLst>
              <c:ext xmlns:c16="http://schemas.microsoft.com/office/drawing/2014/chart" uri="{C3380CC4-5D6E-409C-BE32-E72D297353CC}">
                <c16:uniqueId val="{00000001-2C90-4A8B-BE56-ECCB45E0E0FF}"/>
              </c:ext>
            </c:extLst>
          </c:dPt>
          <c:dPt>
            <c:idx val="7"/>
            <c:invertIfNegative val="0"/>
            <c:bubble3D val="0"/>
            <c:spPr>
              <a:solidFill>
                <a:srgbClr val="C00000"/>
              </a:solidFill>
              <a:ln>
                <a:noFill/>
              </a:ln>
              <a:effectLst/>
            </c:spPr>
            <c:extLst>
              <c:ext xmlns:c16="http://schemas.microsoft.com/office/drawing/2014/chart" uri="{C3380CC4-5D6E-409C-BE32-E72D297353CC}">
                <c16:uniqueId val="{00000002-2C90-4A8B-BE56-ECCB45E0E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5'!$F$41:$F$66</c:f>
              <c:strCache>
                <c:ptCount val="26"/>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strCache>
            </c:strRef>
          </c:cat>
          <c:val>
            <c:numRef>
              <c:f>'solution 5'!$G$41:$G$66</c:f>
              <c:numCache>
                <c:formatCode>0.0</c:formatCode>
                <c:ptCount val="26"/>
                <c:pt idx="0">
                  <c:v>-0.44045988561589722</c:v>
                </c:pt>
                <c:pt idx="1">
                  <c:v>3.3774413172077772E-2</c:v>
                </c:pt>
                <c:pt idx="2">
                  <c:v>-0.33620639116145912</c:v>
                </c:pt>
                <c:pt idx="3">
                  <c:v>-0.38428285220947722</c:v>
                </c:pt>
                <c:pt idx="4">
                  <c:v>0.38110474201451228</c:v>
                </c:pt>
                <c:pt idx="5">
                  <c:v>-0.10353136628799742</c:v>
                </c:pt>
                <c:pt idx="6">
                  <c:v>0.50801010118685741</c:v>
                </c:pt>
                <c:pt idx="7">
                  <c:v>-0.53750797269117823</c:v>
                </c:pt>
                <c:pt idx="8">
                  <c:v>-7.2878290420246558E-2</c:v>
                </c:pt>
                <c:pt idx="9">
                  <c:v>-0.36312911386901164</c:v>
                </c:pt>
                <c:pt idx="10">
                  <c:v>-0.2457686043139474</c:v>
                </c:pt>
                <c:pt idx="11">
                  <c:v>-0.27718783292302679</c:v>
                </c:pt>
                <c:pt idx="12">
                  <c:v>-0.1199600327720934</c:v>
                </c:pt>
                <c:pt idx="13">
                  <c:v>-0.43306944174191669</c:v>
                </c:pt>
                <c:pt idx="14">
                  <c:v>-0.23940927371055376</c:v>
                </c:pt>
                <c:pt idx="15">
                  <c:v>-0.19824306057409916</c:v>
                </c:pt>
                <c:pt idx="16">
                  <c:v>-0.23274571147679357</c:v>
                </c:pt>
                <c:pt idx="17">
                  <c:v>-0.33758077148447174</c:v>
                </c:pt>
                <c:pt idx="18">
                  <c:v>-0.15043349729085717</c:v>
                </c:pt>
                <c:pt idx="19">
                  <c:v>-0.26082997793321361</c:v>
                </c:pt>
                <c:pt idx="20">
                  <c:v>-0.33236572257914787</c:v>
                </c:pt>
                <c:pt idx="21">
                  <c:v>-0.10469004965693059</c:v>
                </c:pt>
                <c:pt idx="22">
                  <c:v>-0.18535797218120506</c:v>
                </c:pt>
                <c:pt idx="23">
                  <c:v>-0.27899228801840809</c:v>
                </c:pt>
                <c:pt idx="24">
                  <c:v>-0.40054354020553579</c:v>
                </c:pt>
                <c:pt idx="25">
                  <c:v>-0.25548448709081628</c:v>
                </c:pt>
              </c:numCache>
            </c:numRef>
          </c:val>
          <c:extLst>
            <c:ext xmlns:c16="http://schemas.microsoft.com/office/drawing/2014/chart" uri="{C3380CC4-5D6E-409C-BE32-E72D297353CC}">
              <c16:uniqueId val="{00000000-2C90-4A8B-BE56-ECCB45E0E0FF}"/>
            </c:ext>
          </c:extLst>
        </c:ser>
        <c:dLbls>
          <c:dLblPos val="outEnd"/>
          <c:showLegendKey val="0"/>
          <c:showVal val="1"/>
          <c:showCatName val="0"/>
          <c:showSerName val="0"/>
          <c:showPercent val="0"/>
          <c:showBubbleSize val="0"/>
        </c:dLbls>
        <c:gapWidth val="219"/>
        <c:overlap val="-27"/>
        <c:axId val="791536320"/>
        <c:axId val="791526720"/>
      </c:barChart>
      <c:catAx>
        <c:axId val="7915363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1526720"/>
        <c:crosses val="autoZero"/>
        <c:auto val="1"/>
        <c:lblAlgn val="ctr"/>
        <c:lblOffset val="100"/>
        <c:noMultiLvlLbl val="0"/>
      </c:catAx>
      <c:valAx>
        <c:axId val="7915267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lumMod val="65000"/>
                    <a:lumOff val="35000"/>
                  </a:schemeClr>
                </a:solidFill>
                <a:latin typeface="+mn-lt"/>
                <a:ea typeface="+mn-ea"/>
                <a:cs typeface="+mn-cs"/>
              </a:defRPr>
            </a:pPr>
            <a:endParaRPr lang="en-US"/>
          </a:p>
        </c:txPr>
        <c:crossAx val="79153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10</xdr:col>
      <xdr:colOff>312420</xdr:colOff>
      <xdr:row>12</xdr:row>
      <xdr:rowOff>175260</xdr:rowOff>
    </xdr:from>
    <xdr:to>
      <xdr:col>18</xdr:col>
      <xdr:colOff>434340</xdr:colOff>
      <xdr:row>28</xdr:row>
      <xdr:rowOff>106680</xdr:rowOff>
    </xdr:to>
    <xdr:graphicFrame macro="">
      <xdr:nvGraphicFramePr>
        <xdr:cNvPr id="2" name="Chart 1">
          <a:extLst>
            <a:ext uri="{FF2B5EF4-FFF2-40B4-BE49-F238E27FC236}">
              <a16:creationId xmlns:a16="http://schemas.microsoft.com/office/drawing/2014/main" id="{B6BEA780-23C2-6A2A-91BB-CAC8B8D9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716280</xdr:colOff>
      <xdr:row>11</xdr:row>
      <xdr:rowOff>72390</xdr:rowOff>
    </xdr:from>
    <xdr:to>
      <xdr:col>9</xdr:col>
      <xdr:colOff>60960</xdr:colOff>
      <xdr:row>26</xdr:row>
      <xdr:rowOff>72390</xdr:rowOff>
    </xdr:to>
    <xdr:graphicFrame macro="">
      <xdr:nvGraphicFramePr>
        <xdr:cNvPr id="3" name="Chart 2">
          <a:extLst>
            <a:ext uri="{FF2B5EF4-FFF2-40B4-BE49-F238E27FC236}">
              <a16:creationId xmlns:a16="http://schemas.microsoft.com/office/drawing/2014/main" id="{C6E25333-D918-4FB0-1B3C-4A887CE31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50</xdr:row>
      <xdr:rowOff>106680</xdr:rowOff>
    </xdr:from>
    <xdr:to>
      <xdr:col>9</xdr:col>
      <xdr:colOff>723900</xdr:colOff>
      <xdr:row>65</xdr:row>
      <xdr:rowOff>106680</xdr:rowOff>
    </xdr:to>
    <xdr:graphicFrame macro="">
      <xdr:nvGraphicFramePr>
        <xdr:cNvPr id="2" name="Chart 1">
          <a:extLst>
            <a:ext uri="{FF2B5EF4-FFF2-40B4-BE49-F238E27FC236}">
              <a16:creationId xmlns:a16="http://schemas.microsoft.com/office/drawing/2014/main" id="{133FCE07-6C66-B00E-054C-37ADD291B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33</xdr:row>
      <xdr:rowOff>45720</xdr:rowOff>
    </xdr:from>
    <xdr:to>
      <xdr:col>5</xdr:col>
      <xdr:colOff>533400</xdr:colOff>
      <xdr:row>48</xdr:row>
      <xdr:rowOff>45720</xdr:rowOff>
    </xdr:to>
    <xdr:graphicFrame macro="">
      <xdr:nvGraphicFramePr>
        <xdr:cNvPr id="3" name="Chart 2">
          <a:extLst>
            <a:ext uri="{FF2B5EF4-FFF2-40B4-BE49-F238E27FC236}">
              <a16:creationId xmlns:a16="http://schemas.microsoft.com/office/drawing/2014/main" id="{79A07115-8249-B91E-FCB3-B603B6466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754380</xdr:colOff>
      <xdr:row>41</xdr:row>
      <xdr:rowOff>167640</xdr:rowOff>
    </xdr:from>
    <xdr:to>
      <xdr:col>15</xdr:col>
      <xdr:colOff>586740</xdr:colOff>
      <xdr:row>56</xdr:row>
      <xdr:rowOff>167640</xdr:rowOff>
    </xdr:to>
    <xdr:graphicFrame macro="">
      <xdr:nvGraphicFramePr>
        <xdr:cNvPr id="4" name="Chart 3">
          <a:extLst>
            <a:ext uri="{FF2B5EF4-FFF2-40B4-BE49-F238E27FC236}">
              <a16:creationId xmlns:a16="http://schemas.microsoft.com/office/drawing/2014/main" id="{328BA7F3-BE61-8B0D-7AB2-78E8337D0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45</xdr:row>
      <xdr:rowOff>175260</xdr:rowOff>
    </xdr:from>
    <xdr:to>
      <xdr:col>20</xdr:col>
      <xdr:colOff>548640</xdr:colOff>
      <xdr:row>60</xdr:row>
      <xdr:rowOff>175260</xdr:rowOff>
    </xdr:to>
    <xdr:graphicFrame macro="">
      <xdr:nvGraphicFramePr>
        <xdr:cNvPr id="2" name="Chart 1">
          <a:extLst>
            <a:ext uri="{FF2B5EF4-FFF2-40B4-BE49-F238E27FC236}">
              <a16:creationId xmlns:a16="http://schemas.microsoft.com/office/drawing/2014/main" id="{279E6ECB-2160-BD87-F2C3-0E918FE8B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129540</xdr:colOff>
      <xdr:row>70</xdr:row>
      <xdr:rowOff>121920</xdr:rowOff>
    </xdr:from>
    <xdr:to>
      <xdr:col>23</xdr:col>
      <xdr:colOff>129540</xdr:colOff>
      <xdr:row>84</xdr:row>
      <xdr:rowOff>28575</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92CD7378-AA7F-00C9-B3CD-A76E456270B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9006840" y="1292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71</xdr:row>
      <xdr:rowOff>72390</xdr:rowOff>
    </xdr:from>
    <xdr:to>
      <xdr:col>18</xdr:col>
      <xdr:colOff>152400</xdr:colOff>
      <xdr:row>86</xdr:row>
      <xdr:rowOff>72390</xdr:rowOff>
    </xdr:to>
    <xdr:graphicFrame macro="">
      <xdr:nvGraphicFramePr>
        <xdr:cNvPr id="4" name="Chart 3">
          <a:extLst>
            <a:ext uri="{FF2B5EF4-FFF2-40B4-BE49-F238E27FC236}">
              <a16:creationId xmlns:a16="http://schemas.microsoft.com/office/drawing/2014/main" id="{AC1A5276-1E2E-EC9C-7A4D-EB1F9719F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88</xdr:row>
      <xdr:rowOff>68580</xdr:rowOff>
    </xdr:from>
    <xdr:to>
      <xdr:col>15</xdr:col>
      <xdr:colOff>91440</xdr:colOff>
      <xdr:row>104</xdr:row>
      <xdr:rowOff>144780</xdr:rowOff>
    </xdr:to>
    <xdr:graphicFrame macro="">
      <xdr:nvGraphicFramePr>
        <xdr:cNvPr id="5" name="Chart 4">
          <a:extLst>
            <a:ext uri="{FF2B5EF4-FFF2-40B4-BE49-F238E27FC236}">
              <a16:creationId xmlns:a16="http://schemas.microsoft.com/office/drawing/2014/main" id="{8BDCF0F1-68AD-8DFD-0F1E-1E99F8132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121920</xdr:colOff>
      <xdr:row>109</xdr:row>
      <xdr:rowOff>53340</xdr:rowOff>
    </xdr:from>
    <xdr:to>
      <xdr:col>14</xdr:col>
      <xdr:colOff>426720</xdr:colOff>
      <xdr:row>125</xdr:row>
      <xdr:rowOff>129540</xdr:rowOff>
    </xdr:to>
    <xdr:graphicFrame macro="">
      <xdr:nvGraphicFramePr>
        <xdr:cNvPr id="7" name="Chart 6">
          <a:extLst>
            <a:ext uri="{FF2B5EF4-FFF2-40B4-BE49-F238E27FC236}">
              <a16:creationId xmlns:a16="http://schemas.microsoft.com/office/drawing/2014/main" id="{80E1D130-2A9C-40AE-A7DA-3DF7FE2AC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116</xdr:row>
      <xdr:rowOff>0</xdr:rowOff>
    </xdr:from>
    <xdr:to>
      <xdr:col>4</xdr:col>
      <xdr:colOff>571500</xdr:colOff>
      <xdr:row>132</xdr:row>
      <xdr:rowOff>76200</xdr:rowOff>
    </xdr:to>
    <xdr:graphicFrame macro="">
      <xdr:nvGraphicFramePr>
        <xdr:cNvPr id="8" name="Chart 7">
          <a:extLst>
            <a:ext uri="{FF2B5EF4-FFF2-40B4-BE49-F238E27FC236}">
              <a16:creationId xmlns:a16="http://schemas.microsoft.com/office/drawing/2014/main" id="{AC6DF76D-85E7-4888-A262-8264456DC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32</xdr:col>
      <xdr:colOff>76200</xdr:colOff>
      <xdr:row>375</xdr:row>
      <xdr:rowOff>7620</xdr:rowOff>
    </xdr:from>
    <xdr:to>
      <xdr:col>40</xdr:col>
      <xdr:colOff>274320</xdr:colOff>
      <xdr:row>393</xdr:row>
      <xdr:rowOff>76200</xdr:rowOff>
    </xdr:to>
    <xdr:graphicFrame macro="">
      <xdr:nvGraphicFramePr>
        <xdr:cNvPr id="2" name="Chart 1">
          <a:extLst>
            <a:ext uri="{FF2B5EF4-FFF2-40B4-BE49-F238E27FC236}">
              <a16:creationId xmlns:a16="http://schemas.microsoft.com/office/drawing/2014/main" id="{B911011B-7FFF-FE01-1132-A170F4039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53340</xdr:colOff>
      <xdr:row>394</xdr:row>
      <xdr:rowOff>152400</xdr:rowOff>
    </xdr:from>
    <xdr:to>
      <xdr:col>38</xdr:col>
      <xdr:colOff>198120</xdr:colOff>
      <xdr:row>409</xdr:row>
      <xdr:rowOff>152400</xdr:rowOff>
    </xdr:to>
    <xdr:graphicFrame macro="">
      <xdr:nvGraphicFramePr>
        <xdr:cNvPr id="3" name="Chart 2">
          <a:extLst>
            <a:ext uri="{FF2B5EF4-FFF2-40B4-BE49-F238E27FC236}">
              <a16:creationId xmlns:a16="http://schemas.microsoft.com/office/drawing/2014/main" id="{4D287CCA-5D80-9B6E-0912-8429BB448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236220</xdr:colOff>
      <xdr:row>394</xdr:row>
      <xdr:rowOff>137160</xdr:rowOff>
    </xdr:from>
    <xdr:to>
      <xdr:col>30</xdr:col>
      <xdr:colOff>480060</xdr:colOff>
      <xdr:row>409</xdr:row>
      <xdr:rowOff>137160</xdr:rowOff>
    </xdr:to>
    <xdr:graphicFrame macro="">
      <xdr:nvGraphicFramePr>
        <xdr:cNvPr id="4" name="Chart 3">
          <a:extLst>
            <a:ext uri="{FF2B5EF4-FFF2-40B4-BE49-F238E27FC236}">
              <a16:creationId xmlns:a16="http://schemas.microsoft.com/office/drawing/2014/main" id="{1752818C-CC8F-A56A-31C1-733829904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488462</xdr:colOff>
      <xdr:row>6</xdr:row>
      <xdr:rowOff>146734</xdr:rowOff>
    </xdr:from>
    <xdr:to>
      <xdr:col>9</xdr:col>
      <xdr:colOff>330445</xdr:colOff>
      <xdr:row>27</xdr:row>
      <xdr:rowOff>23984</xdr:rowOff>
    </xdr:to>
    <xdr:graphicFrame macro="">
      <xdr:nvGraphicFramePr>
        <xdr:cNvPr id="4" name="Chart 3">
          <a:extLst>
            <a:ext uri="{FF2B5EF4-FFF2-40B4-BE49-F238E27FC236}">
              <a16:creationId xmlns:a16="http://schemas.microsoft.com/office/drawing/2014/main" id="{CCB462EA-CD54-4584-82FF-4A51A05A2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19734</xdr:colOff>
      <xdr:row>6</xdr:row>
      <xdr:rowOff>141264</xdr:rowOff>
    </xdr:from>
    <xdr:to>
      <xdr:col>16</xdr:col>
      <xdr:colOff>50214</xdr:colOff>
      <xdr:row>27</xdr:row>
      <xdr:rowOff>3274</xdr:rowOff>
    </xdr:to>
    <xdr:graphicFrame macro="">
      <xdr:nvGraphicFramePr>
        <xdr:cNvPr id="5" name="Chart 4">
          <a:extLst>
            <a:ext uri="{FF2B5EF4-FFF2-40B4-BE49-F238E27FC236}">
              <a16:creationId xmlns:a16="http://schemas.microsoft.com/office/drawing/2014/main" id="{0F788699-7EFE-4BFE-969C-06C675229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274907</xdr:colOff>
      <xdr:row>6</xdr:row>
      <xdr:rowOff>170571</xdr:rowOff>
    </xdr:from>
    <xdr:to>
      <xdr:col>22</xdr:col>
      <xdr:colOff>381586</xdr:colOff>
      <xdr:row>27</xdr:row>
      <xdr:rowOff>36392</xdr:rowOff>
    </xdr:to>
    <xdr:graphicFrame macro="">
      <xdr:nvGraphicFramePr>
        <xdr:cNvPr id="6" name="Chart 5">
          <a:extLst>
            <a:ext uri="{FF2B5EF4-FFF2-40B4-BE49-F238E27FC236}">
              <a16:creationId xmlns:a16="http://schemas.microsoft.com/office/drawing/2014/main" id="{3918A586-244B-4783-B5A9-1B543823E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436099</xdr:colOff>
      <xdr:row>0</xdr:row>
      <xdr:rowOff>118794</xdr:rowOff>
    </xdr:from>
    <xdr:to>
      <xdr:col>20</xdr:col>
      <xdr:colOff>443719</xdr:colOff>
      <xdr:row>6</xdr:row>
      <xdr:rowOff>12114</xdr:rowOff>
    </xdr:to>
    <xdr:sp macro="" textlink="">
      <xdr:nvSpPr>
        <xdr:cNvPr id="8" name="Rectangle: Rounded Corners 7">
          <a:extLst>
            <a:ext uri="{FF2B5EF4-FFF2-40B4-BE49-F238E27FC236}">
              <a16:creationId xmlns:a16="http://schemas.microsoft.com/office/drawing/2014/main" id="{F3EE3548-8F3B-0A13-D7A8-1184151DC155}"/>
            </a:ext>
          </a:extLst>
        </xdr:cNvPr>
        <xdr:cNvSpPr/>
      </xdr:nvSpPr>
      <xdr:spPr>
        <a:xfrm>
          <a:off x="2253176" y="118794"/>
          <a:ext cx="10304389" cy="1007012"/>
        </a:xfrm>
        <a:prstGeom prst="round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ln>
                <a:solidFill>
                  <a:schemeClr val="tx1">
                    <a:alpha val="70000"/>
                  </a:schemeClr>
                </a:solidFill>
              </a:ln>
            </a:rPr>
            <a:t>Insight 1.Showing the highest broader category in three sector in the last month is food exp</a:t>
          </a:r>
        </a:p>
      </xdr:txBody>
    </xdr:sp>
    <xdr:clientData/>
  </xdr:twoCellAnchor>
  <xdr:twoCellAnchor>
    <xdr:from>
      <xdr:col>3</xdr:col>
      <xdr:colOff>322384</xdr:colOff>
      <xdr:row>33</xdr:row>
      <xdr:rowOff>182684</xdr:rowOff>
    </xdr:from>
    <xdr:to>
      <xdr:col>13</xdr:col>
      <xdr:colOff>19733</xdr:colOff>
      <xdr:row>51</xdr:row>
      <xdr:rowOff>167444</xdr:rowOff>
    </xdr:to>
    <xdr:graphicFrame macro="">
      <xdr:nvGraphicFramePr>
        <xdr:cNvPr id="9" name="Chart 8">
          <a:extLst>
            <a:ext uri="{FF2B5EF4-FFF2-40B4-BE49-F238E27FC236}">
              <a16:creationId xmlns:a16="http://schemas.microsoft.com/office/drawing/2014/main" id="{2AE4A8CF-AADF-4573-8CCA-1533EB3E6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351692</xdr:colOff>
      <xdr:row>34</xdr:row>
      <xdr:rowOff>24228</xdr:rowOff>
    </xdr:from>
    <xdr:to>
      <xdr:col>23</xdr:col>
      <xdr:colOff>6643</xdr:colOff>
      <xdr:row>51</xdr:row>
      <xdr:rowOff>179363</xdr:rowOff>
    </xdr:to>
    <xdr:graphicFrame macro="">
      <xdr:nvGraphicFramePr>
        <xdr:cNvPr id="10" name="Chart 9">
          <a:extLst>
            <a:ext uri="{FF2B5EF4-FFF2-40B4-BE49-F238E27FC236}">
              <a16:creationId xmlns:a16="http://schemas.microsoft.com/office/drawing/2014/main" id="{F076C83B-F951-46EA-8EAA-15590E218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563489</xdr:colOff>
      <xdr:row>28</xdr:row>
      <xdr:rowOff>30870</xdr:rowOff>
    </xdr:from>
    <xdr:to>
      <xdr:col>19</xdr:col>
      <xdr:colOff>601589</xdr:colOff>
      <xdr:row>33</xdr:row>
      <xdr:rowOff>64086</xdr:rowOff>
    </xdr:to>
    <xdr:sp macro="" textlink="">
      <xdr:nvSpPr>
        <xdr:cNvPr id="11" name="Flowchart: Alternate Process 10">
          <a:extLst>
            <a:ext uri="{FF2B5EF4-FFF2-40B4-BE49-F238E27FC236}">
              <a16:creationId xmlns:a16="http://schemas.microsoft.com/office/drawing/2014/main" id="{2480D5AB-436B-DBB8-81DC-F004BEF7766A}"/>
            </a:ext>
          </a:extLst>
        </xdr:cNvPr>
        <xdr:cNvSpPr/>
      </xdr:nvSpPr>
      <xdr:spPr>
        <a:xfrm>
          <a:off x="2380566" y="5228101"/>
          <a:ext cx="9729177" cy="961293"/>
        </a:xfrm>
        <a:prstGeom prst="flowChartAlternateProcess">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600">
              <a:ln>
                <a:solidFill>
                  <a:schemeClr val="tx1">
                    <a:lumMod val="95000"/>
                    <a:lumOff val="5000"/>
                    <a:alpha val="70000"/>
                  </a:schemeClr>
                </a:solidFill>
              </a:ln>
            </a:rPr>
            <a:t>Insight 2. In year 2022 the inflaton is the highest due to the war condition as we can see price of everything increase from 2021 to 2022</a:t>
          </a:r>
        </a:p>
      </xdr:txBody>
    </xdr:sp>
    <xdr:clientData/>
  </xdr:twoCellAnchor>
  <xdr:twoCellAnchor>
    <xdr:from>
      <xdr:col>0</xdr:col>
      <xdr:colOff>0</xdr:colOff>
      <xdr:row>60</xdr:row>
      <xdr:rowOff>167640</xdr:rowOff>
    </xdr:from>
    <xdr:to>
      <xdr:col>8</xdr:col>
      <xdr:colOff>133350</xdr:colOff>
      <xdr:row>76</xdr:row>
      <xdr:rowOff>41910</xdr:rowOff>
    </xdr:to>
    <xdr:graphicFrame macro="">
      <xdr:nvGraphicFramePr>
        <xdr:cNvPr id="12" name="Chart 11">
          <a:extLst>
            <a:ext uri="{FF2B5EF4-FFF2-40B4-BE49-F238E27FC236}">
              <a16:creationId xmlns:a16="http://schemas.microsoft.com/office/drawing/2014/main" id="{D6DC9ACE-4E64-4174-A13A-48BBF34F9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182880</xdr:colOff>
      <xdr:row>60</xdr:row>
      <xdr:rowOff>175260</xdr:rowOff>
    </xdr:from>
    <xdr:to>
      <xdr:col>15</xdr:col>
      <xdr:colOff>487680</xdr:colOff>
      <xdr:row>76</xdr:row>
      <xdr:rowOff>53340</xdr:rowOff>
    </xdr:to>
    <xdr:graphicFrame macro="">
      <xdr:nvGraphicFramePr>
        <xdr:cNvPr id="13" name="Chart 12">
          <a:extLst>
            <a:ext uri="{FF2B5EF4-FFF2-40B4-BE49-F238E27FC236}">
              <a16:creationId xmlns:a16="http://schemas.microsoft.com/office/drawing/2014/main" id="{9DCBFE25-A4CD-4A48-8BC4-6A275D69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58615</xdr:colOff>
      <xdr:row>52</xdr:row>
      <xdr:rowOff>158847</xdr:rowOff>
    </xdr:from>
    <xdr:to>
      <xdr:col>7</xdr:col>
      <xdr:colOff>58615</xdr:colOff>
      <xdr:row>61</xdr:row>
      <xdr:rowOff>3712</xdr:rowOff>
    </xdr:to>
    <mc:AlternateContent xmlns:mc="http://schemas.openxmlformats.org/markup-compatibility/2006" xmlns:a14="http://schemas.microsoft.com/office/drawing/2010/main">
      <mc:Choice Requires="a14">
        <xdr:graphicFrame macro="">
          <xdr:nvGraphicFramePr>
            <xdr:cNvPr id="14" name="Sector 2">
              <a:extLst>
                <a:ext uri="{FF2B5EF4-FFF2-40B4-BE49-F238E27FC236}">
                  <a16:creationId xmlns:a16="http://schemas.microsoft.com/office/drawing/2014/main" id="{6473F81D-3B30-48A9-8434-EE4720863F53}"/>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2506251" y="9764665"/>
              <a:ext cx="1835728" cy="1507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518160</xdr:colOff>
      <xdr:row>60</xdr:row>
      <xdr:rowOff>160020</xdr:rowOff>
    </xdr:from>
    <xdr:to>
      <xdr:col>23</xdr:col>
      <xdr:colOff>594360</xdr:colOff>
      <xdr:row>76</xdr:row>
      <xdr:rowOff>68580</xdr:rowOff>
    </xdr:to>
    <xdr:graphicFrame macro="">
      <xdr:nvGraphicFramePr>
        <xdr:cNvPr id="15" name="Chart 14">
          <a:extLst>
            <a:ext uri="{FF2B5EF4-FFF2-40B4-BE49-F238E27FC236}">
              <a16:creationId xmlns:a16="http://schemas.microsoft.com/office/drawing/2014/main" id="{C821C2F5-8191-41C9-AF8F-C196B3E90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83</xdr:row>
      <xdr:rowOff>15241</xdr:rowOff>
    </xdr:from>
    <xdr:to>
      <xdr:col>8</xdr:col>
      <xdr:colOff>144780</xdr:colOff>
      <xdr:row>101</xdr:row>
      <xdr:rowOff>7621</xdr:rowOff>
    </xdr:to>
    <xdr:graphicFrame macro="">
      <xdr:nvGraphicFramePr>
        <xdr:cNvPr id="16" name="Chart 15">
          <a:extLst>
            <a:ext uri="{FF2B5EF4-FFF2-40B4-BE49-F238E27FC236}">
              <a16:creationId xmlns:a16="http://schemas.microsoft.com/office/drawing/2014/main" id="{974E984C-9BF2-48D8-A416-BA9C0E239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297180</xdr:colOff>
      <xdr:row>83</xdr:row>
      <xdr:rowOff>22860</xdr:rowOff>
    </xdr:from>
    <xdr:to>
      <xdr:col>24</xdr:col>
      <xdr:colOff>358140</xdr:colOff>
      <xdr:row>101</xdr:row>
      <xdr:rowOff>30480</xdr:rowOff>
    </xdr:to>
    <xdr:graphicFrame macro="">
      <xdr:nvGraphicFramePr>
        <xdr:cNvPr id="17" name="Chart 16">
          <a:extLst>
            <a:ext uri="{FF2B5EF4-FFF2-40B4-BE49-F238E27FC236}">
              <a16:creationId xmlns:a16="http://schemas.microsoft.com/office/drawing/2014/main" id="{1C996B16-39A7-4F52-8388-7E3AE50D8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517574</xdr:colOff>
      <xdr:row>53</xdr:row>
      <xdr:rowOff>132666</xdr:rowOff>
    </xdr:from>
    <xdr:to>
      <xdr:col>20</xdr:col>
      <xdr:colOff>525194</xdr:colOff>
      <xdr:row>60</xdr:row>
      <xdr:rowOff>15631</xdr:rowOff>
    </xdr:to>
    <xdr:sp macro="" textlink="">
      <xdr:nvSpPr>
        <xdr:cNvPr id="18" name="Rectangle: Rounded Corners 17">
          <a:extLst>
            <a:ext uri="{FF2B5EF4-FFF2-40B4-BE49-F238E27FC236}">
              <a16:creationId xmlns:a16="http://schemas.microsoft.com/office/drawing/2014/main" id="{BF4A4B0F-89A5-C618-D18F-9C1201D9BF9B}"/>
            </a:ext>
          </a:extLst>
        </xdr:cNvPr>
        <xdr:cNvSpPr/>
      </xdr:nvSpPr>
      <xdr:spPr>
        <a:xfrm>
          <a:off x="4757420" y="9970281"/>
          <a:ext cx="7881620" cy="118227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i="0">
              <a:ln>
                <a:solidFill>
                  <a:schemeClr val="tx1">
                    <a:alpha val="70000"/>
                  </a:schemeClr>
                </a:solidFill>
              </a:ln>
              <a:solidFill>
                <a:schemeClr val="tx1"/>
              </a:solidFill>
              <a:effectLst/>
              <a:latin typeface="+mn-lt"/>
              <a:ea typeface="+mn-ea"/>
              <a:cs typeface="+mn-cs"/>
            </a:rPr>
            <a:t>Insight</a:t>
          </a:r>
          <a:r>
            <a:rPr lang="en-IN" sz="1600" b="0" i="0" baseline="0">
              <a:ln>
                <a:solidFill>
                  <a:schemeClr val="tx1">
                    <a:alpha val="70000"/>
                  </a:schemeClr>
                </a:solidFill>
              </a:ln>
              <a:solidFill>
                <a:schemeClr val="tx1"/>
              </a:solidFill>
              <a:effectLst/>
              <a:latin typeface="+mn-lt"/>
              <a:ea typeface="+mn-ea"/>
              <a:cs typeface="+mn-cs"/>
            </a:rPr>
            <a:t> 3.</a:t>
          </a:r>
          <a:r>
            <a:rPr lang="en-IN" sz="1600" b="0" i="0">
              <a:ln>
                <a:solidFill>
                  <a:schemeClr val="tx1">
                    <a:alpha val="70000"/>
                  </a:schemeClr>
                </a:solidFill>
              </a:ln>
              <a:solidFill>
                <a:schemeClr val="tx1"/>
              </a:solidFill>
              <a:effectLst/>
              <a:latin typeface="+mn-lt"/>
              <a:ea typeface="+mn-ea"/>
              <a:cs typeface="+mn-cs"/>
            </a:rPr>
            <a:t>CPI Food Inflation Analysis (Jun 2022 – May 2023): Analyzing monthly trends, month-on-month changes, and key category contributors — highlighting the highest and lowest food inflation months</a:t>
          </a:r>
          <a:r>
            <a:rPr lang="en-IN" sz="1100" b="0" i="0">
              <a:solidFill>
                <a:schemeClr val="lt1"/>
              </a:solidFill>
              <a:effectLst/>
              <a:latin typeface="+mn-lt"/>
              <a:ea typeface="+mn-ea"/>
              <a:cs typeface="+mn-cs"/>
            </a:rPr>
            <a:t>.</a:t>
          </a:r>
          <a:endParaRPr lang="en-IN" sz="1100"/>
        </a:p>
      </xdr:txBody>
    </xdr:sp>
    <xdr:clientData/>
  </xdr:twoCellAnchor>
  <xdr:twoCellAnchor>
    <xdr:from>
      <xdr:col>8</xdr:col>
      <xdr:colOff>167640</xdr:colOff>
      <xdr:row>83</xdr:row>
      <xdr:rowOff>22861</xdr:rowOff>
    </xdr:from>
    <xdr:to>
      <xdr:col>16</xdr:col>
      <xdr:colOff>259080</xdr:colOff>
      <xdr:row>101</xdr:row>
      <xdr:rowOff>15240</xdr:rowOff>
    </xdr:to>
    <xdr:graphicFrame macro="">
      <xdr:nvGraphicFramePr>
        <xdr:cNvPr id="20" name="Chart 19">
          <a:extLst>
            <a:ext uri="{FF2B5EF4-FFF2-40B4-BE49-F238E27FC236}">
              <a16:creationId xmlns:a16="http://schemas.microsoft.com/office/drawing/2014/main" id="{E797D6A2-8369-4802-9D89-D1226436A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358530</xdr:colOff>
      <xdr:row>76</xdr:row>
      <xdr:rowOff>183467</xdr:rowOff>
    </xdr:from>
    <xdr:to>
      <xdr:col>20</xdr:col>
      <xdr:colOff>396630</xdr:colOff>
      <xdr:row>82</xdr:row>
      <xdr:rowOff>81671</xdr:rowOff>
    </xdr:to>
    <xdr:sp macro="" textlink="">
      <xdr:nvSpPr>
        <xdr:cNvPr id="21" name="Rectangle: Rounded Corners 20">
          <a:extLst>
            <a:ext uri="{FF2B5EF4-FFF2-40B4-BE49-F238E27FC236}">
              <a16:creationId xmlns:a16="http://schemas.microsoft.com/office/drawing/2014/main" id="{87A7E7BF-A8B8-87CC-83CA-AFB3A4C78C32}"/>
            </a:ext>
          </a:extLst>
        </xdr:cNvPr>
        <xdr:cNvSpPr/>
      </xdr:nvSpPr>
      <xdr:spPr>
        <a:xfrm>
          <a:off x="2781299" y="14290236"/>
          <a:ext cx="9729177" cy="1011897"/>
        </a:xfrm>
        <a:prstGeom prst="round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i="0">
              <a:ln>
                <a:solidFill>
                  <a:schemeClr val="tx1">
                    <a:alpha val="70000"/>
                  </a:schemeClr>
                </a:solidFill>
              </a:ln>
              <a:solidFill>
                <a:schemeClr val="dk1"/>
              </a:solidFill>
              <a:effectLst/>
              <a:latin typeface="+mn-lt"/>
              <a:ea typeface="+mn-ea"/>
              <a:cs typeface="+mn-cs"/>
            </a:rPr>
            <a:t>Insight 4. Impact of COVID-19 on CPI Inflation: Comparing pre- and post-pandemic inflation trends reveals sharp increases in food, healthcare, and essential services due to lockdown disruptions and supply chain issues.</a:t>
          </a:r>
          <a:endParaRPr lang="en-IN" sz="1600">
            <a:ln>
              <a:solidFill>
                <a:schemeClr val="tx1">
                  <a:alpha val="70000"/>
                </a:schemeClr>
              </a:solidFill>
            </a:ln>
          </a:endParaRPr>
        </a:p>
      </xdr:txBody>
    </xdr:sp>
    <xdr:clientData/>
  </xdr:twoCellAnchor>
  <xdr:twoCellAnchor>
    <xdr:from>
      <xdr:col>4</xdr:col>
      <xdr:colOff>304018</xdr:colOff>
      <xdr:row>108</xdr:row>
      <xdr:rowOff>11137</xdr:rowOff>
    </xdr:from>
    <xdr:to>
      <xdr:col>20</xdr:col>
      <xdr:colOff>284968</xdr:colOff>
      <xdr:row>128</xdr:row>
      <xdr:rowOff>109123</xdr:rowOff>
    </xdr:to>
    <xdr:graphicFrame macro="">
      <xdr:nvGraphicFramePr>
        <xdr:cNvPr id="22" name="Chart 21">
          <a:extLst>
            <a:ext uri="{FF2B5EF4-FFF2-40B4-BE49-F238E27FC236}">
              <a16:creationId xmlns:a16="http://schemas.microsoft.com/office/drawing/2014/main" id="{F921AA64-07C9-44FD-A0C8-1DE012806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440841</xdr:colOff>
      <xdr:row>101</xdr:row>
      <xdr:rowOff>152381</xdr:rowOff>
    </xdr:from>
    <xdr:to>
      <xdr:col>20</xdr:col>
      <xdr:colOff>338069</xdr:colOff>
      <xdr:row>106</xdr:row>
      <xdr:rowOff>160001</xdr:rowOff>
    </xdr:to>
    <xdr:sp macro="" textlink="">
      <xdr:nvSpPr>
        <xdr:cNvPr id="23" name="Rectangle: Rounded Corners 22">
          <a:extLst>
            <a:ext uri="{FF2B5EF4-FFF2-40B4-BE49-F238E27FC236}">
              <a16:creationId xmlns:a16="http://schemas.microsoft.com/office/drawing/2014/main" id="{FD0F5480-F5A7-A998-D6D4-BCF236F673EF}"/>
            </a:ext>
          </a:extLst>
        </xdr:cNvPr>
        <xdr:cNvSpPr/>
      </xdr:nvSpPr>
      <xdr:spPr>
        <a:xfrm>
          <a:off x="2888477" y="18809836"/>
          <a:ext cx="9687774" cy="931256"/>
        </a:xfrm>
        <a:prstGeom prst="round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i="0">
              <a:ln>
                <a:solidFill>
                  <a:schemeClr val="tx1"/>
                </a:solidFill>
              </a:ln>
              <a:solidFill>
                <a:schemeClr val="dk1"/>
              </a:solidFill>
              <a:effectLst/>
              <a:latin typeface="+mn-lt"/>
              <a:ea typeface="+mn-ea"/>
              <a:cs typeface="+mn-cs"/>
            </a:rPr>
            <a:t>Insight</a:t>
          </a:r>
          <a:r>
            <a:rPr lang="en-IN" sz="1600" b="0" i="0" baseline="0">
              <a:ln>
                <a:solidFill>
                  <a:schemeClr val="tx1"/>
                </a:solidFill>
              </a:ln>
              <a:solidFill>
                <a:schemeClr val="dk1"/>
              </a:solidFill>
              <a:effectLst/>
              <a:latin typeface="+mn-lt"/>
              <a:ea typeface="+mn-ea"/>
              <a:cs typeface="+mn-cs"/>
            </a:rPr>
            <a:t> 5.</a:t>
          </a:r>
          <a:r>
            <a:rPr lang="en-IN" sz="1600" b="0" i="0">
              <a:ln>
                <a:solidFill>
                  <a:schemeClr val="tx1"/>
                </a:solidFill>
              </a:ln>
              <a:solidFill>
                <a:schemeClr val="dk1"/>
              </a:solidFill>
              <a:effectLst/>
              <a:latin typeface="+mn-lt"/>
              <a:ea typeface="+mn-ea"/>
              <a:cs typeface="+mn-cs"/>
            </a:rPr>
            <a:t>Impact of Global Oil Price Fluctuations: A strong positive correlation is observed between imported crude oil prices and prices in sub catagories</a:t>
          </a:r>
          <a:endParaRPr lang="en-IN" sz="1600">
            <a:ln>
              <a:solidFill>
                <a:schemeClr val="tx1"/>
              </a:solidFill>
            </a:l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167640</xdr:colOff>
      <xdr:row>40</xdr:row>
      <xdr:rowOff>99060</xdr:rowOff>
    </xdr:from>
    <xdr:to>
      <xdr:col>13</xdr:col>
      <xdr:colOff>1379220</xdr:colOff>
      <xdr:row>59</xdr:row>
      <xdr:rowOff>45720</xdr:rowOff>
    </xdr:to>
    <xdr:graphicFrame macro="">
      <xdr:nvGraphicFramePr>
        <xdr:cNvPr id="2" name="Chart 1">
          <a:extLst>
            <a:ext uri="{FF2B5EF4-FFF2-40B4-BE49-F238E27FC236}">
              <a16:creationId xmlns:a16="http://schemas.microsoft.com/office/drawing/2014/main" id="{7EE3D12F-C58F-8DD9-7814-9C3A5D930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ahu" refreshedDate="45963.704241898151" createdVersion="8" refreshedVersion="8" minRefreshableVersion="3" recordCount="372" xr:uid="{6FEF44E3-DE24-4297-9CFB-4613517A9955}">
  <cacheSource type="worksheet">
    <worksheetSource name="All_India_Index_Upto_April23__1___1"/>
  </cacheSource>
  <cacheFields count="38">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emiMixedTypes="0" containsString="0"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 name="Average food expense" numFmtId="164">
      <sharedItems containsMixedTypes="1" containsNumber="1" minValue="105.48571428571427" maxValue="181.37857142857141"/>
    </cacheField>
    <cacheField name="Average Housing Expense" numFmtId="164">
      <sharedItems containsSemiMixedTypes="0" containsString="0" containsNumber="1" minValue="102.55" maxValue="175.39999999999998"/>
    </cacheField>
    <cacheField name="Average Other Expenses" numFmtId="164">
      <sharedItems containsMixedTypes="1" containsNumber="1" minValue="103.6" maxValue="179.625"/>
    </cacheField>
    <cacheField name="Sum of food expenses" numFmtId="164">
      <sharedItems containsSemiMixedTypes="0" containsString="0" containsNumber="1" minValue="0" maxValue="2539.2999999999997"/>
    </cacheField>
    <cacheField name="Sum of Housing Exp" numFmtId="164">
      <sharedItems containsSemiMixedTypes="0" containsString="0" containsNumber="1" minValue="139.27096774193564" maxValue="350.79999999999995"/>
    </cacheField>
    <cacheField name="Sum of clothing" numFmtId="164">
      <sharedItems containsSemiMixedTypes="0" containsString="0" containsNumber="1" minValue="0" maxValue="379.1"/>
    </cacheField>
    <cacheField name="Sum of others" numFmtId="164">
      <sharedItems containsSemiMixedTypes="0" containsString="0" containsNumber="1" minValue="0" maxValue="718.5"/>
    </cacheField>
    <cacheField name="Total Expenses " numFmtId="164">
      <sharedItems containsSemiMixedTypes="0" containsString="0" containsNumber="1" minValue="139.27096774193564" maxValue="4468.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ahu" refreshedDate="45964.540103819447" createdVersion="8" refreshedVersion="8" minRefreshableVersion="3" recordCount="36" xr:uid="{3F7E2749-B1F3-4D0A-990E-BDECF946A88F}">
  <cacheSource type="worksheet">
    <worksheetSource ref="A1:BB37" sheet="solution 3"/>
  </cacheSource>
  <cacheFields count="40">
    <cacheField name="Sector" numFmtId="0">
      <sharedItems count="3">
        <s v="Rural"/>
        <s v="Urban"/>
        <s v="Rural+Urban"/>
      </sharedItems>
    </cacheField>
    <cacheField name="Year" numFmtId="0">
      <sharedItems containsSemiMixedTypes="0" containsString="0" containsNumber="1" containsInteger="1" minValue="2022" maxValue="2023"/>
    </cacheField>
    <cacheField name="Month" numFmtId="0">
      <sharedItems/>
    </cacheField>
    <cacheField name="Short date" numFmtId="0">
      <sharedItems count="12">
        <s v="Jun-22"/>
        <s v="Jul-22"/>
        <s v="Aug-22"/>
        <s v="Sep-22"/>
        <s v="Oct-22"/>
        <s v="Nov-22"/>
        <s v="Dec-22"/>
        <s v="Jan-23"/>
        <s v="Feb-23"/>
        <s v="Mar-23"/>
        <s v="Apr-23"/>
        <s v="May-23"/>
      </sharedItems>
    </cacheField>
    <cacheField name="Cereals and products" numFmtId="0">
      <sharedItems containsSemiMixedTypes="0" containsString="0" containsNumber="1" minValue="153.80000000000001" maxValue="174.8"/>
    </cacheField>
    <cacheField name="Meat and fish" numFmtId="0">
      <sharedItems containsSemiMixedTypes="0" containsString="0" containsNumber="1" minValue="204.1" maxValue="223.4"/>
    </cacheField>
    <cacheField name="Egg" numFmtId="0">
      <sharedItems containsSemiMixedTypes="0" containsString="0" containsNumber="1" minValue="167.9" maxValue="197"/>
    </cacheField>
    <cacheField name="Milk and products" numFmtId="0">
      <sharedItems containsSemiMixedTypes="0" containsString="0" containsNumber="1" minValue="165.4" maxValue="179.6"/>
    </cacheField>
    <cacheField name="Oils and fats" numFmtId="0">
      <sharedItems containsSemiMixedTypes="0" containsString="0" containsNumber="1" minValue="164.4" maxValue="208.1"/>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9.1" maxValue="124.2"/>
    </cacheField>
    <cacheField name="Spices" numFmtId="0">
      <sharedItems containsSemiMixedTypes="0" containsString="0" containsNumber="1" minValue="183.5" maxValue="221"/>
    </cacheField>
    <cacheField name="Non-alcoholic beverages" numFmtId="0">
      <sharedItems containsSemiMixedTypes="0" containsString="0" containsNumber="1" minValue="159.1" maxValue="178.7"/>
    </cacheField>
    <cacheField name="Prepared meals, snacks, sweets etc." numFmtId="0">
      <sharedItems containsSemiMixedTypes="0" containsString="0" containsNumber="1" minValue="181.9" maxValue="197.7"/>
    </cacheField>
    <cacheField name="Food and beverages" numFmtId="0">
      <sharedItems containsSemiMixedTypes="0" containsString="0" containsNumber="1" minValue="172.4" maxValue="183.3"/>
    </cacheField>
    <cacheField name="Pan, tobacco and intoxicants" numFmtId="0">
      <sharedItems containsSemiMixedTypes="0" containsString="0" containsNumber="1" minValue="192.9" maxValue="204.2"/>
    </cacheField>
    <cacheField name="Clothing" numFmtId="0">
      <sharedItems containsSemiMixedTypes="0" containsString="0" containsNumber="1" minValue="171.6" maxValue="191.2"/>
    </cacheField>
    <cacheField name="Footwear" numFmtId="0">
      <sharedItems containsSemiMixedTypes="0" containsString="0" containsNumber="1" minValue="157.4" maxValue="187.9"/>
    </cacheField>
    <cacheField name="Clothing and footwear" numFmtId="0">
      <sharedItems containsSemiMixedTypes="0" containsString="0" containsNumber="1" minValue="169.4" maxValue="190.8"/>
    </cacheField>
    <cacheField name="Housing" numFmtId="0">
      <sharedItems containsSemiMixedTypes="0" containsString="0" containsNumber="1" minValue="139.27096774193564" maxValue="175.6"/>
    </cacheField>
    <cacheField name="Fuel and light" numFmtId="0">
      <sharedItems containsSemiMixedTypes="0" containsString="0" containsNumber="1" minValue="174.9" maxValue="183.4"/>
    </cacheField>
    <cacheField name="Household goods and services" numFmtId="0">
      <sharedItems containsSemiMixedTypes="0" containsString="0" containsNumber="1" minValue="162.1" maxValue="179.8"/>
    </cacheField>
    <cacheField name="Health" numFmtId="0">
      <sharedItems containsSemiMixedTypes="0" containsString="0" containsNumber="1" minValue="170.9" maxValue="187.8"/>
    </cacheField>
    <cacheField name="Transport and communication" numFmtId="0">
      <sharedItems containsSemiMixedTypes="0" containsString="0" containsNumber="1" minValue="157.19999999999999" maxValue="169.7"/>
    </cacheField>
    <cacheField name="Recreation and amusement" numFmtId="0">
      <sharedItems containsSemiMixedTypes="0" containsString="0" containsNumber="1" minValue="164.1" maxValue="173.8"/>
    </cacheField>
    <cacheField name="Education" numFmtId="0">
      <sharedItems containsSemiMixedTypes="0" containsString="0" containsNumber="1" minValue="166.5" maxValue="180.3"/>
    </cacheField>
    <cacheField name="Personal care and effects" numFmtId="0">
      <sharedItems containsSemiMixedTypes="0" containsString="0" containsNumber="1" minValue="169.2" maxValue="185.6"/>
    </cacheField>
    <cacheField name="Miscellaneous" numFmtId="0">
      <sharedItems containsSemiMixedTypes="0" containsString="0" containsNumber="1" minValue="163.80000000000001" maxValue="179.5"/>
    </cacheField>
    <cacheField name="General index" numFmtId="0">
      <sharedItems containsSemiMixedTypes="0" containsString="0" containsNumber="1" minValue="171.4" maxValue="179.8"/>
    </cacheField>
    <cacheField name="Average food expense" numFmtId="164">
      <sharedItems containsSemiMixedTypes="0" containsString="0" containsNumber="1" minValue="174.37142857142859" maxValue="181.37857142857141"/>
    </cacheField>
    <cacheField name="M-O-M % change in food " numFmtId="0">
      <sharedItems containsString="0" containsBlank="1" containsNumber="1" minValue="-1.2365612570393206E-2" maxValue="1.9553521239861388E-2"/>
    </cacheField>
    <cacheField name="Average Housing Expense" numFmtId="164">
      <sharedItems containsSemiMixedTypes="0" containsString="0" containsNumber="1" minValue="102.55" maxValue="125.68548387096781"/>
    </cacheField>
    <cacheField name="Average Other Expenses" numFmtId="164">
      <sharedItems containsSemiMixedTypes="0" containsString="0" containsNumber="1" minValue="103.6" maxValue="109.74999999999999"/>
    </cacheField>
    <cacheField name="Sum of food expenses" numFmtId="164">
      <sharedItems containsSemiMixedTypes="0" containsString="0" containsNumber="1" minValue="1476.7999999999997" maxValue="1658.6999999999998"/>
    </cacheField>
    <cacheField name="Sum of Housing Exp" numFmtId="164">
      <sharedItems containsSemiMixedTypes="0" containsString="0" containsNumber="1" minValue="205.1" maxValue="251.37096774193563"/>
    </cacheField>
    <cacheField name="Sum of clothing" numFmtId="164">
      <sharedItems containsSemiMixedTypes="0" containsString="0" containsNumber="1" minValue="210.9" maxValue="229.8"/>
    </cacheField>
    <cacheField name="Sum of others" numFmtId="164">
      <sharedItems containsSemiMixedTypes="0" containsString="0" containsNumber="1" minValue="414.4" maxValue="438.99999999999994"/>
    </cacheField>
    <cacheField name="Total Expenses " numFmtId="164">
      <sharedItems containsSemiMixedTypes="0" containsString="0" containsNumber="1" minValue="2623.1" maxValue="2897.4709677419351"/>
    </cacheField>
  </cacheFields>
  <extLst>
    <ext xmlns:x14="http://schemas.microsoft.com/office/spreadsheetml/2009/9/main" uri="{725AE2AE-9491-48be-B2B4-4EB974FC3084}">
      <x14:pivotCacheDefinition pivotCacheId="1519904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5"/>
    <n v="105.1"/>
    <n v="106.5"/>
    <n v="105.8"/>
    <n v="106.4"/>
    <n v="139.27096774193564"/>
    <n v="105.5"/>
    <n v="104.8"/>
    <n v="104"/>
    <n v="103.3"/>
    <n v="103.4"/>
    <n v="103.8"/>
    <n v="104.7"/>
    <n v="104"/>
    <n v="105.1"/>
    <n v="105.48571428571427"/>
    <n v="122.03548387096782"/>
    <n v="103.97499999999999"/>
    <n v="1476.7999999999997"/>
    <n v="244.07096774193565"/>
    <n v="212.3"/>
    <n v="415.9"/>
    <n v="2661.8709677419356"/>
  </r>
  <r>
    <x v="1"/>
    <x v="0"/>
    <s v="January"/>
    <n v="110.5"/>
    <n v="109.1"/>
    <n v="113"/>
    <n v="103.6"/>
    <n v="103.4"/>
    <n v="102.3"/>
    <n v="102.9"/>
    <n v="105.8"/>
    <n v="105.1"/>
    <n v="101.8"/>
    <n v="105.1"/>
    <n v="107.9"/>
    <n v="105.9"/>
    <n v="105.2"/>
    <n v="105.9"/>
    <n v="105"/>
    <n v="105.8"/>
    <n v="100.3"/>
    <n v="105.4"/>
    <n v="104.8"/>
    <n v="104.1"/>
    <n v="103.2"/>
    <n v="102.9"/>
    <n v="103.5"/>
    <n v="104.3"/>
    <n v="103.7"/>
    <n v="104"/>
    <n v="105.82857142857144"/>
    <n v="102.55"/>
    <n v="103.6"/>
    <n v="1481.6000000000001"/>
    <n v="205.1"/>
    <n v="210.9"/>
    <n v="414.4"/>
    <n v="2624.7"/>
  </r>
  <r>
    <x v="2"/>
    <x v="0"/>
    <s v="January"/>
    <n v="108.4"/>
    <n v="107.3"/>
    <n v="110"/>
    <n v="104.4"/>
    <n v="105.1"/>
    <n v="103.2"/>
    <n v="102.2"/>
    <n v="106"/>
    <n v="106.2"/>
    <n v="102.7"/>
    <n v="104.9"/>
    <n v="107.3"/>
    <n v="105.6"/>
    <n v="105.1"/>
    <n v="106.3"/>
    <n v="105.5"/>
    <n v="106.2"/>
    <n v="100.3"/>
    <n v="105.5"/>
    <n v="104.8"/>
    <n v="104"/>
    <n v="103.2"/>
    <n v="103.1"/>
    <n v="103.6"/>
    <n v="104.5"/>
    <n v="103.9"/>
    <n v="104.6"/>
    <n v="105.60000000000001"/>
    <n v="102.55"/>
    <n v="103.77500000000001"/>
    <n v="1478.4"/>
    <n v="205.1"/>
    <n v="211.8"/>
    <n v="415.1"/>
    <n v="2623.1"/>
  </r>
  <r>
    <x v="0"/>
    <x v="0"/>
    <s v="February"/>
    <n v="109.2"/>
    <n v="108.7"/>
    <n v="110.2"/>
    <n v="105.4"/>
    <n v="106.7"/>
    <n v="104"/>
    <n v="102.4"/>
    <n v="105.9"/>
    <n v="105.7"/>
    <n v="103.1"/>
    <n v="105.1"/>
    <n v="107.7"/>
    <n v="106.3"/>
    <n v="105.6"/>
    <n v="107.1"/>
    <n v="106.3"/>
    <n v="107"/>
    <n v="139.27096774193564"/>
    <n v="106.2"/>
    <n v="105.2"/>
    <n v="104.4"/>
    <n v="103.9"/>
    <n v="104"/>
    <n v="104.1"/>
    <n v="104.6"/>
    <n v="104.4"/>
    <n v="105.8"/>
    <n v="106.14285714285712"/>
    <n v="122.23548387096781"/>
    <n v="104.27500000000001"/>
    <n v="1485.9999999999998"/>
    <n v="244.47096774193562"/>
    <n v="213.39999999999998"/>
    <n v="417.1"/>
    <n v="2675.4709677419355"/>
  </r>
  <r>
    <x v="1"/>
    <x v="0"/>
    <s v="February"/>
    <n v="112.9"/>
    <n v="112.9"/>
    <n v="116.9"/>
    <n v="104"/>
    <n v="103.5"/>
    <n v="103.1"/>
    <n v="104.9"/>
    <n v="104.1"/>
    <n v="103.8"/>
    <n v="102.3"/>
    <n v="106"/>
    <n v="109"/>
    <n v="107.2"/>
    <n v="106"/>
    <n v="106.6"/>
    <n v="105.5"/>
    <n v="106.4"/>
    <n v="100.4"/>
    <n v="105.7"/>
    <n v="105.2"/>
    <n v="104.7"/>
    <n v="104.4"/>
    <n v="103.3"/>
    <n v="103.7"/>
    <n v="104.3"/>
    <n v="104.3"/>
    <n v="104.7"/>
    <n v="106.9"/>
    <n v="102.80000000000001"/>
    <n v="103.9"/>
    <n v="1496.6000000000001"/>
    <n v="205.60000000000002"/>
    <n v="212.1"/>
    <n v="415.6"/>
    <n v="2644.7"/>
  </r>
  <r>
    <x v="2"/>
    <x v="0"/>
    <s v="February"/>
    <n v="110.4"/>
    <n v="110.2"/>
    <n v="112.8"/>
    <n v="104.9"/>
    <n v="105.5"/>
    <n v="103.6"/>
    <n v="103.2"/>
    <n v="105.3"/>
    <n v="105.1"/>
    <n v="102.8"/>
    <n v="105.5"/>
    <n v="108.3"/>
    <n v="106.6"/>
    <n v="105.7"/>
    <n v="106.9"/>
    <n v="106"/>
    <n v="106.8"/>
    <n v="100.4"/>
    <n v="106"/>
    <n v="105.2"/>
    <n v="104.5"/>
    <n v="104.2"/>
    <n v="103.6"/>
    <n v="103.9"/>
    <n v="104.5"/>
    <n v="104.4"/>
    <n v="105.3"/>
    <n v="106.42142857142858"/>
    <n v="102.80000000000001"/>
    <n v="104.1"/>
    <n v="1489.9"/>
    <n v="205.60000000000002"/>
    <n v="212.9"/>
    <n v="416.4"/>
    <n v="2639.5"/>
  </r>
  <r>
    <x v="0"/>
    <x v="0"/>
    <s v="March"/>
    <n v="110.2"/>
    <n v="108.8"/>
    <n v="109.9"/>
    <n v="105.6"/>
    <n v="106.2"/>
    <n v="105.7"/>
    <n v="101.4"/>
    <n v="105.7"/>
    <n v="105"/>
    <n v="103.3"/>
    <n v="105.6"/>
    <n v="108.2"/>
    <n v="106.6"/>
    <n v="106.5"/>
    <n v="107.6"/>
    <n v="106.8"/>
    <n v="107.5"/>
    <n v="139.27096774193564"/>
    <n v="106.1"/>
    <n v="105.6"/>
    <n v="104.7"/>
    <n v="104.6"/>
    <n v="104"/>
    <n v="104.3"/>
    <n v="104.3"/>
    <n v="104.6"/>
    <n v="106"/>
    <n v="106.33571428571429"/>
    <n v="122.43548387096781"/>
    <n v="104.3"/>
    <n v="1488.7"/>
    <n v="244.87096774193563"/>
    <n v="214.39999999999998"/>
    <n v="417.2"/>
    <n v="2680.5709677419354"/>
  </r>
  <r>
    <x v="1"/>
    <x v="0"/>
    <s v="March"/>
    <n v="113.9"/>
    <n v="111.4"/>
    <n v="113.2"/>
    <n v="104.3"/>
    <n v="102.7"/>
    <n v="104.9"/>
    <n v="103.8"/>
    <n v="103.5"/>
    <n v="102.6"/>
    <n v="102.4"/>
    <n v="107"/>
    <n v="109.8"/>
    <n v="107.3"/>
    <n v="106.8"/>
    <n v="107.2"/>
    <n v="106"/>
    <n v="107"/>
    <n v="100.4"/>
    <n v="106"/>
    <n v="105.7"/>
    <n v="105.2"/>
    <n v="105.5"/>
    <n v="103.5"/>
    <n v="103.8"/>
    <n v="104.2"/>
    <n v="104.9"/>
    <n v="105"/>
    <n v="106.68571428571428"/>
    <n v="103.05000000000001"/>
    <n v="104.10000000000001"/>
    <n v="1493.6"/>
    <n v="206.10000000000002"/>
    <n v="213.2"/>
    <n v="416.40000000000003"/>
    <n v="2646"/>
  </r>
  <r>
    <x v="2"/>
    <x v="0"/>
    <s v="March"/>
    <n v="111.4"/>
    <n v="109.7"/>
    <n v="111.2"/>
    <n v="105.1"/>
    <n v="104.9"/>
    <n v="105.3"/>
    <n v="102.2"/>
    <n v="105"/>
    <n v="104.2"/>
    <n v="103"/>
    <n v="106.2"/>
    <n v="108.9"/>
    <n v="106.9"/>
    <n v="106.6"/>
    <n v="107.4"/>
    <n v="106.5"/>
    <n v="107.3"/>
    <n v="100.4"/>
    <n v="106.1"/>
    <n v="105.6"/>
    <n v="104.9"/>
    <n v="105.1"/>
    <n v="103.7"/>
    <n v="104"/>
    <n v="104.3"/>
    <n v="104.7"/>
    <n v="105.5"/>
    <n v="106.47142857142858"/>
    <n v="103"/>
    <n v="104.175"/>
    <n v="1490.6000000000001"/>
    <n v="206"/>
    <n v="213.9"/>
    <n v="416.7"/>
    <n v="2643.3"/>
  </r>
  <r>
    <x v="0"/>
    <x v="0"/>
    <s v="April"/>
    <n v="110.2"/>
    <n v="109.5"/>
    <n v="106.9"/>
    <n v="106.3"/>
    <n v="105.7"/>
    <n v="108.3"/>
    <n v="103.4"/>
    <n v="105.7"/>
    <n v="104.2"/>
    <n v="103.2"/>
    <n v="106.5"/>
    <n v="108.8"/>
    <n v="107.1"/>
    <n v="107.1"/>
    <n v="108.1"/>
    <n v="107.4"/>
    <n v="108"/>
    <n v="139.27096774193564"/>
    <n v="106.5"/>
    <n v="106.1"/>
    <n v="105.1"/>
    <n v="104.4"/>
    <n v="104.5"/>
    <n v="104.8"/>
    <n v="102.7"/>
    <n v="104.6"/>
    <n v="106.4"/>
    <n v="106.63571428571427"/>
    <n v="122.68548387096781"/>
    <n v="104.15"/>
    <n v="1492.8999999999999"/>
    <n v="245.37096774193563"/>
    <n v="215.5"/>
    <n v="416.6"/>
    <n v="2686.3709677419356"/>
  </r>
  <r>
    <x v="1"/>
    <x v="0"/>
    <s v="April"/>
    <n v="114.6"/>
    <n v="113.4"/>
    <n v="106"/>
    <n v="104.7"/>
    <n v="102.1"/>
    <n v="109.5"/>
    <n v="109.7"/>
    <n v="104.6"/>
    <n v="102"/>
    <n v="103.5"/>
    <n v="108.2"/>
    <n v="110.6"/>
    <n v="108.8"/>
    <n v="108.5"/>
    <n v="107.9"/>
    <n v="106.4"/>
    <n v="107.7"/>
    <n v="100.5"/>
    <n v="106.4"/>
    <n v="106.5"/>
    <n v="105.7"/>
    <n v="105"/>
    <n v="104"/>
    <n v="105.2"/>
    <n v="103.2"/>
    <n v="105.1"/>
    <n v="105.7"/>
    <n v="107.58571428571427"/>
    <n v="103.5"/>
    <n v="104.375"/>
    <n v="1506.1999999999998"/>
    <n v="207"/>
    <n v="214.3"/>
    <n v="417.5"/>
    <n v="2662.1"/>
  </r>
  <r>
    <x v="2"/>
    <x v="0"/>
    <s v="April"/>
    <n v="111.6"/>
    <n v="110.9"/>
    <n v="106.6"/>
    <n v="105.7"/>
    <n v="104.4"/>
    <n v="108.9"/>
    <n v="105.5"/>
    <n v="105.3"/>
    <n v="103.5"/>
    <n v="103.3"/>
    <n v="107.2"/>
    <n v="109.6"/>
    <n v="107.7"/>
    <n v="107.5"/>
    <n v="108"/>
    <n v="107"/>
    <n v="107.9"/>
    <n v="100.5"/>
    <n v="106.5"/>
    <n v="106.3"/>
    <n v="105.3"/>
    <n v="104.7"/>
    <n v="104.2"/>
    <n v="105"/>
    <n v="102.9"/>
    <n v="104.8"/>
    <n v="106.1"/>
    <n v="106.97857142857143"/>
    <n v="103.4"/>
    <n v="104.22499999999999"/>
    <n v="1497.7"/>
    <n v="206.8"/>
    <n v="215"/>
    <n v="416.9"/>
    <n v="2652.9"/>
  </r>
  <r>
    <x v="0"/>
    <x v="0"/>
    <s v="May"/>
    <n v="110.9"/>
    <n v="109.8"/>
    <n v="105.9"/>
    <n v="107.5"/>
    <n v="105.3"/>
    <n v="108.1"/>
    <n v="107.3"/>
    <n v="106.1"/>
    <n v="103.7"/>
    <n v="104"/>
    <n v="107.4"/>
    <n v="109.9"/>
    <n v="108.1"/>
    <n v="108.1"/>
    <n v="108.8"/>
    <n v="107.9"/>
    <n v="108.6"/>
    <n v="139.27096774193564"/>
    <n v="107.5"/>
    <n v="106.8"/>
    <n v="105.7"/>
    <n v="104.1"/>
    <n v="105"/>
    <n v="105.5"/>
    <n v="102.1"/>
    <n v="104.8"/>
    <n v="107.2"/>
    <n v="107.29285714285713"/>
    <n v="123.03548387096782"/>
    <n v="104.35"/>
    <n v="1502.1"/>
    <n v="246.07096774193565"/>
    <n v="216.7"/>
    <n v="417.4"/>
    <n v="2699.570967741935"/>
  </r>
  <r>
    <x v="1"/>
    <x v="0"/>
    <s v="May"/>
    <n v="115.4"/>
    <n v="114.2"/>
    <n v="102.7"/>
    <n v="105.5"/>
    <n v="101.5"/>
    <n v="110.6"/>
    <n v="123.7"/>
    <n v="105.2"/>
    <n v="101.9"/>
    <n v="105"/>
    <n v="109.1"/>
    <n v="111.3"/>
    <n v="111.1"/>
    <n v="109.8"/>
    <n v="108.5"/>
    <n v="106.7"/>
    <n v="108.3"/>
    <n v="100.5"/>
    <n v="107.2"/>
    <n v="107.1"/>
    <n v="106.2"/>
    <n v="103.9"/>
    <n v="104.6"/>
    <n v="105.7"/>
    <n v="102.6"/>
    <n v="104.9"/>
    <n v="106.6"/>
    <n v="109.07142857142856"/>
    <n v="103.8"/>
    <n v="104.44999999999999"/>
    <n v="1526.9999999999998"/>
    <n v="207.6"/>
    <n v="215.2"/>
    <n v="417.79999999999995"/>
    <n v="2684.8999999999996"/>
  </r>
  <r>
    <x v="2"/>
    <x v="0"/>
    <s v="May"/>
    <n v="112.3"/>
    <n v="111.3"/>
    <n v="104.7"/>
    <n v="106.8"/>
    <n v="103.9"/>
    <n v="109.3"/>
    <n v="112.9"/>
    <n v="105.8"/>
    <n v="103.1"/>
    <n v="104.3"/>
    <n v="108.1"/>
    <n v="110.5"/>
    <n v="109.2"/>
    <n v="108.6"/>
    <n v="108.7"/>
    <n v="107.4"/>
    <n v="108.5"/>
    <n v="100.5"/>
    <n v="107.4"/>
    <n v="106.9"/>
    <n v="105.9"/>
    <n v="104"/>
    <n v="104.8"/>
    <n v="105.6"/>
    <n v="102.3"/>
    <n v="104.8"/>
    <n v="106.9"/>
    <n v="107.9142857142857"/>
    <n v="103.7"/>
    <n v="104.375"/>
    <n v="1510.7999999999997"/>
    <n v="207.4"/>
    <n v="216.10000000000002"/>
    <n v="417.5"/>
    <n v="2669.1"/>
  </r>
  <r>
    <x v="0"/>
    <x v="0"/>
    <s v="June"/>
    <n v="112.3"/>
    <n v="112.1"/>
    <n v="108.1"/>
    <n v="108.3"/>
    <n v="105.9"/>
    <n v="109.2"/>
    <n v="118"/>
    <n v="106.8"/>
    <n v="104.1"/>
    <n v="105.4"/>
    <n v="108.2"/>
    <n v="111"/>
    <n v="110.6"/>
    <n v="109"/>
    <n v="109.7"/>
    <n v="108.8"/>
    <n v="109.5"/>
    <n v="139.27096774193564"/>
    <n v="108.5"/>
    <n v="107.5"/>
    <n v="106.3"/>
    <n v="105"/>
    <n v="105.6"/>
    <n v="106.5"/>
    <n v="102.5"/>
    <n v="105.5"/>
    <n v="108.9"/>
    <n v="109.21428571428571"/>
    <n v="123.38548387096782"/>
    <n v="105.02500000000001"/>
    <n v="1529"/>
    <n v="246.77096774193564"/>
    <n v="218.5"/>
    <n v="420.1"/>
    <n v="2734.1709677419358"/>
  </r>
  <r>
    <x v="1"/>
    <x v="0"/>
    <s v="June"/>
    <n v="117"/>
    <n v="120.1"/>
    <n v="112.5"/>
    <n v="107.3"/>
    <n v="101.3"/>
    <n v="112.4"/>
    <n v="143.6"/>
    <n v="105.4"/>
    <n v="101.4"/>
    <n v="106.4"/>
    <n v="110"/>
    <n v="112.2"/>
    <n v="115"/>
    <n v="110.9"/>
    <n v="109.2"/>
    <n v="107.2"/>
    <n v="108.9"/>
    <n v="106.6"/>
    <n v="108"/>
    <n v="107.7"/>
    <n v="106.5"/>
    <n v="105.2"/>
    <n v="105.2"/>
    <n v="108.1"/>
    <n v="103.3"/>
    <n v="106.1"/>
    <n v="109.7"/>
    <n v="112.53571428571431"/>
    <n v="107.15"/>
    <n v="105.675"/>
    <n v="1575.5000000000002"/>
    <n v="214.3"/>
    <n v="216.4"/>
    <n v="422.7"/>
    <n v="2748.6000000000004"/>
  </r>
  <r>
    <x v="2"/>
    <x v="0"/>
    <s v="June"/>
    <n v="113.8"/>
    <n v="114.9"/>
    <n v="109.8"/>
    <n v="107.9"/>
    <n v="104.2"/>
    <n v="110.7"/>
    <n v="126.7"/>
    <n v="106.3"/>
    <n v="103.2"/>
    <n v="105.7"/>
    <n v="109"/>
    <n v="111.6"/>
    <n v="112.2"/>
    <n v="109.5"/>
    <n v="109.5"/>
    <n v="108.1"/>
    <n v="109.3"/>
    <n v="106.6"/>
    <n v="108.3"/>
    <n v="107.6"/>
    <n v="106.4"/>
    <n v="105.1"/>
    <n v="105.4"/>
    <n v="107.4"/>
    <n v="102.8"/>
    <n v="105.8"/>
    <n v="109.3"/>
    <n v="110.39285714285714"/>
    <n v="107.1"/>
    <n v="105.35"/>
    <n v="1545.5"/>
    <n v="214.2"/>
    <n v="217.6"/>
    <n v="421.4"/>
    <n v="2718.5"/>
  </r>
  <r>
    <x v="0"/>
    <x v="0"/>
    <s v="July"/>
    <n v="113.4"/>
    <n v="114.9"/>
    <n v="110.5"/>
    <n v="109.3"/>
    <n v="106.2"/>
    <n v="110.3"/>
    <n v="129.19999999999999"/>
    <n v="107.1"/>
    <n v="104.3"/>
    <n v="106.4"/>
    <n v="109.1"/>
    <n v="112.1"/>
    <n v="113.1"/>
    <n v="109.8"/>
    <n v="110.5"/>
    <n v="109.5"/>
    <n v="110.3"/>
    <n v="139.27096774193564"/>
    <n v="109.5"/>
    <n v="108.3"/>
    <n v="106.9"/>
    <n v="106.8"/>
    <n v="106.4"/>
    <n v="107.8"/>
    <n v="102.5"/>
    <n v="106.5"/>
    <n v="110.7"/>
    <n v="111.12142857142854"/>
    <n v="123.78548387096782"/>
    <n v="105.80000000000001"/>
    <n v="1555.6999999999996"/>
    <n v="247.57096774193565"/>
    <n v="220"/>
    <n v="423.20000000000005"/>
    <n v="2769.6709677419353"/>
  </r>
  <r>
    <x v="1"/>
    <x v="0"/>
    <s v="July"/>
    <n v="117.8"/>
    <n v="119.2"/>
    <n v="114"/>
    <n v="108.3"/>
    <n v="101.1"/>
    <n v="113.2"/>
    <n v="160.9"/>
    <n v="105.1"/>
    <n v="101.3"/>
    <n v="107.5"/>
    <n v="110.4"/>
    <n v="113.1"/>
    <n v="117.5"/>
    <n v="111.7"/>
    <n v="109.8"/>
    <n v="107.8"/>
    <n v="109.5"/>
    <n v="107.7"/>
    <n v="108.6"/>
    <n v="108.1"/>
    <n v="107.1"/>
    <n v="107.3"/>
    <n v="105.9"/>
    <n v="110.1"/>
    <n v="103.2"/>
    <n v="107.3"/>
    <n v="111.4"/>
    <n v="114.36428571428573"/>
    <n v="107.9"/>
    <n v="106.625"/>
    <n v="1601.1000000000001"/>
    <n v="215.8"/>
    <n v="217.6"/>
    <n v="426.5"/>
    <n v="2784"/>
  </r>
  <r>
    <x v="2"/>
    <x v="0"/>
    <s v="July"/>
    <n v="114.8"/>
    <n v="116.4"/>
    <n v="111.9"/>
    <n v="108.9"/>
    <n v="104.3"/>
    <n v="111.7"/>
    <n v="140"/>
    <n v="106.4"/>
    <n v="103.3"/>
    <n v="106.8"/>
    <n v="109.6"/>
    <n v="112.6"/>
    <n v="114.7"/>
    <n v="110.3"/>
    <n v="110.2"/>
    <n v="108.8"/>
    <n v="110"/>
    <n v="107.7"/>
    <n v="109.2"/>
    <n v="108.2"/>
    <n v="107"/>
    <n v="107.1"/>
    <n v="106.1"/>
    <n v="109.1"/>
    <n v="102.8"/>
    <n v="106.9"/>
    <n v="111"/>
    <n v="112.26428571428571"/>
    <n v="107.95"/>
    <n v="106.22499999999999"/>
    <n v="1571.6999999999998"/>
    <n v="215.9"/>
    <n v="219"/>
    <n v="424.9"/>
    <n v="2754.7999999999997"/>
  </r>
  <r>
    <x v="0"/>
    <x v="0"/>
    <s v="August"/>
    <n v="114.3"/>
    <n v="115.4"/>
    <n v="111.1"/>
    <n v="110"/>
    <n v="106.4"/>
    <n v="110.8"/>
    <n v="138.9"/>
    <n v="107.4"/>
    <n v="104.1"/>
    <n v="106.9"/>
    <n v="109.7"/>
    <n v="112.6"/>
    <n v="114.9"/>
    <n v="110.7"/>
    <n v="111.3"/>
    <n v="110.2"/>
    <n v="111.1"/>
    <n v="139.27096774193564"/>
    <n v="109.9"/>
    <n v="108.7"/>
    <n v="107.5"/>
    <n v="107.8"/>
    <n v="106.8"/>
    <n v="108.7"/>
    <n v="105"/>
    <n v="107.5"/>
    <n v="112.1"/>
    <n v="112.37142857142858"/>
    <n v="123.98548387096781"/>
    <n v="107"/>
    <n v="1573.2"/>
    <n v="247.97096774193562"/>
    <n v="221.5"/>
    <n v="428"/>
    <n v="2795.8709677419361"/>
  </r>
  <r>
    <x v="1"/>
    <x v="0"/>
    <s v="August"/>
    <n v="118.3"/>
    <n v="120.4"/>
    <n v="112.7"/>
    <n v="108.9"/>
    <n v="101.1"/>
    <n v="108.7"/>
    <n v="177"/>
    <n v="104.7"/>
    <n v="101"/>
    <n v="108.5"/>
    <n v="110.9"/>
    <n v="114.3"/>
    <n v="119.6"/>
    <n v="112.4"/>
    <n v="110.6"/>
    <n v="108.3"/>
    <n v="110.2"/>
    <n v="108.9"/>
    <n v="109.3"/>
    <n v="108.7"/>
    <n v="107.6"/>
    <n v="108.1"/>
    <n v="106.5"/>
    <n v="110.8"/>
    <n v="106"/>
    <n v="108.3"/>
    <n v="112.7"/>
    <n v="115.60714285714288"/>
    <n v="108.80000000000001"/>
    <n v="107.9"/>
    <n v="1618.5000000000002"/>
    <n v="217.60000000000002"/>
    <n v="218.89999999999998"/>
    <n v="431.6"/>
    <n v="2811.6000000000004"/>
  </r>
  <r>
    <x v="2"/>
    <x v="0"/>
    <s v="August"/>
    <n v="115.6"/>
    <n v="117.2"/>
    <n v="111.7"/>
    <n v="109.6"/>
    <n v="104.5"/>
    <n v="109.8"/>
    <n v="151.80000000000001"/>
    <n v="106.5"/>
    <n v="103.1"/>
    <n v="107.4"/>
    <n v="110.2"/>
    <n v="113.4"/>
    <n v="116.6"/>
    <n v="111.2"/>
    <n v="111"/>
    <n v="109.4"/>
    <n v="110.7"/>
    <n v="108.9"/>
    <n v="109.7"/>
    <n v="108.7"/>
    <n v="107.5"/>
    <n v="108"/>
    <n v="106.6"/>
    <n v="109.9"/>
    <n v="105.4"/>
    <n v="107.9"/>
    <n v="112.4"/>
    <n v="113.47142857142858"/>
    <n v="108.80000000000001"/>
    <n v="107.45000000000002"/>
    <n v="1588.6000000000001"/>
    <n v="217.60000000000002"/>
    <n v="220.4"/>
    <n v="429.80000000000007"/>
    <n v="2781.6"/>
  </r>
  <r>
    <x v="0"/>
    <x v="0"/>
    <s v="September"/>
    <n v="115.4"/>
    <n v="115.7"/>
    <n v="111.7"/>
    <n v="111"/>
    <n v="107.4"/>
    <n v="110.9"/>
    <n v="154"/>
    <n v="108.1"/>
    <n v="104.2"/>
    <n v="107.9"/>
    <n v="110.4"/>
    <n v="114"/>
    <n v="117.8"/>
    <n v="111.7"/>
    <n v="112.7"/>
    <n v="111.4"/>
    <n v="112.5"/>
    <n v="139.27096774193564"/>
    <n v="111.1"/>
    <n v="109.6"/>
    <n v="108.3"/>
    <n v="109.3"/>
    <n v="107.7"/>
    <n v="109.8"/>
    <n v="106.7"/>
    <n v="108.7"/>
    <n v="114.2"/>
    <n v="114.30000000000003"/>
    <n v="124.43548387096781"/>
    <n v="108.22499999999999"/>
    <n v="1600.2000000000003"/>
    <n v="248.87096774193563"/>
    <n v="224.10000000000002"/>
    <n v="432.9"/>
    <n v="2834.7709677419361"/>
  </r>
  <r>
    <x v="1"/>
    <x v="0"/>
    <s v="September"/>
    <n v="118.6"/>
    <n v="119.1"/>
    <n v="113.2"/>
    <n v="109.6"/>
    <n v="101.7"/>
    <n v="103.2"/>
    <n v="174.3"/>
    <n v="105.1"/>
    <n v="100.8"/>
    <n v="109.1"/>
    <n v="111.1"/>
    <n v="115.4"/>
    <n v="119.2"/>
    <n v="112.9"/>
    <n v="111.4"/>
    <n v="109"/>
    <n v="111.1"/>
    <n v="109.7"/>
    <n v="109.5"/>
    <n v="109.6"/>
    <n v="107.9"/>
    <n v="110.4"/>
    <n v="107.4"/>
    <n v="111.2"/>
    <n v="106.9"/>
    <n v="109.4"/>
    <n v="113.2"/>
    <n v="115.23571428571429"/>
    <n v="109.65"/>
    <n v="108.72499999999999"/>
    <n v="1613.3000000000002"/>
    <n v="219.3"/>
    <n v="220.4"/>
    <n v="434.9"/>
    <n v="2815.7000000000003"/>
  </r>
  <r>
    <x v="2"/>
    <x v="0"/>
    <s v="September"/>
    <n v="116.4"/>
    <n v="116.9"/>
    <n v="112.3"/>
    <n v="110.5"/>
    <n v="105.3"/>
    <n v="107.3"/>
    <n v="160.9"/>
    <n v="107.1"/>
    <n v="103.1"/>
    <n v="108.3"/>
    <n v="110.7"/>
    <n v="114.6"/>
    <n v="118.3"/>
    <n v="112"/>
    <n v="112.2"/>
    <n v="110.4"/>
    <n v="111.9"/>
    <n v="109.7"/>
    <n v="110.5"/>
    <n v="109.6"/>
    <n v="108.1"/>
    <n v="109.9"/>
    <n v="107.5"/>
    <n v="110.6"/>
    <n v="106.8"/>
    <n v="109"/>
    <n v="113.7"/>
    <n v="114.54999999999998"/>
    <n v="109.65"/>
    <n v="108.47499999999999"/>
    <n v="1603.6999999999998"/>
    <n v="219.3"/>
    <n v="222.60000000000002"/>
    <n v="433.9"/>
    <n v="2808"/>
  </r>
  <r>
    <x v="0"/>
    <x v="0"/>
    <s v="October"/>
    <n v="116.3"/>
    <n v="115.4"/>
    <n v="112.6"/>
    <n v="111.7"/>
    <n v="107.7"/>
    <n v="113.2"/>
    <n v="164.9"/>
    <n v="108.3"/>
    <n v="103.9"/>
    <n v="108.2"/>
    <n v="111.1"/>
    <n v="114.9"/>
    <n v="119.8"/>
    <n v="112.2"/>
    <n v="113.6"/>
    <n v="112.3"/>
    <n v="113.4"/>
    <n v="139.27096774193564"/>
    <n v="111.6"/>
    <n v="110.4"/>
    <n v="108.9"/>
    <n v="109.3"/>
    <n v="108.3"/>
    <n v="110.2"/>
    <n v="107.5"/>
    <n v="109.1"/>
    <n v="115.5"/>
    <n v="115.72857142857143"/>
    <n v="124.83548387096782"/>
    <n v="108.77500000000001"/>
    <n v="1620.2"/>
    <n v="249.67096774193564"/>
    <n v="225.89999999999998"/>
    <n v="435.1"/>
    <n v="2860.6709677419358"/>
  </r>
  <r>
    <x v="1"/>
    <x v="0"/>
    <s v="October"/>
    <n v="118.9"/>
    <n v="118.1"/>
    <n v="114.5"/>
    <n v="110.4"/>
    <n v="102.3"/>
    <n v="106.2"/>
    <n v="183.5"/>
    <n v="105.3"/>
    <n v="100.2"/>
    <n v="109.6"/>
    <n v="111.4"/>
    <n v="116"/>
    <n v="120.8"/>
    <n v="113.5"/>
    <n v="112.5"/>
    <n v="109.7"/>
    <n v="112"/>
    <n v="110.5"/>
    <n v="109.7"/>
    <n v="110.2"/>
    <n v="108.2"/>
    <n v="109.7"/>
    <n v="108"/>
    <n v="111.3"/>
    <n v="107.3"/>
    <n v="109.4"/>
    <n v="114"/>
    <n v="116.47857142857141"/>
    <n v="110.35"/>
    <n v="109"/>
    <n v="1630.6999999999998"/>
    <n v="220.7"/>
    <n v="222.2"/>
    <n v="436"/>
    <n v="2837.1999999999994"/>
  </r>
  <r>
    <x v="2"/>
    <x v="0"/>
    <s v="October"/>
    <n v="117.1"/>
    <n v="116.3"/>
    <n v="113.3"/>
    <n v="111.2"/>
    <n v="105.7"/>
    <n v="109.9"/>
    <n v="171.2"/>
    <n v="107.3"/>
    <n v="102.7"/>
    <n v="108.7"/>
    <n v="111.2"/>
    <n v="115.4"/>
    <n v="120.2"/>
    <n v="112.5"/>
    <n v="113.2"/>
    <n v="111.2"/>
    <n v="112.8"/>
    <n v="110.5"/>
    <n v="110.9"/>
    <n v="110.3"/>
    <n v="108.6"/>
    <n v="109.5"/>
    <n v="108.1"/>
    <n v="110.8"/>
    <n v="107.4"/>
    <n v="109.2"/>
    <n v="114.8"/>
    <n v="115.90714285714287"/>
    <n v="110.4"/>
    <n v="108.875"/>
    <n v="1622.7000000000003"/>
    <n v="220.8"/>
    <n v="224.4"/>
    <n v="435.5"/>
    <n v="2832.4000000000005"/>
  </r>
  <r>
    <x v="0"/>
    <x v="0"/>
    <s v="November "/>
    <n v="117.3"/>
    <n v="114.9"/>
    <n v="116.2"/>
    <n v="112.8"/>
    <n v="108.9"/>
    <n v="116.6"/>
    <n v="178.1"/>
    <n v="109.1"/>
    <n v="103.6"/>
    <n v="109"/>
    <n v="111.8"/>
    <n v="116"/>
    <n v="122.5"/>
    <n v="112.8"/>
    <n v="114.6"/>
    <n v="113.1"/>
    <n v="114.4"/>
    <n v="139.27096774193564"/>
    <n v="112.6"/>
    <n v="111.3"/>
    <n v="109.7"/>
    <n v="109.6"/>
    <n v="108.7"/>
    <n v="111"/>
    <n v="108.2"/>
    <n v="109.8"/>
    <n v="117.4"/>
    <n v="117.82857142857142"/>
    <n v="125.28548387096782"/>
    <n v="109.425"/>
    <n v="1649.6"/>
    <n v="250.57096774193565"/>
    <n v="227.7"/>
    <n v="437.7"/>
    <n v="2897.4709677419351"/>
  </r>
  <r>
    <x v="1"/>
    <x v="0"/>
    <s v="November"/>
    <n v="119.8"/>
    <n v="116.3"/>
    <n v="122.6"/>
    <n v="112"/>
    <n v="103.2"/>
    <n v="110"/>
    <n v="192.8"/>
    <n v="106.3"/>
    <n v="99.5"/>
    <n v="110.3"/>
    <n v="111.8"/>
    <n v="117.1"/>
    <n v="122.9"/>
    <n v="114.1"/>
    <n v="113.5"/>
    <n v="110.3"/>
    <n v="113"/>
    <n v="111.1"/>
    <n v="110"/>
    <n v="110.9"/>
    <n v="108.6"/>
    <n v="109.5"/>
    <n v="108.5"/>
    <n v="111.3"/>
    <n v="107.9"/>
    <n v="109.6"/>
    <n v="115"/>
    <n v="118.47857142857141"/>
    <n v="111"/>
    <n v="109.325"/>
    <n v="1658.6999999999998"/>
    <n v="222"/>
    <n v="223.8"/>
    <n v="437.3"/>
    <n v="2869.8999999999996"/>
  </r>
  <r>
    <x v="2"/>
    <x v="0"/>
    <s v="November"/>
    <n v="118.1"/>
    <n v="115.4"/>
    <n v="118.7"/>
    <n v="112.5"/>
    <n v="106.8"/>
    <n v="113.5"/>
    <n v="183.1"/>
    <n v="108.2"/>
    <n v="102.2"/>
    <n v="109.4"/>
    <n v="111.8"/>
    <n v="116.5"/>
    <n v="122.6"/>
    <n v="113.1"/>
    <n v="114.2"/>
    <n v="111.9"/>
    <n v="113.8"/>
    <n v="111.1"/>
    <n v="111.6"/>
    <n v="111.1"/>
    <n v="109.3"/>
    <n v="109.5"/>
    <n v="108.6"/>
    <n v="111.2"/>
    <n v="108.1"/>
    <n v="109.7"/>
    <n v="116.3"/>
    <n v="117.99285714285713"/>
    <n v="111.1"/>
    <n v="109.4"/>
    <n v="1651.8999999999999"/>
    <n v="222.2"/>
    <n v="226.10000000000002"/>
    <n v="437.6"/>
    <n v="2868.2000000000003"/>
  </r>
  <r>
    <x v="0"/>
    <x v="0"/>
    <s v="December"/>
    <n v="118.4"/>
    <n v="115.9"/>
    <n v="120.4"/>
    <n v="113.8"/>
    <n v="109.5"/>
    <n v="115.5"/>
    <n v="145.69999999999999"/>
    <n v="109.5"/>
    <n v="102.9"/>
    <n v="109.8"/>
    <n v="112.1"/>
    <n v="116.8"/>
    <n v="118.7"/>
    <n v="113.6"/>
    <n v="115.8"/>
    <n v="114"/>
    <n v="115.5"/>
    <n v="139.27096774193564"/>
    <n v="112.8"/>
    <n v="112.1"/>
    <n v="110.1"/>
    <n v="109.9"/>
    <n v="109.2"/>
    <n v="111.6"/>
    <n v="108.1"/>
    <n v="110.1"/>
    <n v="115.5"/>
    <n v="115.89999999999999"/>
    <n v="125.68548387096781"/>
    <n v="109.74999999999999"/>
    <n v="1622.6"/>
    <n v="251.37096774193563"/>
    <n v="229.8"/>
    <n v="438.99999999999994"/>
    <n v="2875.5709677419354"/>
  </r>
  <r>
    <x v="1"/>
    <x v="0"/>
    <s v="December"/>
    <n v="120.5"/>
    <n v="118.1"/>
    <n v="128.5"/>
    <n v="112.8"/>
    <n v="103.4"/>
    <n v="110.7"/>
    <n v="144.80000000000001"/>
    <n v="107.1"/>
    <n v="98.6"/>
    <n v="111.9"/>
    <n v="112.1"/>
    <n v="118.1"/>
    <n v="117.8"/>
    <n v="115"/>
    <n v="114.2"/>
    <n v="110.9"/>
    <n v="113.7"/>
    <n v="110.7"/>
    <n v="110.4"/>
    <n v="111.3"/>
    <n v="109"/>
    <n v="109.7"/>
    <n v="108.9"/>
    <n v="111.4"/>
    <n v="107.7"/>
    <n v="109.8"/>
    <n v="113.3"/>
    <n v="115.67142857142858"/>
    <n v="111"/>
    <n v="109.44999999999999"/>
    <n v="1619.4"/>
    <n v="222"/>
    <n v="225.10000000000002"/>
    <n v="437.79999999999995"/>
    <n v="2833.4"/>
  </r>
  <r>
    <x v="2"/>
    <x v="0"/>
    <s v="December"/>
    <n v="119.1"/>
    <n v="116.7"/>
    <n v="123.5"/>
    <n v="113.4"/>
    <n v="107.3"/>
    <n v="113.3"/>
    <n v="145.4"/>
    <n v="108.7"/>
    <n v="101.5"/>
    <n v="110.5"/>
    <n v="112.1"/>
    <n v="117.4"/>
    <n v="118.4"/>
    <n v="114"/>
    <n v="115.2"/>
    <n v="112.7"/>
    <n v="114.8"/>
    <n v="110.7"/>
    <n v="111.9"/>
    <n v="111.7"/>
    <n v="109.7"/>
    <n v="109.8"/>
    <n v="109"/>
    <n v="111.5"/>
    <n v="107.9"/>
    <n v="110"/>
    <n v="114.5"/>
    <n v="115.80714285714286"/>
    <n v="111.2"/>
    <n v="109.6"/>
    <n v="1621.3000000000002"/>
    <n v="222.4"/>
    <n v="227.9"/>
    <n v="438.4"/>
    <n v="2841.4"/>
  </r>
  <r>
    <x v="0"/>
    <x v="1"/>
    <s v="January"/>
    <n v="118.9"/>
    <n v="117.1"/>
    <n v="120.5"/>
    <n v="114.4"/>
    <n v="109"/>
    <n v="115.5"/>
    <n v="123.9"/>
    <n v="109.6"/>
    <n v="101.8"/>
    <n v="110.2"/>
    <n v="112.4"/>
    <n v="117.3"/>
    <n v="116"/>
    <n v="114"/>
    <n v="116.5"/>
    <n v="114.5"/>
    <n v="116.2"/>
    <n v="139.27096774193564"/>
    <n v="113"/>
    <n v="112.6"/>
    <n v="110.6"/>
    <n v="110.5"/>
    <n v="109.6"/>
    <n v="111.8"/>
    <n v="108.3"/>
    <n v="110.6"/>
    <n v="114.2"/>
    <n v="114.32857142857144"/>
    <n v="125.93548387096781"/>
    <n v="110.07499999999999"/>
    <n v="1600.6000000000001"/>
    <n v="251.87096774193563"/>
    <n v="231"/>
    <n v="440.29999999999995"/>
    <n v="2857.8709677419356"/>
  </r>
  <r>
    <x v="1"/>
    <x v="1"/>
    <s v="January"/>
    <n v="121.2"/>
    <n v="122"/>
    <n v="129.9"/>
    <n v="113.6"/>
    <n v="102.9"/>
    <n v="112.1"/>
    <n v="118.9"/>
    <n v="107.5"/>
    <n v="96.9"/>
    <n v="112.7"/>
    <n v="112.1"/>
    <n v="119"/>
    <n v="115.5"/>
    <n v="115.7"/>
    <n v="114.8"/>
    <n v="111.3"/>
    <n v="114.3"/>
    <n v="111.6"/>
    <n v="111"/>
    <n v="111.9"/>
    <n v="109.7"/>
    <n v="110.8"/>
    <n v="109.8"/>
    <n v="111.5"/>
    <n v="108"/>
    <n v="110.5"/>
    <n v="112.9"/>
    <n v="114.28571428571429"/>
    <n v="111.75"/>
    <n v="109.95"/>
    <n v="1600"/>
    <n v="223.5"/>
    <n v="226.1"/>
    <n v="439.8"/>
    <n v="2820.9"/>
  </r>
  <r>
    <x v="2"/>
    <x v="1"/>
    <s v="January"/>
    <n v="119.6"/>
    <n v="118.8"/>
    <n v="124.1"/>
    <n v="114.1"/>
    <n v="106.8"/>
    <n v="113.9"/>
    <n v="122.2"/>
    <n v="108.9"/>
    <n v="100.2"/>
    <n v="111"/>
    <n v="112.3"/>
    <n v="118.1"/>
    <n v="115.8"/>
    <n v="114.5"/>
    <n v="115.8"/>
    <n v="113.2"/>
    <n v="115.4"/>
    <n v="111.6"/>
    <n v="112.2"/>
    <n v="112.3"/>
    <n v="110.3"/>
    <n v="110.7"/>
    <n v="109.7"/>
    <n v="111.6"/>
    <n v="108.2"/>
    <n v="110.6"/>
    <n v="113.6"/>
    <n v="114.30714285714284"/>
    <n v="111.94999999999999"/>
    <n v="110.02499999999999"/>
    <n v="1600.2999999999997"/>
    <n v="223.89999999999998"/>
    <n v="229"/>
    <n v="440.09999999999997"/>
    <n v="2826.4999999999995"/>
  </r>
  <r>
    <x v="0"/>
    <x v="1"/>
    <s v="February"/>
    <n v="119.4"/>
    <n v="117.7"/>
    <n v="121.2"/>
    <n v="115"/>
    <n v="109"/>
    <n v="116.6"/>
    <n v="116"/>
    <n v="109.8"/>
    <n v="101.1"/>
    <n v="110.4"/>
    <n v="112.9"/>
    <n v="117.8"/>
    <n v="115.3"/>
    <n v="114.2"/>
    <n v="117.1"/>
    <n v="114.5"/>
    <n v="116.7"/>
    <n v="139.27096774193564"/>
    <n v="113.2"/>
    <n v="112.9"/>
    <n v="110.9"/>
    <n v="110.8"/>
    <n v="109.9"/>
    <n v="112"/>
    <n v="108.7"/>
    <n v="110.9"/>
    <n v="114"/>
    <n v="114.02857142857144"/>
    <n v="126.08548387096782"/>
    <n v="110.375"/>
    <n v="1596.4"/>
    <n v="252.17096774193564"/>
    <n v="231.6"/>
    <n v="441.5"/>
    <n v="2856.5709677419359"/>
  </r>
  <r>
    <x v="1"/>
    <x v="1"/>
    <s v="February"/>
    <n v="121.9"/>
    <n v="122"/>
    <n v="124.5"/>
    <n v="115.2"/>
    <n v="102.5"/>
    <n v="114.1"/>
    <n v="111.5"/>
    <n v="108.2"/>
    <n v="95.4"/>
    <n v="113.5"/>
    <n v="112.1"/>
    <n v="119.9"/>
    <n v="115.2"/>
    <n v="116.2"/>
    <n v="115.3"/>
    <n v="111.7"/>
    <n v="114.7"/>
    <n v="112.5"/>
    <n v="111.1"/>
    <n v="112.6"/>
    <n v="110.4"/>
    <n v="111.3"/>
    <n v="110.3"/>
    <n v="111.6"/>
    <n v="108.7"/>
    <n v="111"/>
    <n v="113.1"/>
    <n v="113.72857142857143"/>
    <n v="112.55"/>
    <n v="110.39999999999999"/>
    <n v="1592.2"/>
    <n v="225.1"/>
    <n v="227"/>
    <n v="441.59999999999997"/>
    <n v="2818.7000000000003"/>
  </r>
  <r>
    <x v="2"/>
    <x v="1"/>
    <s v="February"/>
    <n v="120.2"/>
    <n v="119.2"/>
    <n v="122.5"/>
    <n v="115.1"/>
    <n v="106.6"/>
    <n v="115.4"/>
    <n v="114.5"/>
    <n v="109.3"/>
    <n v="99.2"/>
    <n v="111.4"/>
    <n v="112.6"/>
    <n v="118.8"/>
    <n v="115.3"/>
    <n v="114.7"/>
    <n v="116.4"/>
    <n v="113.3"/>
    <n v="115.9"/>
    <n v="112.5"/>
    <n v="112.4"/>
    <n v="112.8"/>
    <n v="110.7"/>
    <n v="111.1"/>
    <n v="110.1"/>
    <n v="111.8"/>
    <n v="108.7"/>
    <n v="110.9"/>
    <n v="113.6"/>
    <n v="113.91428571428571"/>
    <n v="112.65"/>
    <n v="110.375"/>
    <n v="1594.8"/>
    <n v="225.3"/>
    <n v="229.7"/>
    <n v="441.5"/>
    <n v="2825.5"/>
  </r>
  <r>
    <x v="0"/>
    <x v="1"/>
    <s v="March"/>
    <n v="120.1"/>
    <n v="118.1"/>
    <n v="120.7"/>
    <n v="116.1"/>
    <n v="109.3"/>
    <n v="119.6"/>
    <n v="117.9"/>
    <n v="110.2"/>
    <n v="101.2"/>
    <n v="110.7"/>
    <n v="113"/>
    <n v="118.3"/>
    <n v="116.2"/>
    <n v="114.6"/>
    <n v="117.5"/>
    <n v="114.9"/>
    <n v="117.2"/>
    <n v="139.27096774193564"/>
    <n v="113.4"/>
    <n v="113.4"/>
    <n v="111.4"/>
    <n v="111.2"/>
    <n v="110.2"/>
    <n v="112.4"/>
    <n v="108.9"/>
    <n v="111.3"/>
    <n v="114.6"/>
    <n v="114.71428571428571"/>
    <n v="126.33548387096782"/>
    <n v="110.7"/>
    <n v="1606"/>
    <n v="252.67096774193564"/>
    <n v="232.4"/>
    <n v="442.8"/>
    <n v="2869.8709677419356"/>
  </r>
  <r>
    <x v="1"/>
    <x v="1"/>
    <s v="March"/>
    <n v="122.1"/>
    <n v="121.4"/>
    <n v="121.5"/>
    <n v="116.2"/>
    <n v="102.8"/>
    <n v="117.7"/>
    <n v="113.3"/>
    <n v="108.9"/>
    <n v="96.3"/>
    <n v="114.1"/>
    <n v="112.2"/>
    <n v="120.5"/>
    <n v="116"/>
    <n v="116.7"/>
    <n v="115.8"/>
    <n v="112.1"/>
    <n v="115.2"/>
    <n v="113.2"/>
    <n v="110.9"/>
    <n v="113"/>
    <n v="110.8"/>
    <n v="111.6"/>
    <n v="110.9"/>
    <n v="111.8"/>
    <n v="109.2"/>
    <n v="111.4"/>
    <n v="113.7"/>
    <n v="114.26428571428572"/>
    <n v="113.1"/>
    <n v="110.82500000000002"/>
    <n v="1599.7"/>
    <n v="226.2"/>
    <n v="227.89999999999998"/>
    <n v="443.30000000000007"/>
    <n v="2830.4000000000005"/>
  </r>
  <r>
    <x v="2"/>
    <x v="1"/>
    <s v="Marcrh"/>
    <n v="120.7"/>
    <n v="119.3"/>
    <n v="121"/>
    <n v="116.1"/>
    <n v="106.9"/>
    <n v="118.7"/>
    <n v="116.3"/>
    <n v="109.8"/>
    <n v="99.6"/>
    <n v="111.8"/>
    <n v="112.7"/>
    <n v="119.3"/>
    <n v="116.1"/>
    <n v="115.2"/>
    <n v="116.8"/>
    <n v="113.7"/>
    <n v="116.4"/>
    <n v="113.2"/>
    <n v="112.5"/>
    <n v="113.2"/>
    <n v="111.2"/>
    <n v="111.4"/>
    <n v="110.6"/>
    <n v="112"/>
    <n v="109"/>
    <n v="111.3"/>
    <n v="114.2"/>
    <n v="114.53571428571426"/>
    <n v="113.2"/>
    <n v="110.72499999999999"/>
    <n v="1603.4999999999998"/>
    <n v="226.4"/>
    <n v="230.5"/>
    <n v="442.9"/>
    <n v="2838.3999999999996"/>
  </r>
  <r>
    <x v="0"/>
    <x v="1"/>
    <s v="April"/>
    <n v="120.2"/>
    <n v="118.9"/>
    <n v="118.1"/>
    <n v="117"/>
    <n v="109.7"/>
    <n v="125.5"/>
    <n v="120.5"/>
    <n v="111"/>
    <n v="102.6"/>
    <n v="111.2"/>
    <n v="113.5"/>
    <n v="118.7"/>
    <n v="117.2"/>
    <n v="115.4"/>
    <n v="118.1"/>
    <n v="116.1"/>
    <n v="117.8"/>
    <n v="139.27096774193564"/>
    <n v="113.4"/>
    <n v="113.7"/>
    <n v="111.8"/>
    <n v="111.2"/>
    <n v="110.5"/>
    <n v="113"/>
    <n v="108.9"/>
    <n v="111.5"/>
    <n v="115.4"/>
    <n v="115.67857142857144"/>
    <n v="126.48548387096781"/>
    <n v="110.97499999999999"/>
    <n v="1619.5000000000002"/>
    <n v="252.97096774193562"/>
    <n v="234.2"/>
    <n v="443.9"/>
    <n v="2886.970967741936"/>
  </r>
  <r>
    <x v="1"/>
    <x v="1"/>
    <s v="April"/>
    <n v="122.5"/>
    <n v="121.7"/>
    <n v="113.3"/>
    <n v="117"/>
    <n v="103.1"/>
    <n v="126.7"/>
    <n v="121.2"/>
    <n v="111"/>
    <n v="100.3"/>
    <n v="115.3"/>
    <n v="112.7"/>
    <n v="121"/>
    <n v="118.2"/>
    <n v="117.6"/>
    <n v="116.3"/>
    <n v="112.5"/>
    <n v="115.7"/>
    <n v="113.9"/>
    <n v="110.9"/>
    <n v="113.4"/>
    <n v="111"/>
    <n v="111.2"/>
    <n v="111.2"/>
    <n v="112.5"/>
    <n v="109.1"/>
    <n v="111.4"/>
    <n v="114.7"/>
    <n v="115.82857142857144"/>
    <n v="113.65"/>
    <n v="111.05"/>
    <n v="1621.6000000000001"/>
    <n v="227.3"/>
    <n v="228.8"/>
    <n v="444.2"/>
    <n v="2855"/>
  </r>
  <r>
    <x v="2"/>
    <x v="1"/>
    <s v="April"/>
    <n v="120.9"/>
    <n v="119.9"/>
    <n v="116.2"/>
    <n v="117"/>
    <n v="107.3"/>
    <n v="126.1"/>
    <n v="120.7"/>
    <n v="111"/>
    <n v="101.8"/>
    <n v="112.6"/>
    <n v="113.2"/>
    <n v="119.8"/>
    <n v="117.6"/>
    <n v="116"/>
    <n v="117.4"/>
    <n v="114.6"/>
    <n v="117"/>
    <n v="113.9"/>
    <n v="112.5"/>
    <n v="113.6"/>
    <n v="111.5"/>
    <n v="111.2"/>
    <n v="110.9"/>
    <n v="112.7"/>
    <n v="109"/>
    <n v="111.5"/>
    <n v="115.1"/>
    <n v="115.72142857142856"/>
    <n v="113.75"/>
    <n v="111.02500000000001"/>
    <n v="1620.1"/>
    <n v="227.5"/>
    <n v="232"/>
    <n v="444.1"/>
    <n v="2858.8999999999996"/>
  </r>
  <r>
    <x v="0"/>
    <x v="1"/>
    <s v="May"/>
    <n v="120.3"/>
    <n v="120.2"/>
    <n v="116.9"/>
    <n v="118"/>
    <n v="110.1"/>
    <n v="126.3"/>
    <n v="123.9"/>
    <n v="111.5"/>
    <n v="103.5"/>
    <n v="111.6"/>
    <n v="114.2"/>
    <n v="119.2"/>
    <n v="118.2"/>
    <n v="116.3"/>
    <n v="118.7"/>
    <n v="116.8"/>
    <n v="118.5"/>
    <n v="139.27096774193564"/>
    <n v="113.4"/>
    <n v="114.1"/>
    <n v="112.1"/>
    <n v="111.4"/>
    <n v="110.9"/>
    <n v="113.1"/>
    <n v="108.9"/>
    <n v="111.8"/>
    <n v="116"/>
    <n v="116.44285714285714"/>
    <n v="126.68548387096781"/>
    <n v="111.17499999999998"/>
    <n v="1630.1999999999998"/>
    <n v="253.37096774193563"/>
    <n v="235.5"/>
    <n v="444.69999999999993"/>
    <n v="2900.6709677419353"/>
  </r>
  <r>
    <x v="1"/>
    <x v="1"/>
    <s v="May"/>
    <n v="122.7"/>
    <n v="124.1"/>
    <n v="114.2"/>
    <n v="119.1"/>
    <n v="103.5"/>
    <n v="129.19999999999999"/>
    <n v="127"/>
    <n v="112.6"/>
    <n v="101.3"/>
    <n v="117"/>
    <n v="112.9"/>
    <n v="121.7"/>
    <n v="120"/>
    <n v="118.3"/>
    <n v="116.8"/>
    <n v="112.9"/>
    <n v="116.2"/>
    <n v="114.3"/>
    <n v="111.1"/>
    <n v="114.1"/>
    <n v="111.2"/>
    <n v="111.3"/>
    <n v="111.5"/>
    <n v="112.9"/>
    <n v="109.3"/>
    <n v="111.7"/>
    <n v="115.6"/>
    <n v="117.4"/>
    <n v="114.19999999999999"/>
    <n v="111.35"/>
    <n v="1643.6000000000001"/>
    <n v="228.39999999999998"/>
    <n v="229.7"/>
    <n v="445.4"/>
    <n v="2880.7"/>
  </r>
  <r>
    <x v="2"/>
    <x v="1"/>
    <s v="May"/>
    <n v="121.1"/>
    <n v="121.6"/>
    <n v="115.9"/>
    <n v="118.4"/>
    <n v="107.7"/>
    <n v="127.7"/>
    <n v="125"/>
    <n v="111.9"/>
    <n v="102.8"/>
    <n v="113.4"/>
    <n v="113.7"/>
    <n v="120.4"/>
    <n v="118.9"/>
    <n v="116.8"/>
    <n v="118"/>
    <n v="115.2"/>
    <n v="117.6"/>
    <n v="114.3"/>
    <n v="112.5"/>
    <n v="114.1"/>
    <n v="111.8"/>
    <n v="111.3"/>
    <n v="111.2"/>
    <n v="113"/>
    <n v="109.1"/>
    <n v="111.8"/>
    <n v="115.8"/>
    <n v="116.80714285714289"/>
    <n v="114.19999999999999"/>
    <n v="111.27499999999999"/>
    <n v="1635.3000000000004"/>
    <n v="228.39999999999998"/>
    <n v="233.2"/>
    <n v="445.09999999999997"/>
    <n v="2877.6000000000008"/>
  </r>
  <r>
    <x v="0"/>
    <x v="1"/>
    <s v="June"/>
    <n v="120.7"/>
    <n v="121.6"/>
    <n v="116.1"/>
    <n v="119.3"/>
    <n v="110.3"/>
    <n v="125.8"/>
    <n v="129.30000000000001"/>
    <n v="112.2"/>
    <n v="103.6"/>
    <n v="112.3"/>
    <n v="114.9"/>
    <n v="120.1"/>
    <n v="119.5"/>
    <n v="117.3"/>
    <n v="119.7"/>
    <n v="117.3"/>
    <n v="119.3"/>
    <n v="139.27096774193564"/>
    <n v="114.4"/>
    <n v="114.9"/>
    <n v="112.8"/>
    <n v="112.2"/>
    <n v="111.4"/>
    <n v="114.3"/>
    <n v="108"/>
    <n v="112.3"/>
    <n v="117"/>
    <n v="117.35714285714285"/>
    <n v="127.08548387096782"/>
    <n v="111.5"/>
    <n v="1642.9999999999998"/>
    <n v="254.17096774193564"/>
    <n v="237"/>
    <n v="446"/>
    <n v="2919.5709677419354"/>
  </r>
  <r>
    <x v="1"/>
    <x v="1"/>
    <s v="June"/>
    <n v="123.1"/>
    <n v="125.9"/>
    <n v="115.4"/>
    <n v="120.4"/>
    <n v="103.4"/>
    <n v="131.19999999999999"/>
    <n v="137.5"/>
    <n v="112.8"/>
    <n v="101.4"/>
    <n v="118.3"/>
    <n v="113.2"/>
    <n v="122.4"/>
    <n v="122"/>
    <n v="119"/>
    <n v="117.4"/>
    <n v="113.2"/>
    <n v="116.7"/>
    <n v="113.9"/>
    <n v="111.2"/>
    <n v="114.3"/>
    <n v="111.4"/>
    <n v="111.5"/>
    <n v="111.8"/>
    <n v="115.1"/>
    <n v="108.7"/>
    <n v="112.2"/>
    <n v="116.4"/>
    <n v="119"/>
    <n v="114.1"/>
    <n v="111.95"/>
    <n v="1666"/>
    <n v="228.2"/>
    <n v="230.60000000000002"/>
    <n v="447.8"/>
    <n v="2906.7000000000003"/>
  </r>
  <r>
    <x v="2"/>
    <x v="1"/>
    <s v="June"/>
    <n v="121.5"/>
    <n v="123.1"/>
    <n v="115.8"/>
    <n v="119.7"/>
    <n v="107.8"/>
    <n v="128.30000000000001"/>
    <n v="132.1"/>
    <n v="112.4"/>
    <n v="102.9"/>
    <n v="114.3"/>
    <n v="114.2"/>
    <n v="121.2"/>
    <n v="120.4"/>
    <n v="117.8"/>
    <n v="118.8"/>
    <n v="115.6"/>
    <n v="118.3"/>
    <n v="113.9"/>
    <n v="113.2"/>
    <n v="114.6"/>
    <n v="112.3"/>
    <n v="111.8"/>
    <n v="111.6"/>
    <n v="114.8"/>
    <n v="108.3"/>
    <n v="112.3"/>
    <n v="116.7"/>
    <n v="117.96428571428574"/>
    <n v="114.25"/>
    <n v="111.75"/>
    <n v="1651.5000000000002"/>
    <n v="228.5"/>
    <n v="234.39999999999998"/>
    <n v="447"/>
    <n v="2898.7000000000003"/>
  </r>
  <r>
    <x v="0"/>
    <x v="1"/>
    <s v="July"/>
    <n v="121.7"/>
    <n v="122.5"/>
    <n v="117.7"/>
    <n v="120.6"/>
    <n v="110.4"/>
    <n v="129.1"/>
    <n v="150.1"/>
    <n v="113.2"/>
    <n v="104.8"/>
    <n v="113.3"/>
    <n v="115.6"/>
    <n v="120.9"/>
    <n v="123.3"/>
    <n v="118"/>
    <n v="120.7"/>
    <n v="118.3"/>
    <n v="120.3"/>
    <n v="139.27096774193564"/>
    <n v="115.3"/>
    <n v="115.4"/>
    <n v="113.4"/>
    <n v="113.2"/>
    <n v="111.8"/>
    <n v="115.5"/>
    <n v="108.8"/>
    <n v="113.1"/>
    <n v="119.5"/>
    <n v="120.08571428571429"/>
    <n v="127.33548387096782"/>
    <n v="112.3"/>
    <n v="1681.2"/>
    <n v="254.67096774193564"/>
    <n v="239"/>
    <n v="449.2"/>
    <n v="2965.970967741936"/>
  </r>
  <r>
    <x v="1"/>
    <x v="1"/>
    <s v="July"/>
    <n v="123.8"/>
    <n v="126.4"/>
    <n v="118"/>
    <n v="121.6"/>
    <n v="103.5"/>
    <n v="133.69999999999999"/>
    <n v="172.4"/>
    <n v="113.1"/>
    <n v="102.7"/>
    <n v="120"/>
    <n v="113.8"/>
    <n v="123.4"/>
    <n v="127.1"/>
    <n v="121"/>
    <n v="118"/>
    <n v="113.6"/>
    <n v="117.4"/>
    <n v="114.8"/>
    <n v="111.6"/>
    <n v="114.9"/>
    <n v="111.5"/>
    <n v="113"/>
    <n v="112.4"/>
    <n v="117.8"/>
    <n v="109.7"/>
    <n v="113.5"/>
    <n v="118.9"/>
    <n v="122.89285714285714"/>
    <n v="114.85"/>
    <n v="113.35"/>
    <n v="1720.5"/>
    <n v="229.7"/>
    <n v="231.6"/>
    <n v="453.4"/>
    <n v="2971.2999999999997"/>
  </r>
  <r>
    <x v="2"/>
    <x v="1"/>
    <s v="July"/>
    <n v="122.4"/>
    <n v="123.9"/>
    <n v="117.8"/>
    <n v="121"/>
    <n v="107.9"/>
    <n v="131.19999999999999"/>
    <n v="157.69999999999999"/>
    <n v="113.2"/>
    <n v="104.1"/>
    <n v="115.5"/>
    <n v="114.8"/>
    <n v="122.1"/>
    <n v="124.7"/>
    <n v="118.8"/>
    <n v="119.6"/>
    <n v="116.3"/>
    <n v="119.1"/>
    <n v="114.8"/>
    <n v="113.9"/>
    <n v="115.2"/>
    <n v="112.7"/>
    <n v="113.1"/>
    <n v="112.1"/>
    <n v="116.8"/>
    <n v="109.2"/>
    <n v="113.3"/>
    <n v="119.2"/>
    <n v="121.07857142857142"/>
    <n v="115"/>
    <n v="112.85"/>
    <n v="1695.1"/>
    <n v="230"/>
    <n v="235.89999999999998"/>
    <n v="451.4"/>
    <n v="2952.0999999999995"/>
  </r>
  <r>
    <x v="0"/>
    <x v="1"/>
    <s v="August"/>
    <n v="121.8"/>
    <n v="122.8"/>
    <n v="117.8"/>
    <n v="121.9"/>
    <n v="110.6"/>
    <n v="129.69999999999999"/>
    <n v="161.1"/>
    <n v="114.1"/>
    <n v="105.1"/>
    <n v="114.6"/>
    <n v="115.8"/>
    <n v="121.7"/>
    <n v="125.3"/>
    <n v="118.8"/>
    <n v="120.9"/>
    <n v="118.8"/>
    <n v="120.7"/>
    <n v="139.27096774193564"/>
    <n v="115.4"/>
    <n v="115.9"/>
    <n v="114"/>
    <n v="113.2"/>
    <n v="112.2"/>
    <n v="116.2"/>
    <n v="109.4"/>
    <n v="113.5"/>
    <n v="120.7"/>
    <n v="121.50714285714284"/>
    <n v="127.58548387096782"/>
    <n v="112.825"/>
    <n v="1701.0999999999997"/>
    <n v="255.17096774193564"/>
    <n v="239.7"/>
    <n v="451.3"/>
    <n v="2989.8709677419351"/>
  </r>
  <r>
    <x v="1"/>
    <x v="1"/>
    <s v="August"/>
    <n v="124.8"/>
    <n v="127.3"/>
    <n v="116.5"/>
    <n v="122.2"/>
    <n v="103.6"/>
    <n v="132.69999999999999"/>
    <n v="181.9"/>
    <n v="115.2"/>
    <n v="102.7"/>
    <n v="122.1"/>
    <n v="114.4"/>
    <n v="124.7"/>
    <n v="128.9"/>
    <n v="123"/>
    <n v="118.6"/>
    <n v="114.1"/>
    <n v="117.9"/>
    <n v="115.5"/>
    <n v="111.8"/>
    <n v="115.3"/>
    <n v="112.2"/>
    <n v="112.5"/>
    <n v="112.9"/>
    <n v="119.2"/>
    <n v="110.5"/>
    <n v="113.9"/>
    <n v="119.9"/>
    <n v="124.28571428571429"/>
    <n v="115.4"/>
    <n v="114.125"/>
    <n v="1740"/>
    <n v="230.8"/>
    <n v="232.7"/>
    <n v="456.5"/>
    <n v="2996.5"/>
  </r>
  <r>
    <x v="2"/>
    <x v="1"/>
    <s v="August"/>
    <n v="122.7"/>
    <n v="124.4"/>
    <n v="117.3"/>
    <n v="122"/>
    <n v="108"/>
    <n v="131.1"/>
    <n v="168.2"/>
    <n v="114.5"/>
    <n v="104.3"/>
    <n v="117.1"/>
    <n v="115.2"/>
    <n v="123.1"/>
    <n v="126.6"/>
    <n v="119.9"/>
    <n v="120"/>
    <n v="116.8"/>
    <n v="119.6"/>
    <n v="115.5"/>
    <n v="114"/>
    <n v="115.6"/>
    <n v="113.3"/>
    <n v="112.8"/>
    <n v="112.6"/>
    <n v="118"/>
    <n v="109.9"/>
    <n v="113.7"/>
    <n v="120.3"/>
    <n v="122.45714285714284"/>
    <n v="115.55"/>
    <n v="113.55000000000001"/>
    <n v="1714.3999999999999"/>
    <n v="231.1"/>
    <n v="236.8"/>
    <n v="454.20000000000005"/>
    <n v="2976.6000000000004"/>
  </r>
  <r>
    <x v="0"/>
    <x v="1"/>
    <s v="September"/>
    <n v="122.3"/>
    <n v="122.4"/>
    <n v="117.8"/>
    <n v="122.7"/>
    <n v="110.4"/>
    <n v="129.80000000000001"/>
    <n v="158.80000000000001"/>
    <n v="115"/>
    <n v="104.7"/>
    <n v="114.9"/>
    <n v="116.5"/>
    <n v="122.6"/>
    <n v="125.3"/>
    <n v="119.5"/>
    <n v="121.7"/>
    <n v="119.2"/>
    <n v="121.3"/>
    <n v="139.27096774193564"/>
    <n v="115.8"/>
    <n v="116.7"/>
    <n v="114.5"/>
    <n v="112.8"/>
    <n v="112.6"/>
    <n v="116.6"/>
    <n v="109.1"/>
    <n v="113.7"/>
    <n v="120.9"/>
    <n v="121.62142857142858"/>
    <n v="127.98548387096781"/>
    <n v="113"/>
    <n v="1702.7"/>
    <n v="255.97096774193562"/>
    <n v="240.9"/>
    <n v="452"/>
    <n v="2994.6709677419358"/>
  </r>
  <r>
    <x v="1"/>
    <x v="1"/>
    <s v="September"/>
    <n v="124.2"/>
    <n v="125.4"/>
    <n v="116.4"/>
    <n v="122.7"/>
    <n v="103.5"/>
    <n v="124.5"/>
    <n v="168.6"/>
    <n v="116.9"/>
    <n v="101.9"/>
    <n v="122.9"/>
    <n v="114.8"/>
    <n v="125.2"/>
    <n v="126.7"/>
    <n v="124.3"/>
    <n v="119.2"/>
    <n v="114.5"/>
    <n v="118.4"/>
    <n v="116.1"/>
    <n v="111.8"/>
    <n v="115.5"/>
    <n v="112.3"/>
    <n v="111.2"/>
    <n v="113.4"/>
    <n v="120"/>
    <n v="110"/>
    <n v="113.6"/>
    <n v="119.2"/>
    <n v="122.71428571428574"/>
    <n v="115.8"/>
    <n v="114.25"/>
    <n v="1718.0000000000002"/>
    <n v="231.6"/>
    <n v="233.7"/>
    <n v="457"/>
    <n v="2975.6000000000004"/>
  </r>
  <r>
    <x v="2"/>
    <x v="1"/>
    <s v="September"/>
    <n v="122.9"/>
    <n v="123.5"/>
    <n v="117.3"/>
    <n v="122.7"/>
    <n v="107.9"/>
    <n v="127.3"/>
    <n v="162.1"/>
    <n v="115.6"/>
    <n v="103.8"/>
    <n v="117.6"/>
    <n v="115.8"/>
    <n v="123.8"/>
    <n v="125.8"/>
    <n v="120.8"/>
    <n v="120.7"/>
    <n v="117.2"/>
    <n v="120.1"/>
    <n v="116.1"/>
    <n v="114.3"/>
    <n v="116.1"/>
    <n v="113.7"/>
    <n v="112"/>
    <n v="113.1"/>
    <n v="118.6"/>
    <n v="109.5"/>
    <n v="113.7"/>
    <n v="120.1"/>
    <n v="121.92142857142855"/>
    <n v="116.1"/>
    <n v="113.72499999999999"/>
    <n v="1706.8999999999996"/>
    <n v="232.2"/>
    <n v="237.9"/>
    <n v="454.9"/>
    <n v="2971.8999999999996"/>
  </r>
  <r>
    <x v="0"/>
    <x v="1"/>
    <s v="October"/>
    <n v="122.6"/>
    <n v="122.5"/>
    <n v="118.3"/>
    <n v="123.2"/>
    <n v="110.5"/>
    <n v="128.9"/>
    <n v="155.30000000000001"/>
    <n v="115.5"/>
    <n v="104"/>
    <n v="115.3"/>
    <n v="116.8"/>
    <n v="123.2"/>
    <n v="125.1"/>
    <n v="120"/>
    <n v="122.7"/>
    <n v="120.3"/>
    <n v="122.3"/>
    <n v="139.27096774193564"/>
    <n v="116.4"/>
    <n v="117.5"/>
    <n v="115.3"/>
    <n v="112.6"/>
    <n v="113"/>
    <n v="116.9"/>
    <n v="109.3"/>
    <n v="114"/>
    <n v="121"/>
    <n v="121.51428571428571"/>
    <n v="128.38548387096782"/>
    <n v="113.30000000000001"/>
    <n v="1701.1999999999998"/>
    <n v="256.77096774193564"/>
    <n v="243"/>
    <n v="453.20000000000005"/>
    <n v="2998.470967741936"/>
  </r>
  <r>
    <x v="1"/>
    <x v="1"/>
    <s v="October"/>
    <n v="124.6"/>
    <n v="126.1"/>
    <n v="117.8"/>
    <n v="123.1"/>
    <n v="103.5"/>
    <n v="123.5"/>
    <n v="159.6"/>
    <n v="117.4"/>
    <n v="101.2"/>
    <n v="123.8"/>
    <n v="115.2"/>
    <n v="125.9"/>
    <n v="125.8"/>
    <n v="124.3"/>
    <n v="119.6"/>
    <n v="114.9"/>
    <n v="118.9"/>
    <n v="116.7"/>
    <n v="112"/>
    <n v="115.8"/>
    <n v="112.6"/>
    <n v="111"/>
    <n v="113.6"/>
    <n v="120.2"/>
    <n v="110.1"/>
    <n v="113.7"/>
    <n v="119.1"/>
    <n v="122.27142857142857"/>
    <n v="116.25"/>
    <n v="114.4"/>
    <n v="1711.8"/>
    <n v="232.5"/>
    <n v="234.5"/>
    <n v="457.6"/>
    <n v="2972"/>
  </r>
  <r>
    <x v="2"/>
    <x v="1"/>
    <s v="October"/>
    <n v="123.2"/>
    <n v="123.8"/>
    <n v="118.1"/>
    <n v="123.2"/>
    <n v="107.9"/>
    <n v="126.4"/>
    <n v="156.80000000000001"/>
    <n v="116.1"/>
    <n v="103.1"/>
    <n v="118.1"/>
    <n v="116.1"/>
    <n v="124.5"/>
    <n v="125.4"/>
    <n v="121.1"/>
    <n v="121.5"/>
    <n v="118.1"/>
    <n v="121"/>
    <n v="116.7"/>
    <n v="114.7"/>
    <n v="116.7"/>
    <n v="114.3"/>
    <n v="111.8"/>
    <n v="113.3"/>
    <n v="118.8"/>
    <n v="109.6"/>
    <n v="113.9"/>
    <n v="120.1"/>
    <n v="121.7"/>
    <n v="116.7"/>
    <n v="113.9"/>
    <n v="1703.8"/>
    <n v="233.4"/>
    <n v="239.6"/>
    <n v="455.6"/>
    <n v="2973.2000000000003"/>
  </r>
  <r>
    <x v="0"/>
    <x v="1"/>
    <s v="November"/>
    <n v="122.7"/>
    <n v="122.6"/>
    <n v="119.9"/>
    <n v="124"/>
    <n v="110.5"/>
    <n v="128.80000000000001"/>
    <n v="152"/>
    <n v="116.2"/>
    <n v="103.3"/>
    <n v="115.8"/>
    <n v="116.8"/>
    <n v="124.5"/>
    <n v="124.9"/>
    <n v="120.8"/>
    <n v="123.3"/>
    <n v="120.5"/>
    <n v="122.9"/>
    <n v="139.27096774193564"/>
    <n v="117.3"/>
    <n v="118.1"/>
    <n v="115.9"/>
    <n v="112"/>
    <n v="113.3"/>
    <n v="117.2"/>
    <n v="108.8"/>
    <n v="114.1"/>
    <n v="121.1"/>
    <n v="121.62857142857142"/>
    <n v="128.6854838709678"/>
    <n v="113.35"/>
    <n v="1702.8"/>
    <n v="257.3709677419356"/>
    <n v="243.8"/>
    <n v="453.4"/>
    <n v="3002.5709677419359"/>
  </r>
  <r>
    <x v="1"/>
    <x v="1"/>
    <s v="November"/>
    <n v="124.5"/>
    <n v="125.6"/>
    <n v="122.7"/>
    <n v="124.6"/>
    <n v="103.2"/>
    <n v="122.2"/>
    <n v="153.19999999999999"/>
    <n v="119.3"/>
    <n v="99.8"/>
    <n v="124.6"/>
    <n v="115.8"/>
    <n v="126.9"/>
    <n v="125.4"/>
    <n v="125.8"/>
    <n v="120.3"/>
    <n v="115.4"/>
    <n v="119.5"/>
    <n v="117.1"/>
    <n v="112.6"/>
    <n v="116.4"/>
    <n v="113"/>
    <n v="109.7"/>
    <n v="114"/>
    <n v="120.3"/>
    <n v="109.6"/>
    <n v="113.4"/>
    <n v="119"/>
    <n v="122.39999999999999"/>
    <n v="116.75"/>
    <n v="114.325"/>
    <n v="1713.6"/>
    <n v="233.5"/>
    <n v="235.7"/>
    <n v="457.3"/>
    <n v="2975.3999999999996"/>
  </r>
  <r>
    <x v="2"/>
    <x v="1"/>
    <s v="November"/>
    <n v="123.3"/>
    <n v="123.7"/>
    <n v="121"/>
    <n v="124.2"/>
    <n v="107.8"/>
    <n v="125.7"/>
    <n v="152.4"/>
    <n v="117.2"/>
    <n v="102.1"/>
    <n v="118.7"/>
    <n v="116.4"/>
    <n v="125.6"/>
    <n v="125.1"/>
    <n v="122.1"/>
    <n v="122.1"/>
    <n v="118.4"/>
    <n v="121.6"/>
    <n v="117.1"/>
    <n v="115.5"/>
    <n v="117.3"/>
    <n v="114.8"/>
    <n v="110.8"/>
    <n v="113.7"/>
    <n v="119"/>
    <n v="109.1"/>
    <n v="113.8"/>
    <n v="120.1"/>
    <n v="121.80714285714285"/>
    <n v="117.19999999999999"/>
    <n v="113.89999999999999"/>
    <n v="1705.3"/>
    <n v="234.39999999999998"/>
    <n v="240.5"/>
    <n v="455.59999999999997"/>
    <n v="2976.9"/>
  </r>
  <r>
    <x v="0"/>
    <x v="1"/>
    <s v="December"/>
    <n v="122.4"/>
    <n v="122.4"/>
    <n v="121.8"/>
    <n v="124.2"/>
    <n v="110.2"/>
    <n v="128.6"/>
    <n v="140.30000000000001"/>
    <n v="116.3"/>
    <n v="102"/>
    <n v="116"/>
    <n v="117.3"/>
    <n v="124.8"/>
    <n v="123.3"/>
    <n v="121.7"/>
    <n v="123.8"/>
    <n v="120.6"/>
    <n v="123.3"/>
    <n v="139.27096774193564"/>
    <n v="117.4"/>
    <n v="118.2"/>
    <n v="116.2"/>
    <n v="111.5"/>
    <n v="113.3"/>
    <n v="117.7"/>
    <n v="109.4"/>
    <n v="114.2"/>
    <n v="120.3"/>
    <n v="120.80714285714285"/>
    <n v="128.73548387096781"/>
    <n v="113.65"/>
    <n v="1691.3"/>
    <n v="257.47096774193562"/>
    <n v="244.39999999999998"/>
    <n v="454.6"/>
    <n v="2992.8709677419356"/>
  </r>
  <r>
    <x v="1"/>
    <x v="1"/>
    <s v="December"/>
    <n v="124"/>
    <n v="124.7"/>
    <n v="126.3"/>
    <n v="124.9"/>
    <n v="103"/>
    <n v="122.3"/>
    <n v="141"/>
    <n v="120.1"/>
    <n v="97.8"/>
    <n v="125.4"/>
    <n v="116.1"/>
    <n v="127.6"/>
    <n v="124"/>
    <n v="126.4"/>
    <n v="120.7"/>
    <n v="115.8"/>
    <n v="120"/>
    <n v="116.5"/>
    <n v="113"/>
    <n v="116.8"/>
    <n v="113.2"/>
    <n v="108.8"/>
    <n v="114.3"/>
    <n v="120.7"/>
    <n v="110.4"/>
    <n v="113.4"/>
    <n v="118.4"/>
    <n v="121.68571428571428"/>
    <n v="116.65"/>
    <n v="114.7"/>
    <n v="1703.6"/>
    <n v="233.3"/>
    <n v="236.5"/>
    <n v="458.8"/>
    <n v="2967.2"/>
  </r>
  <r>
    <x v="2"/>
    <x v="1"/>
    <s v="December"/>
    <n v="122.9"/>
    <n v="123.2"/>
    <n v="123.5"/>
    <n v="124.5"/>
    <n v="107.6"/>
    <n v="125.7"/>
    <n v="140.5"/>
    <n v="117.6"/>
    <n v="100.6"/>
    <n v="119.1"/>
    <n v="116.8"/>
    <n v="126.1"/>
    <n v="123.6"/>
    <n v="123"/>
    <n v="122.6"/>
    <n v="118.6"/>
    <n v="122"/>
    <n v="116.5"/>
    <n v="115.7"/>
    <n v="117.5"/>
    <n v="115.1"/>
    <n v="110.1"/>
    <n v="113.9"/>
    <n v="119.5"/>
    <n v="109.8"/>
    <n v="113.8"/>
    <n v="119.4"/>
    <n v="121.04999999999998"/>
    <n v="117"/>
    <n v="114.25"/>
    <n v="1694.6999999999998"/>
    <n v="234"/>
    <n v="241.2"/>
    <n v="457"/>
    <n v="2967.7999999999993"/>
  </r>
  <r>
    <x v="0"/>
    <x v="2"/>
    <s v="January"/>
    <n v="123.1"/>
    <n v="123.1"/>
    <n v="122.1"/>
    <n v="124.9"/>
    <n v="111"/>
    <n v="130.4"/>
    <n v="132.30000000000001"/>
    <n v="117.2"/>
    <n v="100.5"/>
    <n v="117.2"/>
    <n v="117.9"/>
    <n v="125.6"/>
    <n v="122.8"/>
    <n v="122.7"/>
    <n v="124.4"/>
    <n v="121.6"/>
    <n v="124"/>
    <n v="139.27096774193564"/>
    <n v="118.4"/>
    <n v="118.9"/>
    <n v="116.6"/>
    <n v="111"/>
    <n v="114"/>
    <n v="118.2"/>
    <n v="110.2"/>
    <n v="114.5"/>
    <n v="120.3"/>
    <n v="120.77142857142857"/>
    <n v="129.08548387096783"/>
    <n v="114.22499999999999"/>
    <n v="1690.8"/>
    <n v="258.17096774193567"/>
    <n v="246"/>
    <n v="456.9"/>
    <n v="2997.8709677419356"/>
  </r>
  <r>
    <x v="1"/>
    <x v="2"/>
    <s v="January"/>
    <n v="124"/>
    <n v="125.5"/>
    <n v="126.6"/>
    <n v="125.2"/>
    <n v="104.3"/>
    <n v="121.3"/>
    <n v="134.4"/>
    <n v="122.9"/>
    <n v="96.1"/>
    <n v="126.6"/>
    <n v="116.5"/>
    <n v="128"/>
    <n v="123.5"/>
    <n v="127.4"/>
    <n v="121"/>
    <n v="116.1"/>
    <n v="120.2"/>
    <n v="117.3"/>
    <n v="113.4"/>
    <n v="117.2"/>
    <n v="113.7"/>
    <n v="107.9"/>
    <n v="114.6"/>
    <n v="120.8"/>
    <n v="111.4"/>
    <n v="113.4"/>
    <n v="118.5"/>
    <n v="121.59285714285714"/>
    <n v="117.25"/>
    <n v="115.05000000000001"/>
    <n v="1702.3"/>
    <n v="234.5"/>
    <n v="237.1"/>
    <n v="460.20000000000005"/>
    <n v="2969.1"/>
  </r>
  <r>
    <x v="2"/>
    <x v="2"/>
    <s v="January"/>
    <n v="123.4"/>
    <n v="123.9"/>
    <n v="123.8"/>
    <n v="125"/>
    <n v="108.5"/>
    <n v="126.2"/>
    <n v="133"/>
    <n v="119.1"/>
    <n v="99"/>
    <n v="120.3"/>
    <n v="117.3"/>
    <n v="126.7"/>
    <n v="123.1"/>
    <n v="124"/>
    <n v="123.1"/>
    <n v="119.3"/>
    <n v="122.5"/>
    <n v="117.3"/>
    <n v="116.5"/>
    <n v="118.1"/>
    <n v="115.5"/>
    <n v="109.4"/>
    <n v="114.3"/>
    <n v="119.7"/>
    <n v="110.7"/>
    <n v="114"/>
    <n v="119.5"/>
    <n v="120.95"/>
    <n v="117.69999999999999"/>
    <n v="114.675"/>
    <n v="1693.3"/>
    <n v="235.39999999999998"/>
    <n v="242.39999999999998"/>
    <n v="458.7"/>
    <n v="2971.2"/>
  </r>
  <r>
    <x v="0"/>
    <x v="2"/>
    <s v="February"/>
    <n v="123.4"/>
    <n v="124.4"/>
    <n v="122.1"/>
    <n v="125.8"/>
    <n v="111.5"/>
    <n v="129.4"/>
    <n v="128.19999999999999"/>
    <n v="118.8"/>
    <n v="100"/>
    <n v="118.6"/>
    <n v="118.8"/>
    <n v="126.8"/>
    <n v="122.8"/>
    <n v="124.2"/>
    <n v="125.4"/>
    <n v="122.7"/>
    <n v="125"/>
    <n v="139.27096774193564"/>
    <n v="120"/>
    <n v="119.6"/>
    <n v="117.7"/>
    <n v="110.9"/>
    <n v="114.8"/>
    <n v="118.7"/>
    <n v="110.8"/>
    <n v="115"/>
    <n v="120.6"/>
    <n v="121.05714285714284"/>
    <n v="129.4354838709678"/>
    <n v="114.825"/>
    <n v="1694.7999999999997"/>
    <n v="258.8709677419356"/>
    <n v="248.10000000000002"/>
    <n v="459.3"/>
    <n v="3009.6709677419353"/>
  </r>
  <r>
    <x v="1"/>
    <x v="2"/>
    <s v="February"/>
    <n v="124.3"/>
    <n v="126.5"/>
    <n v="119.5"/>
    <n v="125.6"/>
    <n v="104.9"/>
    <n v="121.6"/>
    <n v="131.80000000000001"/>
    <n v="125.1"/>
    <n v="95"/>
    <n v="127.7"/>
    <n v="116.8"/>
    <n v="128.6"/>
    <n v="123.7"/>
    <n v="128.1"/>
    <n v="121.3"/>
    <n v="116.5"/>
    <n v="120.6"/>
    <n v="118.1"/>
    <n v="114"/>
    <n v="117.7"/>
    <n v="114.1"/>
    <n v="106.8"/>
    <n v="114.9"/>
    <n v="120.4"/>
    <n v="111.7"/>
    <n v="113.2"/>
    <n v="118.7"/>
    <n v="121.37142857142858"/>
    <n v="117.9"/>
    <n v="115.05000000000001"/>
    <n v="1699.2"/>
    <n v="235.8"/>
    <n v="237.8"/>
    <n v="460.20000000000005"/>
    <n v="2967.9"/>
  </r>
  <r>
    <x v="2"/>
    <x v="2"/>
    <s v="February"/>
    <n v="123.7"/>
    <n v="125.1"/>
    <n v="121.1"/>
    <n v="125.7"/>
    <n v="109.1"/>
    <n v="125.8"/>
    <n v="129.4"/>
    <n v="120.9"/>
    <n v="98.3"/>
    <n v="121.6"/>
    <n v="118"/>
    <n v="127.6"/>
    <n v="123.1"/>
    <n v="125.2"/>
    <n v="123.8"/>
    <n v="120.1"/>
    <n v="123.3"/>
    <n v="118.1"/>
    <n v="117.7"/>
    <n v="118.7"/>
    <n v="116.3"/>
    <n v="108.7"/>
    <n v="114.9"/>
    <n v="119.7"/>
    <n v="111.2"/>
    <n v="114.1"/>
    <n v="119.7"/>
    <n v="121.04285714285712"/>
    <n v="118.4"/>
    <n v="114.97499999999999"/>
    <n v="1694.5999999999997"/>
    <n v="236.8"/>
    <n v="243.89999999999998"/>
    <n v="459.9"/>
    <n v="2977.8999999999996"/>
  </r>
  <r>
    <x v="0"/>
    <x v="2"/>
    <s v="March"/>
    <n v="123.3"/>
    <n v="124.7"/>
    <n v="118.9"/>
    <n v="126"/>
    <n v="111.8"/>
    <n v="130.9"/>
    <n v="128"/>
    <n v="119.9"/>
    <n v="98.9"/>
    <n v="119.4"/>
    <n v="118.9"/>
    <n v="127.7"/>
    <n v="123.1"/>
    <n v="124.7"/>
    <n v="126"/>
    <n v="122.9"/>
    <n v="125.5"/>
    <n v="139.27096774193564"/>
    <n v="120.6"/>
    <n v="120.2"/>
    <n v="118.2"/>
    <n v="111.6"/>
    <n v="115.5"/>
    <n v="119.4"/>
    <n v="110.8"/>
    <n v="115.5"/>
    <n v="121.1"/>
    <n v="121.15714285714286"/>
    <n v="129.73548387096781"/>
    <n v="115.30000000000001"/>
    <n v="1696.2"/>
    <n v="259.47096774193562"/>
    <n v="248.9"/>
    <n v="461.20000000000005"/>
    <n v="3016.1709677419353"/>
  </r>
  <r>
    <x v="1"/>
    <x v="2"/>
    <s v="March"/>
    <n v="124"/>
    <n v="126.7"/>
    <n v="113.5"/>
    <n v="125.9"/>
    <n v="104.8"/>
    <n v="123.8"/>
    <n v="131.4"/>
    <n v="127.2"/>
    <n v="93.2"/>
    <n v="127.4"/>
    <n v="117"/>
    <n v="129.19999999999999"/>
    <n v="123.9"/>
    <n v="128.80000000000001"/>
    <n v="121.7"/>
    <n v="116.9"/>
    <n v="120.9"/>
    <n v="118.6"/>
    <n v="114.4"/>
    <n v="118"/>
    <n v="114.3"/>
    <n v="108.4"/>
    <n v="115.4"/>
    <n v="120.6"/>
    <n v="111.3"/>
    <n v="113.8"/>
    <n v="119.1"/>
    <n v="121.20000000000002"/>
    <n v="118.3"/>
    <n v="115.27500000000001"/>
    <n v="1696.8000000000002"/>
    <n v="236.6"/>
    <n v="238.60000000000002"/>
    <n v="461.1"/>
    <n v="2970.2000000000007"/>
  </r>
  <r>
    <x v="2"/>
    <x v="2"/>
    <s v="March"/>
    <n v="123.5"/>
    <n v="125.4"/>
    <n v="116.8"/>
    <n v="126"/>
    <n v="109.2"/>
    <n v="127.6"/>
    <n v="129.19999999999999"/>
    <n v="122.4"/>
    <n v="97"/>
    <n v="122.1"/>
    <n v="118.1"/>
    <n v="128.4"/>
    <n v="123.4"/>
    <n v="125.8"/>
    <n v="124.3"/>
    <n v="120.4"/>
    <n v="123.7"/>
    <n v="118.6"/>
    <n v="118.3"/>
    <n v="119.2"/>
    <n v="116.7"/>
    <n v="109.9"/>
    <n v="115.4"/>
    <n v="120.1"/>
    <n v="111"/>
    <n v="114.7"/>
    <n v="120.2"/>
    <n v="121.0642857142857"/>
    <n v="118.9"/>
    <n v="115.29999999999998"/>
    <n v="1694.8999999999999"/>
    <n v="237.8"/>
    <n v="244.7"/>
    <n v="461.19999999999993"/>
    <n v="2983.4999999999995"/>
  </r>
  <r>
    <x v="0"/>
    <x v="2"/>
    <s v="April"/>
    <n v="123.3"/>
    <n v="125.5"/>
    <n v="117.2"/>
    <n v="126.8"/>
    <n v="111.9"/>
    <n v="134.19999999999999"/>
    <n v="127.5"/>
    <n v="121.5"/>
    <n v="97.8"/>
    <n v="119.8"/>
    <n v="119.4"/>
    <n v="128.69999999999999"/>
    <n v="123.6"/>
    <n v="125.7"/>
    <n v="126.4"/>
    <n v="123.3"/>
    <n v="126"/>
    <n v="139.27096774193564"/>
    <n v="121.2"/>
    <n v="120.9"/>
    <n v="118.6"/>
    <n v="111.9"/>
    <n v="116.2"/>
    <n v="119.9"/>
    <n v="111.6"/>
    <n v="116"/>
    <n v="121.5"/>
    <n v="121.63571428571429"/>
    <n v="130.08548387096783"/>
    <n v="115.925"/>
    <n v="1702.9"/>
    <n v="260.17096774193567"/>
    <n v="249.7"/>
    <n v="463.7"/>
    <n v="3028.1709677419358"/>
  </r>
  <r>
    <x v="1"/>
    <x v="2"/>
    <s v="April"/>
    <n v="123.8"/>
    <n v="128.19999999999999"/>
    <n v="110"/>
    <n v="126.3"/>
    <n v="104.5"/>
    <n v="130.6"/>
    <n v="130.80000000000001"/>
    <n v="131.30000000000001"/>
    <n v="91.6"/>
    <n v="127.7"/>
    <n v="117.2"/>
    <n v="129.5"/>
    <n v="124.6"/>
    <n v="130.1"/>
    <n v="122.1"/>
    <n v="117.2"/>
    <n v="121.3"/>
    <n v="119.2"/>
    <n v="114.7"/>
    <n v="118.4"/>
    <n v="114.6"/>
    <n v="108.4"/>
    <n v="115.6"/>
    <n v="121.7"/>
    <n v="111.8"/>
    <n v="114.2"/>
    <n v="119.7"/>
    <n v="121.87142857142855"/>
    <n v="118.80000000000001"/>
    <n v="115.82499999999999"/>
    <n v="1706.1999999999998"/>
    <n v="237.60000000000002"/>
    <n v="239.3"/>
    <n v="463.29999999999995"/>
    <n v="2984.0999999999995"/>
  </r>
  <r>
    <x v="2"/>
    <x v="2"/>
    <s v="April"/>
    <n v="123.5"/>
    <n v="126.4"/>
    <n v="114.4"/>
    <n v="126.6"/>
    <n v="109.2"/>
    <n v="132.5"/>
    <n v="128.6"/>
    <n v="124.8"/>
    <n v="95.7"/>
    <n v="122.4"/>
    <n v="118.5"/>
    <n v="129.1"/>
    <n v="124"/>
    <n v="126.9"/>
    <n v="124.7"/>
    <n v="120.8"/>
    <n v="124.1"/>
    <n v="119.2"/>
    <n v="118.7"/>
    <n v="119.7"/>
    <n v="117.1"/>
    <n v="110.1"/>
    <n v="115.9"/>
    <n v="121"/>
    <n v="111.7"/>
    <n v="115.1"/>
    <n v="120.7"/>
    <n v="121.61428571428573"/>
    <n v="119.45"/>
    <n v="115.92500000000001"/>
    <n v="1702.6000000000001"/>
    <n v="238.9"/>
    <n v="245.5"/>
    <n v="463.70000000000005"/>
    <n v="2996.6"/>
  </r>
  <r>
    <x v="0"/>
    <x v="2"/>
    <s v="May"/>
    <n v="123.5"/>
    <n v="127.1"/>
    <n v="117.3"/>
    <n v="127.7"/>
    <n v="112.5"/>
    <n v="134.1"/>
    <n v="128.5"/>
    <n v="124.3"/>
    <n v="97.6"/>
    <n v="120.7"/>
    <n v="120.2"/>
    <n v="129.80000000000001"/>
    <n v="124.4"/>
    <n v="126.7"/>
    <n v="127.3"/>
    <n v="124.1"/>
    <n v="126.8"/>
    <n v="139.27096774193564"/>
    <n v="121.9"/>
    <n v="121.5"/>
    <n v="119.4"/>
    <n v="113.3"/>
    <n v="116.7"/>
    <n v="120.5"/>
    <n v="112.3"/>
    <n v="116.9"/>
    <n v="122.4"/>
    <n v="122.45714285714287"/>
    <n v="130.38548387096782"/>
    <n v="116.6"/>
    <n v="1714.4"/>
    <n v="260.77096774193564"/>
    <n v="251.39999999999998"/>
    <n v="466.4"/>
    <n v="3047.5709677419363"/>
  </r>
  <r>
    <x v="1"/>
    <x v="2"/>
    <s v="May"/>
    <n v="123.8"/>
    <n v="129.69999999999999"/>
    <n v="111.3"/>
    <n v="126.6"/>
    <n v="105.2"/>
    <n v="130.80000000000001"/>
    <n v="135.6"/>
    <n v="142.6"/>
    <n v="90.8"/>
    <n v="128.80000000000001"/>
    <n v="117.7"/>
    <n v="129.9"/>
    <n v="126.1"/>
    <n v="131.30000000000001"/>
    <n v="122.4"/>
    <n v="117.4"/>
    <n v="121.6"/>
    <n v="119.6"/>
    <n v="114.9"/>
    <n v="118.7"/>
    <n v="114.9"/>
    <n v="110.8"/>
    <n v="116"/>
    <n v="122"/>
    <n v="112.4"/>
    <n v="115.2"/>
    <n v="120.7"/>
    <n v="123.58571428571429"/>
    <n v="119.15"/>
    <n v="116.4"/>
    <n v="1730.2"/>
    <n v="238.3"/>
    <n v="239.8"/>
    <n v="465.6"/>
    <n v="3014.5000000000005"/>
  </r>
  <r>
    <x v="2"/>
    <x v="2"/>
    <s v="May"/>
    <n v="123.6"/>
    <n v="128"/>
    <n v="115"/>
    <n v="127.3"/>
    <n v="109.8"/>
    <n v="132.6"/>
    <n v="130.9"/>
    <n v="130.5"/>
    <n v="95.3"/>
    <n v="123.4"/>
    <n v="119.2"/>
    <n v="129.80000000000001"/>
    <n v="125"/>
    <n v="127.9"/>
    <n v="125.4"/>
    <n v="121.3"/>
    <n v="124.7"/>
    <n v="119.6"/>
    <n v="119.2"/>
    <n v="120.2"/>
    <n v="117.7"/>
    <n v="112"/>
    <n v="116.3"/>
    <n v="121.4"/>
    <n v="112.3"/>
    <n v="116.1"/>
    <n v="121.6"/>
    <n v="122.73571428571429"/>
    <n v="119.9"/>
    <n v="116.52499999999999"/>
    <n v="1718.3000000000002"/>
    <n v="239.8"/>
    <n v="246.7"/>
    <n v="466.09999999999997"/>
    <n v="3019.7999999999997"/>
  </r>
  <r>
    <x v="0"/>
    <x v="2"/>
    <s v="June"/>
    <n v="124.1"/>
    <n v="130.4"/>
    <n v="122.1"/>
    <n v="128.69999999999999"/>
    <n v="114.1"/>
    <n v="133.19999999999999"/>
    <n v="135.19999999999999"/>
    <n v="131.9"/>
    <n v="96.3"/>
    <n v="123"/>
    <n v="121.1"/>
    <n v="131.19999999999999"/>
    <n v="126.6"/>
    <n v="128.19999999999999"/>
    <n v="128.4"/>
    <n v="125.1"/>
    <n v="128"/>
    <n v="139.27096774193564"/>
    <n v="122.6"/>
    <n v="122.8"/>
    <n v="120.4"/>
    <n v="114.2"/>
    <n v="117.9"/>
    <n v="122"/>
    <n v="113"/>
    <n v="117.9"/>
    <n v="124.1"/>
    <n v="124.72142857142856"/>
    <n v="131.03548387096782"/>
    <n v="117.69999999999999"/>
    <n v="1746.1"/>
    <n v="262.07096774193565"/>
    <n v="253.5"/>
    <n v="470.79999999999995"/>
    <n v="3089.6709677419353"/>
  </r>
  <r>
    <x v="1"/>
    <x v="2"/>
    <s v="June"/>
    <n v="123.6"/>
    <n v="134.4"/>
    <n v="120.9"/>
    <n v="127.3"/>
    <n v="106"/>
    <n v="132.30000000000001"/>
    <n v="146.69999999999999"/>
    <n v="148.1"/>
    <n v="89.8"/>
    <n v="130.5"/>
    <n v="118"/>
    <n v="130.5"/>
    <n v="128.5"/>
    <n v="132.1"/>
    <n v="123.2"/>
    <n v="117.6"/>
    <n v="122.3"/>
    <n v="119"/>
    <n v="115.1"/>
    <n v="119.2"/>
    <n v="115.4"/>
    <n v="111.7"/>
    <n v="116.2"/>
    <n v="123.8"/>
    <n v="112.5"/>
    <n v="116"/>
    <n v="121.7"/>
    <n v="126.33571428571427"/>
    <n v="119.1"/>
    <n v="117.125"/>
    <n v="1768.6999999999998"/>
    <n v="238.2"/>
    <n v="240.8"/>
    <n v="468.5"/>
    <n v="3058.3999999999996"/>
  </r>
  <r>
    <x v="2"/>
    <x v="2"/>
    <s v="June"/>
    <n v="123.9"/>
    <n v="131.80000000000001"/>
    <n v="121.6"/>
    <n v="128.19999999999999"/>
    <n v="111.1"/>
    <n v="132.80000000000001"/>
    <n v="139.1"/>
    <n v="137.4"/>
    <n v="94.1"/>
    <n v="125.5"/>
    <n v="119.8"/>
    <n v="130.9"/>
    <n v="127.3"/>
    <n v="129.19999999999999"/>
    <n v="126.4"/>
    <n v="122"/>
    <n v="125.7"/>
    <n v="119"/>
    <n v="119.8"/>
    <n v="121.1"/>
    <n v="118.5"/>
    <n v="112.9"/>
    <n v="116.9"/>
    <n v="123.1"/>
    <n v="112.8"/>
    <n v="117"/>
    <n v="123"/>
    <n v="125.19285714285715"/>
    <n v="120.05"/>
    <n v="117.44999999999999"/>
    <n v="1752.7"/>
    <n v="240.1"/>
    <n v="248.4"/>
    <n v="469.79999999999995"/>
    <n v="3062.2000000000003"/>
  </r>
  <r>
    <x v="0"/>
    <x v="2"/>
    <s v="July"/>
    <n v="124"/>
    <n v="131.5"/>
    <n v="122"/>
    <n v="128.69999999999999"/>
    <n v="113.5"/>
    <n v="133.30000000000001"/>
    <n v="140.80000000000001"/>
    <n v="133.80000000000001"/>
    <n v="94.1"/>
    <n v="123.4"/>
    <n v="121"/>
    <n v="131.69999999999999"/>
    <n v="127.5"/>
    <n v="129.4"/>
    <n v="128.80000000000001"/>
    <n v="125.5"/>
    <n v="128.30000000000001"/>
    <n v="139.27096774193564"/>
    <n v="123"/>
    <n v="123"/>
    <n v="120.8"/>
    <n v="114.1"/>
    <n v="118"/>
    <n v="122.9"/>
    <n v="112.7"/>
    <n v="118.1"/>
    <n v="124.7"/>
    <n v="125.33571428571429"/>
    <n v="131.13548387096782"/>
    <n v="117.92500000000001"/>
    <n v="1754.7"/>
    <n v="262.27096774193564"/>
    <n v="254.3"/>
    <n v="471.70000000000005"/>
    <n v="3100.8709677419361"/>
  </r>
  <r>
    <x v="1"/>
    <x v="2"/>
    <s v="July"/>
    <n v="123.2"/>
    <n v="134.30000000000001"/>
    <n v="119.5"/>
    <n v="127.7"/>
    <n v="106.3"/>
    <n v="132.80000000000001"/>
    <n v="153.5"/>
    <n v="149.5"/>
    <n v="85.7"/>
    <n v="131.5"/>
    <n v="118.3"/>
    <n v="131.1"/>
    <n v="129.5"/>
    <n v="133.1"/>
    <n v="123.5"/>
    <n v="117.9"/>
    <n v="122.7"/>
    <n v="119.9"/>
    <n v="115.3"/>
    <n v="119.5"/>
    <n v="116"/>
    <n v="111.5"/>
    <n v="116.6"/>
    <n v="125.4"/>
    <n v="111.7"/>
    <n v="116.3"/>
    <n v="122.4"/>
    <n v="126.85714285714285"/>
    <n v="119.7"/>
    <n v="117.5"/>
    <n v="1775.9999999999998"/>
    <n v="239.4"/>
    <n v="241.4"/>
    <n v="470"/>
    <n v="3069.6"/>
  </r>
  <r>
    <x v="2"/>
    <x v="2"/>
    <s v="July"/>
    <n v="123.7"/>
    <n v="132.5"/>
    <n v="121"/>
    <n v="128.30000000000001"/>
    <n v="110.9"/>
    <n v="133.1"/>
    <n v="145.1"/>
    <n v="139.1"/>
    <n v="91.3"/>
    <n v="126.1"/>
    <n v="119.9"/>
    <n v="131.4"/>
    <n v="128.19999999999999"/>
    <n v="130.4"/>
    <n v="126.7"/>
    <n v="122.3"/>
    <n v="126.1"/>
    <n v="119.9"/>
    <n v="120.1"/>
    <n v="121.3"/>
    <n v="119"/>
    <n v="112.7"/>
    <n v="117.2"/>
    <n v="124.4"/>
    <n v="112.3"/>
    <n v="117.2"/>
    <n v="123.6"/>
    <n v="125.78571428571431"/>
    <n v="120.6"/>
    <n v="117.77499999999999"/>
    <n v="1761.0000000000002"/>
    <n v="241.2"/>
    <n v="249"/>
    <n v="471.09999999999997"/>
    <n v="3074.1"/>
  </r>
  <r>
    <x v="0"/>
    <x v="2"/>
    <s v="August"/>
    <n v="124.7"/>
    <n v="131.30000000000001"/>
    <n v="121.3"/>
    <n v="128.80000000000001"/>
    <n v="114"/>
    <n v="134.19999999999999"/>
    <n v="153.6"/>
    <n v="137.9"/>
    <n v="93.1"/>
    <n v="123.9"/>
    <n v="121.5"/>
    <n v="132.5"/>
    <n v="129.80000000000001"/>
    <n v="130.1"/>
    <n v="129.5"/>
    <n v="126.3"/>
    <n v="129"/>
    <n v="139.27096774193564"/>
    <n v="123.8"/>
    <n v="123.7"/>
    <n v="121.1"/>
    <n v="113.6"/>
    <n v="118.5"/>
    <n v="123.6"/>
    <n v="112.5"/>
    <n v="118.2"/>
    <n v="126.1"/>
    <n v="126.90714285714284"/>
    <n v="131.48548387096781"/>
    <n v="118.19999999999999"/>
    <n v="1776.6999999999998"/>
    <n v="262.97096774193562"/>
    <n v="255.8"/>
    <n v="472.79999999999995"/>
    <n v="3126.7709677419352"/>
  </r>
  <r>
    <x v="1"/>
    <x v="2"/>
    <s v="August"/>
    <n v="123.1"/>
    <n v="131.69999999999999"/>
    <n v="118.1"/>
    <n v="128"/>
    <n v="106.8"/>
    <n v="130.1"/>
    <n v="165.5"/>
    <n v="156"/>
    <n v="85.3"/>
    <n v="132.69999999999999"/>
    <n v="118.8"/>
    <n v="131.69999999999999"/>
    <n v="131.1"/>
    <n v="134.19999999999999"/>
    <n v="123.7"/>
    <n v="118.2"/>
    <n v="122.9"/>
    <n v="120.9"/>
    <n v="115.3"/>
    <n v="120"/>
    <n v="116.6"/>
    <n v="109.9"/>
    <n v="117.2"/>
    <n v="126.2"/>
    <n v="112"/>
    <n v="116.2"/>
    <n v="123.2"/>
    <n v="128.07857142857142"/>
    <n v="120.45"/>
    <n v="117.89999999999999"/>
    <n v="1793.1"/>
    <n v="240.9"/>
    <n v="241.9"/>
    <n v="471.59999999999997"/>
    <n v="3089.3"/>
  </r>
  <r>
    <x v="2"/>
    <x v="2"/>
    <s v="August"/>
    <n v="124.2"/>
    <n v="131.4"/>
    <n v="120.1"/>
    <n v="128.5"/>
    <n v="111.4"/>
    <n v="132.30000000000001"/>
    <n v="157.6"/>
    <n v="144"/>
    <n v="90.5"/>
    <n v="126.8"/>
    <n v="120.4"/>
    <n v="132.1"/>
    <n v="130.30000000000001"/>
    <n v="131.19999999999999"/>
    <n v="127.2"/>
    <n v="122.9"/>
    <n v="126.6"/>
    <n v="120.9"/>
    <n v="120.6"/>
    <n v="122"/>
    <n v="119.4"/>
    <n v="111.7"/>
    <n v="117.8"/>
    <n v="125.1"/>
    <n v="112.3"/>
    <n v="117.2"/>
    <n v="124.8"/>
    <n v="127.2"/>
    <n v="121.45"/>
    <n v="118.10000000000001"/>
    <n v="1780.8"/>
    <n v="242.9"/>
    <n v="250.10000000000002"/>
    <n v="472.40000000000003"/>
    <n v="3097.8999999999996"/>
  </r>
  <r>
    <x v="0"/>
    <x v="2"/>
    <s v="September"/>
    <n v="125.1"/>
    <n v="131.1"/>
    <n v="120.7"/>
    <n v="129.19999999999999"/>
    <n v="114.7"/>
    <n v="132.30000000000001"/>
    <n v="158.9"/>
    <n v="142.1"/>
    <n v="92.5"/>
    <n v="125.4"/>
    <n v="121.9"/>
    <n v="132.69999999999999"/>
    <n v="131"/>
    <n v="131"/>
    <n v="130.4"/>
    <n v="126.8"/>
    <n v="129.9"/>
    <n v="139.27096774193564"/>
    <n v="123.7"/>
    <n v="124.5"/>
    <n v="121.4"/>
    <n v="113.8"/>
    <n v="119.6"/>
    <n v="124.5"/>
    <n v="113.7"/>
    <n v="118.8"/>
    <n v="127"/>
    <n v="127.75714285714287"/>
    <n v="131.88548387096782"/>
    <n v="119.15"/>
    <n v="1788.6000000000001"/>
    <n v="263.77096774193564"/>
    <n v="257.2"/>
    <n v="476.6"/>
    <n v="3145.0709677419359"/>
  </r>
  <r>
    <x v="1"/>
    <x v="2"/>
    <s v="September"/>
    <n v="123.4"/>
    <n v="129"/>
    <n v="115.6"/>
    <n v="128.30000000000001"/>
    <n v="107"/>
    <n v="124"/>
    <n v="168.5"/>
    <n v="165.4"/>
    <n v="86.3"/>
    <n v="134.4"/>
    <n v="119.1"/>
    <n v="132.30000000000001"/>
    <n v="131.5"/>
    <n v="134.69999999999999"/>
    <n v="124"/>
    <n v="118.6"/>
    <n v="123.2"/>
    <n v="121.6"/>
    <n v="115.1"/>
    <n v="120.4"/>
    <n v="117.1"/>
    <n v="109.1"/>
    <n v="117.3"/>
    <n v="126.5"/>
    <n v="112.9"/>
    <n v="116.2"/>
    <n v="123.5"/>
    <n v="128.53571428571428"/>
    <n v="121"/>
    <n v="118.22500000000001"/>
    <n v="1799.5"/>
    <n v="242"/>
    <n v="242.6"/>
    <n v="472.90000000000003"/>
    <n v="3098.2999999999997"/>
  </r>
  <r>
    <x v="2"/>
    <x v="2"/>
    <s v="September"/>
    <n v="124.6"/>
    <n v="130.4"/>
    <n v="118.7"/>
    <n v="128.9"/>
    <n v="111.9"/>
    <n v="128.4"/>
    <n v="162.19999999999999"/>
    <n v="150"/>
    <n v="90.4"/>
    <n v="128.4"/>
    <n v="120.7"/>
    <n v="132.5"/>
    <n v="131.19999999999999"/>
    <n v="132"/>
    <n v="127.9"/>
    <n v="123.4"/>
    <n v="127.2"/>
    <n v="121.6"/>
    <n v="120.4"/>
    <n v="122.6"/>
    <n v="119.8"/>
    <n v="111.3"/>
    <n v="118.3"/>
    <n v="125.7"/>
    <n v="113.4"/>
    <n v="117.5"/>
    <n v="125.4"/>
    <n v="127.87857142857145"/>
    <n v="122.1"/>
    <n v="118.72500000000001"/>
    <n v="1790.3000000000002"/>
    <n v="244.2"/>
    <n v="251.3"/>
    <n v="474.90000000000003"/>
    <n v="3112.2000000000007"/>
  </r>
  <r>
    <x v="0"/>
    <x v="2"/>
    <s v="October"/>
    <n v="125.6"/>
    <n v="130.4"/>
    <n v="120.8"/>
    <n v="129.4"/>
    <n v="115.8"/>
    <n v="133.19999999999999"/>
    <n v="157.69999999999999"/>
    <n v="154.19999999999999"/>
    <n v="93.7"/>
    <n v="126.6"/>
    <n v="122.3"/>
    <n v="133.1"/>
    <n v="131.80000000000001"/>
    <n v="131.5"/>
    <n v="131.1"/>
    <n v="127.3"/>
    <n v="130.6"/>
    <n v="139.27096774193564"/>
    <n v="124.4"/>
    <n v="125.1"/>
    <n v="122"/>
    <n v="113.8"/>
    <n v="120.1"/>
    <n v="125.1"/>
    <n v="114.2"/>
    <n v="119.2"/>
    <n v="127.7"/>
    <n v="129.00714285714284"/>
    <n v="132.1854838709678"/>
    <n v="119.65"/>
    <n v="1806.1"/>
    <n v="264.3709677419356"/>
    <n v="258.39999999999998"/>
    <n v="478.6"/>
    <n v="3167.6709677419358"/>
  </r>
  <r>
    <x v="1"/>
    <x v="2"/>
    <s v="October"/>
    <n v="123.6"/>
    <n v="128.6"/>
    <n v="115.9"/>
    <n v="128.5"/>
    <n v="109"/>
    <n v="124.1"/>
    <n v="165.8"/>
    <n v="187.2"/>
    <n v="89.4"/>
    <n v="135.80000000000001"/>
    <n v="119.4"/>
    <n v="132.9"/>
    <n v="132.6"/>
    <n v="135.30000000000001"/>
    <n v="124.4"/>
    <n v="118.8"/>
    <n v="123.6"/>
    <n v="122.4"/>
    <n v="114.9"/>
    <n v="120.7"/>
    <n v="117.7"/>
    <n v="109.3"/>
    <n v="117.7"/>
    <n v="126.5"/>
    <n v="113.5"/>
    <n v="116.5"/>
    <n v="124.2"/>
    <n v="130.57857142857145"/>
    <n v="121.55000000000001"/>
    <n v="118.55"/>
    <n v="1828.1000000000001"/>
    <n v="243.10000000000002"/>
    <n v="243.2"/>
    <n v="474.2"/>
    <n v="3130.5000000000005"/>
  </r>
  <r>
    <x v="2"/>
    <x v="2"/>
    <s v="October"/>
    <n v="125"/>
    <n v="129.80000000000001"/>
    <n v="118.9"/>
    <n v="129.1"/>
    <n v="113.3"/>
    <n v="129"/>
    <n v="160.4"/>
    <n v="165.3"/>
    <n v="92.3"/>
    <n v="129.69999999999999"/>
    <n v="121.1"/>
    <n v="133"/>
    <n v="132.1"/>
    <n v="132.5"/>
    <n v="128.5"/>
    <n v="123.8"/>
    <n v="127.8"/>
    <n v="122.4"/>
    <n v="120.8"/>
    <n v="123"/>
    <n v="120.4"/>
    <n v="111.4"/>
    <n v="118.7"/>
    <n v="125.9"/>
    <n v="113.9"/>
    <n v="117.9"/>
    <n v="126.1"/>
    <n v="129.39285714285714"/>
    <n v="122.7"/>
    <n v="119.10000000000001"/>
    <n v="1811.4999999999998"/>
    <n v="245.4"/>
    <n v="252.3"/>
    <n v="476.40000000000003"/>
    <n v="3138.2000000000003"/>
  </r>
  <r>
    <x v="0"/>
    <x v="2"/>
    <s v="November"/>
    <n v="126.1"/>
    <n v="130.6"/>
    <n v="121.7"/>
    <n v="129.5"/>
    <n v="117.8"/>
    <n v="132.1"/>
    <n v="155.19999999999999"/>
    <n v="160.80000000000001"/>
    <n v="94.5"/>
    <n v="128.30000000000001"/>
    <n v="123.1"/>
    <n v="134.19999999999999"/>
    <n v="132.4"/>
    <n v="132.19999999999999"/>
    <n v="132.1"/>
    <n v="128.19999999999999"/>
    <n v="131.5"/>
    <n v="139.27096774193564"/>
    <n v="125.6"/>
    <n v="125.6"/>
    <n v="122.6"/>
    <n v="114"/>
    <n v="120.9"/>
    <n v="125.8"/>
    <n v="114.2"/>
    <n v="119.6"/>
    <n v="128.30000000000001"/>
    <n v="129.89285714285714"/>
    <n v="132.4354838709678"/>
    <n v="120.125"/>
    <n v="1818.5"/>
    <n v="264.8709677419356"/>
    <n v="260.29999999999995"/>
    <n v="480.5"/>
    <n v="3186.3709677419356"/>
  </r>
  <r>
    <x v="1"/>
    <x v="2"/>
    <s v="November"/>
    <n v="124"/>
    <n v="129.80000000000001"/>
    <n v="121.5"/>
    <n v="128.6"/>
    <n v="110"/>
    <n v="123.7"/>
    <n v="164.6"/>
    <n v="191.6"/>
    <n v="90.8"/>
    <n v="137.1"/>
    <n v="119.8"/>
    <n v="133.69999999999999"/>
    <n v="133.30000000000001"/>
    <n v="137.6"/>
    <n v="125"/>
    <n v="119.3"/>
    <n v="124.2"/>
    <n v="122.9"/>
    <n v="115.1"/>
    <n v="121"/>
    <n v="118.1"/>
    <n v="109.3"/>
    <n v="117.9"/>
    <n v="126.6"/>
    <n v="113.3"/>
    <n v="116.6"/>
    <n v="124.6"/>
    <n v="131.8642857142857"/>
    <n v="121.95"/>
    <n v="118.6"/>
    <n v="1846.0999999999997"/>
    <n v="243.9"/>
    <n v="244.3"/>
    <n v="474.4"/>
    <n v="3151.2"/>
  </r>
  <r>
    <x v="2"/>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30.40714285714284"/>
    <n v="123.15"/>
    <n v="119.35"/>
    <n v="1825.6999999999998"/>
    <n v="246.3"/>
    <n v="253.8"/>
    <n v="477.4"/>
    <n v="3157.2"/>
  </r>
  <r>
    <x v="0"/>
    <x v="2"/>
    <s v="December"/>
    <n v="126.3"/>
    <n v="131.30000000000001"/>
    <n v="123.3"/>
    <n v="129.80000000000001"/>
    <n v="118.3"/>
    <n v="131.6"/>
    <n v="145.5"/>
    <n v="162.1"/>
    <n v="95.4"/>
    <n v="128.9"/>
    <n v="123.3"/>
    <n v="135.1"/>
    <n v="131.4"/>
    <n v="133.1"/>
    <n v="132.5"/>
    <n v="128.5"/>
    <n v="131.9"/>
    <n v="139.27096774193564"/>
    <n v="125.7"/>
    <n v="126"/>
    <n v="123.1"/>
    <n v="114"/>
    <n v="121.6"/>
    <n v="125.6"/>
    <n v="114.1"/>
    <n v="119.8"/>
    <n v="127.9"/>
    <n v="129.67142857142858"/>
    <n v="132.63548387096782"/>
    <n v="120.27500000000001"/>
    <n v="1815.4"/>
    <n v="265.27096774193564"/>
    <n v="261"/>
    <n v="481.1"/>
    <n v="3185.5709677419354"/>
  </r>
  <r>
    <x v="1"/>
    <x v="2"/>
    <s v="December"/>
    <n v="124.3"/>
    <n v="131.69999999999999"/>
    <n v="127.1"/>
    <n v="128.6"/>
    <n v="110"/>
    <n v="120.8"/>
    <n v="149"/>
    <n v="190.1"/>
    <n v="92.7"/>
    <n v="138.6"/>
    <n v="120.2"/>
    <n v="134.19999999999999"/>
    <n v="131.5"/>
    <n v="138.19999999999999"/>
    <n v="125.4"/>
    <n v="119.5"/>
    <n v="124.5"/>
    <n v="122.4"/>
    <n v="116"/>
    <n v="121"/>
    <n v="118.6"/>
    <n v="109.3"/>
    <n v="118.1"/>
    <n v="126.6"/>
    <n v="113.2"/>
    <n v="116.7"/>
    <n v="124"/>
    <n v="131.21428571428572"/>
    <n v="121.7"/>
    <n v="118.65"/>
    <n v="1837"/>
    <n v="243.4"/>
    <n v="244.9"/>
    <n v="474.6"/>
    <n v="3143.8"/>
  </r>
  <r>
    <x v="2"/>
    <x v="2"/>
    <s v="December"/>
    <n v="125.7"/>
    <n v="131.4"/>
    <n v="124.8"/>
    <n v="129.4"/>
    <n v="115.3"/>
    <n v="126.6"/>
    <n v="146.69999999999999"/>
    <n v="171.5"/>
    <n v="94.5"/>
    <n v="132.1"/>
    <n v="122"/>
    <n v="134.69999999999999"/>
    <n v="131.4"/>
    <n v="134.5"/>
    <n v="129.69999999999999"/>
    <n v="124.8"/>
    <n v="129"/>
    <n v="122.4"/>
    <n v="122"/>
    <n v="123.6"/>
    <n v="121.4"/>
    <n v="111.5"/>
    <n v="119.6"/>
    <n v="126.2"/>
    <n v="113.7"/>
    <n v="118.3"/>
    <n v="126.1"/>
    <n v="130.04285714285714"/>
    <n v="123"/>
    <n v="119.44999999999999"/>
    <n v="1820.6000000000001"/>
    <n v="246"/>
    <n v="254.5"/>
    <n v="477.79999999999995"/>
    <n v="3153.8"/>
  </r>
  <r>
    <x v="0"/>
    <x v="3"/>
    <s v="January"/>
    <n v="126.8"/>
    <n v="133.19999999999999"/>
    <n v="126.5"/>
    <n v="130.30000000000001"/>
    <n v="118.9"/>
    <n v="131.6"/>
    <n v="140.1"/>
    <n v="163.80000000000001"/>
    <n v="97.7"/>
    <n v="129.6"/>
    <n v="124.3"/>
    <n v="135.9"/>
    <n v="131.4"/>
    <n v="133.6"/>
    <n v="133.19999999999999"/>
    <n v="128.9"/>
    <n v="132.6"/>
    <n v="139.27096774193564"/>
    <n v="126.2"/>
    <n v="126.6"/>
    <n v="123.7"/>
    <n v="113.6"/>
    <n v="121.4"/>
    <n v="126.2"/>
    <n v="114.9"/>
    <n v="120.1"/>
    <n v="128.1"/>
    <n v="130.26428571428571"/>
    <n v="132.9354838709678"/>
    <n v="120.65"/>
    <n v="1823.7"/>
    <n v="265.8709677419356"/>
    <n v="262.10000000000002"/>
    <n v="482.6"/>
    <n v="3197.7709677419352"/>
  </r>
  <r>
    <x v="1"/>
    <x v="3"/>
    <s v="January"/>
    <n v="124.7"/>
    <n v="135.9"/>
    <n v="132"/>
    <n v="129.19999999999999"/>
    <n v="109.7"/>
    <n v="119"/>
    <n v="144.1"/>
    <n v="184.2"/>
    <n v="96.7"/>
    <n v="139.5"/>
    <n v="120.5"/>
    <n v="134.69999999999999"/>
    <n v="131.19999999999999"/>
    <n v="139.5"/>
    <n v="125.8"/>
    <n v="119.8"/>
    <n v="124.9"/>
    <n v="123.4"/>
    <n v="116.9"/>
    <n v="121.6"/>
    <n v="119.1"/>
    <n v="108.9"/>
    <n v="118.5"/>
    <n v="126.4"/>
    <n v="114"/>
    <n v="116.8"/>
    <n v="124.2"/>
    <n v="131.49285714285716"/>
    <n v="122.5"/>
    <n v="118.92500000000001"/>
    <n v="1840.9"/>
    <n v="245"/>
    <n v="245.6"/>
    <n v="475.70000000000005"/>
    <n v="3152.1000000000004"/>
  </r>
  <r>
    <x v="2"/>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n v="130.49285714285716"/>
    <n v="123.80000000000001"/>
    <n v="119.77500000000001"/>
    <n v="1826.9"/>
    <n v="247.60000000000002"/>
    <n v="255.4"/>
    <n v="479.1"/>
    <n v="3164.7999999999997"/>
  </r>
  <r>
    <x v="0"/>
    <x v="3"/>
    <s v="February"/>
    <n v="127.1"/>
    <n v="133.69999999999999"/>
    <n v="127.7"/>
    <n v="130.69999999999999"/>
    <n v="118.5"/>
    <n v="130.4"/>
    <n v="130.9"/>
    <n v="162.80000000000001"/>
    <n v="98.7"/>
    <n v="130.6"/>
    <n v="124.8"/>
    <n v="136.4"/>
    <n v="130.30000000000001"/>
    <n v="134.4"/>
    <n v="133.9"/>
    <n v="129.80000000000001"/>
    <n v="133.4"/>
    <n v="139.27096774193564"/>
    <n v="127.5"/>
    <n v="127.1"/>
    <n v="124.3"/>
    <n v="113.9"/>
    <n v="122.3"/>
    <n v="127.1"/>
    <n v="116.8"/>
    <n v="120.9"/>
    <n v="127.9"/>
    <n v="129.78571428571428"/>
    <n v="133.1854838709678"/>
    <n v="121.77499999999999"/>
    <n v="1817"/>
    <n v="266.3709677419356"/>
    <n v="263.70000000000005"/>
    <n v="487.09999999999997"/>
    <n v="3199.8709677419361"/>
  </r>
  <r>
    <x v="1"/>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n v="129.72142857142856"/>
    <n v="123.1"/>
    <n v="119.625"/>
    <n v="1816.1"/>
    <n v="246.2"/>
    <n v="246.3"/>
    <n v="478.5"/>
    <n v="3131.7"/>
  </r>
  <r>
    <x v="2"/>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129.57142857142858"/>
    <n v="124.5"/>
    <n v="120.64999999999999"/>
    <n v="1814"/>
    <n v="249"/>
    <n v="256.7"/>
    <n v="482.59999999999997"/>
    <n v="3159.3"/>
  </r>
  <r>
    <x v="0"/>
    <x v="3"/>
    <s v="March"/>
    <n v="127.3"/>
    <n v="134.4"/>
    <n v="125.1"/>
    <n v="130.5"/>
    <n v="118.3"/>
    <n v="131.69999999999999"/>
    <n v="130.69999999999999"/>
    <n v="161.19999999999999"/>
    <n v="100.4"/>
    <n v="130.80000000000001"/>
    <n v="124.9"/>
    <n v="137"/>
    <n v="130.4"/>
    <n v="135"/>
    <n v="134.4"/>
    <n v="130.19999999999999"/>
    <n v="133.80000000000001"/>
    <n v="139.27096774193564"/>
    <n v="127"/>
    <n v="127.7"/>
    <n v="124.8"/>
    <n v="113.6"/>
    <n v="122.5"/>
    <n v="127.5"/>
    <n v="117.4"/>
    <n v="121.1"/>
    <n v="128"/>
    <n v="129.83571428571432"/>
    <n v="133.48548387096781"/>
    <n v="122.125"/>
    <n v="1817.7000000000003"/>
    <n v="266.97096774193562"/>
    <n v="264.60000000000002"/>
    <n v="488.5"/>
    <n v="3203.1709677419362"/>
  </r>
  <r>
    <x v="1"/>
    <x v="3"/>
    <s v="March"/>
    <n v="124.8"/>
    <n v="136.30000000000001"/>
    <n v="123.7"/>
    <n v="129.69999999999999"/>
    <n v="107.9"/>
    <n v="119.9"/>
    <n v="128.1"/>
    <n v="170.3"/>
    <n v="101.8"/>
    <n v="140.1"/>
    <n v="120.7"/>
    <n v="135.4"/>
    <n v="128.9"/>
    <n v="140.6"/>
    <n v="126.4"/>
    <n v="120.3"/>
    <n v="125.5"/>
    <n v="124.9"/>
    <n v="114.8"/>
    <n v="122.3"/>
    <n v="119.7"/>
    <n v="108.5"/>
    <n v="119.1"/>
    <n v="126.4"/>
    <n v="117.1"/>
    <n v="117.3"/>
    <n v="123.8"/>
    <n v="129.15714285714287"/>
    <n v="123.6"/>
    <n v="119.97499999999999"/>
    <n v="1808.2"/>
    <n v="247.2"/>
    <n v="246.7"/>
    <n v="479.9"/>
    <n v="3125"/>
  </r>
  <r>
    <x v="2"/>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129.40714285714287"/>
    <n v="125"/>
    <n v="121.02500000000001"/>
    <n v="1811.7"/>
    <n v="250"/>
    <n v="257.39999999999998"/>
    <n v="484.1"/>
    <n v="3159.4"/>
  </r>
  <r>
    <x v="0"/>
    <x v="3"/>
    <s v="April"/>
    <n v="127.4"/>
    <n v="135.4"/>
    <n v="123.4"/>
    <n v="131.30000000000001"/>
    <n v="118.2"/>
    <n v="138.1"/>
    <n v="134.1"/>
    <n v="162.69999999999999"/>
    <n v="105"/>
    <n v="131.4"/>
    <n v="125.4"/>
    <n v="137.4"/>
    <n v="131.80000000000001"/>
    <n v="135.5"/>
    <n v="135"/>
    <n v="130.6"/>
    <n v="134.4"/>
    <n v="139.27096774193564"/>
    <n v="127"/>
    <n v="128"/>
    <n v="125.2"/>
    <n v="114.4"/>
    <n v="123.2"/>
    <n v="127.9"/>
    <n v="118.4"/>
    <n v="121.7"/>
    <n v="129"/>
    <n v="131.22142857142859"/>
    <n v="133.63548387096782"/>
    <n v="122.8"/>
    <n v="1837.1000000000004"/>
    <n v="267.27096774193564"/>
    <n v="265.60000000000002"/>
    <n v="491.2"/>
    <n v="3227.7709677419357"/>
  </r>
  <r>
    <x v="1"/>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n v="131.98571428571429"/>
    <n v="124.19999999999999"/>
    <n v="120.72499999999999"/>
    <n v="1847.8"/>
    <n v="248.39999999999998"/>
    <n v="247.3"/>
    <n v="482.9"/>
    <n v="3171"/>
  </r>
  <r>
    <x v="2"/>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131.31428571428572"/>
    <n v="125.55"/>
    <n v="121.72499999999999"/>
    <n v="1838.3999999999999"/>
    <n v="251.1"/>
    <n v="258.20000000000005"/>
    <n v="486.9"/>
    <n v="3192.2"/>
  </r>
  <r>
    <x v="0"/>
    <x v="3"/>
    <s v="May"/>
    <n v="127.6"/>
    <n v="137.5"/>
    <n v="124.4"/>
    <n v="132.4"/>
    <n v="118.2"/>
    <n v="138.1"/>
    <n v="141.80000000000001"/>
    <n v="166"/>
    <n v="107.5"/>
    <n v="132.19999999999999"/>
    <n v="126.1"/>
    <n v="138.30000000000001"/>
    <n v="133.6"/>
    <n v="136"/>
    <n v="135.4"/>
    <n v="131.1"/>
    <n v="134.80000000000001"/>
    <n v="139.27096774193564"/>
    <n v="127.4"/>
    <n v="128.5"/>
    <n v="125.8"/>
    <n v="115.1"/>
    <n v="123.6"/>
    <n v="129.1"/>
    <n v="119.7"/>
    <n v="122.5"/>
    <n v="130.30000000000001"/>
    <n v="132.83571428571426"/>
    <n v="133.88548387096782"/>
    <n v="123.72499999999999"/>
    <n v="1859.6999999999998"/>
    <n v="267.77096774193564"/>
    <n v="266.5"/>
    <n v="494.9"/>
    <n v="3257.1709677419358"/>
  </r>
  <r>
    <x v="1"/>
    <x v="3"/>
    <s v="May"/>
    <n v="125"/>
    <n v="142.1"/>
    <n v="127"/>
    <n v="130.4"/>
    <n v="109.6"/>
    <n v="133.5"/>
    <n v="151.4"/>
    <n v="182.8"/>
    <n v="111.1"/>
    <n v="141.5"/>
    <n v="121.5"/>
    <n v="136.30000000000001"/>
    <n v="134.6"/>
    <n v="142.19999999999999"/>
    <n v="127.2"/>
    <n v="120.7"/>
    <n v="126.2"/>
    <n v="126"/>
    <n v="115"/>
    <n v="123.2"/>
    <n v="120.3"/>
    <n v="110.7"/>
    <n v="119.8"/>
    <n v="128"/>
    <n v="118.5"/>
    <n v="118.7"/>
    <n v="126.6"/>
    <n v="134.92857142857142"/>
    <n v="124.6"/>
    <n v="121.25"/>
    <n v="1888.9999999999998"/>
    <n v="249.2"/>
    <n v="247.9"/>
    <n v="485"/>
    <n v="3217.0999999999995"/>
  </r>
  <r>
    <x v="2"/>
    <x v="3"/>
    <s v="May"/>
    <n v="126.8"/>
    <n v="139.1"/>
    <n v="125.4"/>
    <n v="131.69999999999999"/>
    <n v="115"/>
    <n v="136"/>
    <n v="145.1"/>
    <n v="171.7"/>
    <n v="108.7"/>
    <n v="135.30000000000001"/>
    <n v="124.2"/>
    <n v="137.4"/>
    <n v="134"/>
    <n v="137.69999999999999"/>
    <n v="132.19999999999999"/>
    <n v="126.8"/>
    <n v="131.4"/>
    <n v="126"/>
    <n v="122.7"/>
    <n v="126"/>
    <n v="123.7"/>
    <n v="112.8"/>
    <n v="121.5"/>
    <n v="128.5"/>
    <n v="119.2"/>
    <n v="120.7"/>
    <n v="128.6"/>
    <n v="133.43571428571428"/>
    <n v="126"/>
    <n v="122.47499999999999"/>
    <n v="1868.1000000000001"/>
    <n v="252"/>
    <n v="259"/>
    <n v="489.9"/>
    <n v="3228.2"/>
  </r>
  <r>
    <x v="0"/>
    <x v="3"/>
    <s v="June"/>
    <n v="128.6"/>
    <n v="138.6"/>
    <n v="126.6"/>
    <n v="133.6"/>
    <n v="118.6"/>
    <n v="137.4"/>
    <n v="152.5"/>
    <n v="169.2"/>
    <n v="108.8"/>
    <n v="133.1"/>
    <n v="126.4"/>
    <n v="139.19999999999999"/>
    <n v="136"/>
    <n v="137.19999999999999"/>
    <n v="136.30000000000001"/>
    <n v="131.6"/>
    <n v="135.6"/>
    <n v="139.27096774193564"/>
    <n v="128"/>
    <n v="129.30000000000001"/>
    <n v="126.2"/>
    <n v="116.3"/>
    <n v="124.1"/>
    <n v="130.19999999999999"/>
    <n v="119.9"/>
    <n v="123.3"/>
    <n v="131.9"/>
    <n v="134.69999999999999"/>
    <n v="134.28548387096782"/>
    <n v="124.375"/>
    <n v="1885.8"/>
    <n v="268.57096774193565"/>
    <n v="267.89999999999998"/>
    <n v="497.5"/>
    <n v="3290.2709677419352"/>
  </r>
  <r>
    <x v="1"/>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n v="137.83571428571432"/>
    <n v="124.35"/>
    <n v="121.9"/>
    <n v="1929.7000000000003"/>
    <n v="248.7"/>
    <n v="248.7"/>
    <n v="487.6"/>
    <n v="3263.1000000000004"/>
  </r>
  <r>
    <x v="2"/>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135.66428571428571"/>
    <n v="125.95"/>
    <n v="123.075"/>
    <n v="1899.3"/>
    <n v="251.9"/>
    <n v="260.10000000000002"/>
    <n v="492.3"/>
    <n v="3265.2"/>
  </r>
  <r>
    <x v="0"/>
    <x v="3"/>
    <s v="July"/>
    <n v="129.30000000000001"/>
    <n v="139.5"/>
    <n v="129.6"/>
    <n v="134.5"/>
    <n v="119.5"/>
    <n v="138.5"/>
    <n v="158.19999999999999"/>
    <n v="171.8"/>
    <n v="110.3"/>
    <n v="134.30000000000001"/>
    <n v="127.3"/>
    <n v="139.9"/>
    <n v="137.6"/>
    <n v="138"/>
    <n v="137.19999999999999"/>
    <n v="132.19999999999999"/>
    <n v="136.5"/>
    <n v="139.27096774193564"/>
    <n v="128.19999999999999"/>
    <n v="130"/>
    <n v="126.7"/>
    <n v="116.4"/>
    <n v="125.2"/>
    <n v="130.80000000000001"/>
    <n v="120.9"/>
    <n v="123.8"/>
    <n v="133"/>
    <n v="136.30714285714285"/>
    <n v="134.63548387096782"/>
    <n v="125.175"/>
    <n v="1908.2999999999997"/>
    <n v="269.27096774193564"/>
    <n v="269.39999999999998"/>
    <n v="500.7"/>
    <n v="3318.9709677419351"/>
  </r>
  <r>
    <x v="1"/>
    <x v="3"/>
    <s v="July"/>
    <n v="126.8"/>
    <n v="144.19999999999999"/>
    <n v="136.6"/>
    <n v="131.80000000000001"/>
    <n v="111"/>
    <n v="137"/>
    <n v="179.5"/>
    <n v="188.4"/>
    <n v="113.3"/>
    <n v="143.9"/>
    <n v="121.7"/>
    <n v="137.5"/>
    <n v="139.80000000000001"/>
    <n v="142.9"/>
    <n v="127.9"/>
    <n v="121.1"/>
    <n v="126.9"/>
    <n v="126.4"/>
    <n v="115.5"/>
    <n v="123.5"/>
    <n v="120.9"/>
    <n v="111.7"/>
    <n v="120.3"/>
    <n v="130.80000000000001"/>
    <n v="120"/>
    <n v="119.9"/>
    <n v="129"/>
    <n v="139.60000000000002"/>
    <n v="124.95"/>
    <n v="122.75000000000001"/>
    <n v="1954.4000000000003"/>
    <n v="249.9"/>
    <n v="249"/>
    <n v="491.00000000000006"/>
    <n v="3292.4"/>
  </r>
  <r>
    <x v="2"/>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137.34285714285713"/>
    <n v="126.65"/>
    <n v="123.9"/>
    <n v="1922.8"/>
    <n v="253.3"/>
    <n v="261.10000000000002"/>
    <n v="495.6"/>
    <n v="3294.6000000000004"/>
  </r>
  <r>
    <x v="0"/>
    <x v="3"/>
    <s v="August"/>
    <n v="130.1"/>
    <n v="138.80000000000001"/>
    <n v="130.30000000000001"/>
    <n v="135.30000000000001"/>
    <n v="119.9"/>
    <n v="140.19999999999999"/>
    <n v="156.9"/>
    <n v="172.2"/>
    <n v="112.1"/>
    <n v="134.9"/>
    <n v="128.1"/>
    <n v="140.69999999999999"/>
    <n v="138"/>
    <n v="138.9"/>
    <n v="137.80000000000001"/>
    <n v="133"/>
    <n v="137.1"/>
    <n v="139.27096774193564"/>
    <n v="129.1"/>
    <n v="130.6"/>
    <n v="127"/>
    <n v="116"/>
    <n v="125.5"/>
    <n v="131.9"/>
    <n v="122"/>
    <n v="124.2"/>
    <n v="133.5"/>
    <n v="136.88571428571427"/>
    <n v="134.9354838709678"/>
    <n v="125.9"/>
    <n v="1916.3999999999999"/>
    <n v="269.8709677419356"/>
    <n v="270.8"/>
    <n v="503.6"/>
    <n v="3332.7709677419357"/>
  </r>
  <r>
    <x v="1"/>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137.68571428571425"/>
    <n v="125.6"/>
    <n v="123.22499999999999"/>
    <n v="1927.5999999999995"/>
    <n v="251.2"/>
    <n v="249.70000000000002"/>
    <n v="492.9"/>
    <n v="3267.6999999999994"/>
  </r>
  <r>
    <x v="2"/>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137.00714285714287"/>
    <n v="127.35"/>
    <n v="124.49999999999999"/>
    <n v="1918.1000000000001"/>
    <n v="254.7"/>
    <n v="262.29999999999995"/>
    <n v="497.99999999999994"/>
    <n v="3294.6000000000004"/>
  </r>
  <r>
    <x v="0"/>
    <x v="3"/>
    <s v="September"/>
    <n v="130.80000000000001"/>
    <n v="138.19999999999999"/>
    <n v="130.5"/>
    <n v="135.5"/>
    <n v="120.2"/>
    <n v="139.19999999999999"/>
    <n v="149.5"/>
    <n v="170.4"/>
    <n v="113.1"/>
    <n v="135.80000000000001"/>
    <n v="128.80000000000001"/>
    <n v="141.5"/>
    <n v="137.19999999999999"/>
    <n v="139.9"/>
    <n v="138.5"/>
    <n v="133.5"/>
    <n v="137.80000000000001"/>
    <n v="139.27096774193564"/>
    <n v="129.69999999999999"/>
    <n v="131.1"/>
    <n v="127.8"/>
    <n v="117"/>
    <n v="125.7"/>
    <n v="132.19999999999999"/>
    <n v="122.8"/>
    <n v="124.9"/>
    <n v="133.4"/>
    <n v="136.47142857142859"/>
    <n v="135.1854838709678"/>
    <n v="126.39999999999999"/>
    <n v="1910.6000000000001"/>
    <n v="270.3709677419356"/>
    <n v="272"/>
    <n v="505.59999999999997"/>
    <n v="3333.0709677419354"/>
  </r>
  <r>
    <x v="1"/>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135.73571428571427"/>
    <n v="126.1"/>
    <n v="123.52499999999999"/>
    <n v="1900.2999999999997"/>
    <n v="252.2"/>
    <n v="250.29999999999998"/>
    <n v="494.09999999999997"/>
    <n v="3244.9"/>
  </r>
  <r>
    <x v="2"/>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136.04999999999998"/>
    <n v="127.9"/>
    <n v="124.9"/>
    <n v="1904.6999999999998"/>
    <n v="255.8"/>
    <n v="263.2"/>
    <n v="499.6"/>
    <n v="3287.1"/>
  </r>
  <r>
    <x v="0"/>
    <x v="3"/>
    <s v="October"/>
    <n v="131.30000000000001"/>
    <n v="137.6"/>
    <n v="130.1"/>
    <n v="136"/>
    <n v="120.8"/>
    <n v="138.4"/>
    <n v="149.19999999999999"/>
    <n v="170.2"/>
    <n v="113.4"/>
    <n v="136.30000000000001"/>
    <n v="128.69999999999999"/>
    <n v="142.4"/>
    <n v="137.4"/>
    <n v="140.9"/>
    <n v="139.6"/>
    <n v="134.30000000000001"/>
    <n v="138.80000000000001"/>
    <n v="139.27096774193564"/>
    <n v="129.80000000000001"/>
    <n v="131.80000000000001"/>
    <n v="128.69999999999999"/>
    <n v="117.8"/>
    <n v="126.5"/>
    <n v="133"/>
    <n v="123"/>
    <n v="125.7"/>
    <n v="133.80000000000001"/>
    <n v="136.62142857142859"/>
    <n v="135.53548387096782"/>
    <n v="127.05"/>
    <n v="1912.7000000000003"/>
    <n v="271.07096774193565"/>
    <n v="273.89999999999998"/>
    <n v="508.2"/>
    <n v="3342.1709677419358"/>
  </r>
  <r>
    <x v="1"/>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36.22857142857143"/>
    <n v="126.6"/>
    <n v="123.7"/>
    <n v="1907.1999999999998"/>
    <n v="253.2"/>
    <n v="251"/>
    <n v="494.8"/>
    <n v="3256"/>
  </r>
  <r>
    <x v="2"/>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36.32857142857139"/>
    <n v="128.55000000000001"/>
    <n v="125.35"/>
    <n v="1908.5999999999995"/>
    <n v="257.10000000000002"/>
    <n v="264.60000000000002"/>
    <n v="501.4"/>
    <n v="3297.2999999999993"/>
  </r>
  <r>
    <x v="0"/>
    <x v="3"/>
    <s v="November"/>
    <n v="132"/>
    <n v="137.4"/>
    <n v="130.6"/>
    <n v="136.19999999999999"/>
    <n v="121.1"/>
    <n v="136.9"/>
    <n v="141.80000000000001"/>
    <n v="170"/>
    <n v="113.4"/>
    <n v="136.80000000000001"/>
    <n v="128.69999999999999"/>
    <n v="143.1"/>
    <n v="136.6"/>
    <n v="141.19999999999999"/>
    <n v="139.9"/>
    <n v="134.5"/>
    <n v="139.19999999999999"/>
    <n v="139.27096774193564"/>
    <n v="130.30000000000001"/>
    <n v="132.1"/>
    <n v="129.1"/>
    <n v="118.2"/>
    <n v="126.9"/>
    <n v="133.69999999999999"/>
    <n v="123.5"/>
    <n v="126.1"/>
    <n v="133.6"/>
    <n v="136.12857142857143"/>
    <n v="135.6854838709678"/>
    <n v="127.54999999999998"/>
    <n v="1905.8"/>
    <n v="271.3709677419356"/>
    <n v="274.39999999999998"/>
    <n v="510.19999999999993"/>
    <n v="3339.3709677419351"/>
  </r>
  <r>
    <x v="1"/>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35.67857142857142"/>
    <n v="126.9"/>
    <n v="124.1"/>
    <n v="1899.5"/>
    <n v="253.8"/>
    <n v="251.7"/>
    <n v="496.4"/>
    <n v="3253.0999999999995"/>
  </r>
  <r>
    <x v="2"/>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35.84285714285713"/>
    <n v="128.85"/>
    <n v="125.8"/>
    <n v="1901.8"/>
    <n v="257.7"/>
    <n v="265.10000000000002"/>
    <n v="503.2"/>
    <n v="3294.9"/>
  </r>
  <r>
    <x v="0"/>
    <x v="3"/>
    <s v="December"/>
    <n v="132.6"/>
    <n v="137.30000000000001"/>
    <n v="131.6"/>
    <n v="136.30000000000001"/>
    <n v="121.6"/>
    <n v="135.6"/>
    <n v="127.5"/>
    <n v="167.9"/>
    <n v="113.8"/>
    <n v="137.5"/>
    <n v="129.1"/>
    <n v="143.6"/>
    <n v="134.69999999999999"/>
    <n v="142.4"/>
    <n v="140.4"/>
    <n v="135.19999999999999"/>
    <n v="139.69999999999999"/>
    <n v="139.27096774193564"/>
    <n v="132"/>
    <n v="132.9"/>
    <n v="129.69999999999999"/>
    <n v="118.6"/>
    <n v="127.3"/>
    <n v="134.19999999999999"/>
    <n v="121.9"/>
    <n v="126.3"/>
    <n v="132.80000000000001"/>
    <n v="135.10714285714286"/>
    <n v="136.08548387096783"/>
    <n v="127.425"/>
    <n v="1891.5"/>
    <n v="272.17096774193567"/>
    <n v="275.60000000000002"/>
    <n v="509.7"/>
    <n v="3329.2709677419352"/>
  </r>
  <r>
    <x v="1"/>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33.91428571428571"/>
    <n v="126.75"/>
    <n v="123.85000000000001"/>
    <n v="1874.8"/>
    <n v="253.5"/>
    <n v="252.2"/>
    <n v="495.40000000000003"/>
    <n v="3229.7000000000003"/>
  </r>
  <r>
    <x v="2"/>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34.55714285714285"/>
    <n v="128.85"/>
    <n v="125.575"/>
    <n v="1883.8"/>
    <n v="257.7"/>
    <n v="266.10000000000002"/>
    <n v="502.3"/>
    <n v="3279.4"/>
  </r>
  <r>
    <x v="0"/>
    <x v="4"/>
    <s v="January"/>
    <n v="133.1"/>
    <n v="137.80000000000001"/>
    <n v="131.9"/>
    <n v="136.69999999999999"/>
    <n v="122"/>
    <n v="136"/>
    <n v="119.8"/>
    <n v="161.69999999999999"/>
    <n v="114.8"/>
    <n v="136.9"/>
    <n v="129"/>
    <n v="143.9"/>
    <n v="133.69999999999999"/>
    <n v="143.1"/>
    <n v="140.69999999999999"/>
    <n v="135.80000000000001"/>
    <n v="140"/>
    <n v="139.27096774193564"/>
    <n v="132.1"/>
    <n v="133.19999999999999"/>
    <n v="129.9"/>
    <n v="119.1"/>
    <n v="127"/>
    <n v="134.6"/>
    <n v="122.3"/>
    <n v="126.6"/>
    <n v="132.4"/>
    <n v="134.31428571428572"/>
    <n v="136.23548387096781"/>
    <n v="127.625"/>
    <n v="1880.4"/>
    <n v="272.47096774193562"/>
    <n v="276.5"/>
    <n v="510.5"/>
    <n v="3320.9709677419355"/>
  </r>
  <r>
    <x v="1"/>
    <x v="4"/>
    <s v="January"/>
    <n v="132.19999999999999"/>
    <n v="138.9"/>
    <n v="132.6"/>
    <n v="133.1"/>
    <n v="114"/>
    <n v="129.6"/>
    <n v="118.7"/>
    <n v="155.1"/>
    <n v="117.3"/>
    <n v="144.9"/>
    <n v="123.2"/>
    <n v="141.6"/>
    <n v="132"/>
    <n v="145.6"/>
    <n v="130.19999999999999"/>
    <n v="122.3"/>
    <n v="129"/>
    <n v="129.6"/>
    <n v="118"/>
    <n v="125.1"/>
    <n v="122.6"/>
    <n v="115.2"/>
    <n v="122"/>
    <n v="132.4"/>
    <n v="120.9"/>
    <n v="122.1"/>
    <n v="127.8"/>
    <n v="132.77142857142857"/>
    <n v="127.35"/>
    <n v="124.35"/>
    <n v="1858.8"/>
    <n v="254.7"/>
    <n v="252.5"/>
    <n v="497.4"/>
    <n v="3219.1999999999994"/>
  </r>
  <r>
    <x v="2"/>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33.64999999999995"/>
    <n v="129.5"/>
    <n v="125.9"/>
    <n v="1871.0999999999995"/>
    <n v="259"/>
    <n v="266.79999999999995"/>
    <n v="503.6"/>
    <n v="3271.3999999999996"/>
  </r>
  <r>
    <x v="0"/>
    <x v="4"/>
    <s v="February"/>
    <n v="133.30000000000001"/>
    <n v="138.30000000000001"/>
    <n v="129.30000000000001"/>
    <n v="137.19999999999999"/>
    <n v="122.1"/>
    <n v="138.69999999999999"/>
    <n v="119.1"/>
    <n v="156.9"/>
    <n v="116.2"/>
    <n v="136"/>
    <n v="129.4"/>
    <n v="144.4"/>
    <n v="133.6"/>
    <n v="143.69999999999999"/>
    <n v="140.9"/>
    <n v="135.80000000000001"/>
    <n v="140.19999999999999"/>
    <n v="139.27096774193564"/>
    <n v="133.19999999999999"/>
    <n v="133.6"/>
    <n v="130.1"/>
    <n v="119.5"/>
    <n v="127.7"/>
    <n v="134.9"/>
    <n v="123.2"/>
    <n v="127"/>
    <n v="132.6"/>
    <n v="134.15714285714287"/>
    <n v="136.4354838709678"/>
    <n v="128.20000000000002"/>
    <n v="1878.2000000000003"/>
    <n v="272.8709677419356"/>
    <n v="276.70000000000005"/>
    <n v="512.80000000000007"/>
    <n v="3323.3709677419356"/>
  </r>
  <r>
    <x v="1"/>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132.25714285714287"/>
    <n v="127.9"/>
    <n v="124.675"/>
    <n v="1851.6000000000001"/>
    <n v="255.8"/>
    <n v="253"/>
    <n v="498.7"/>
    <n v="3216.7000000000003"/>
  </r>
  <r>
    <x v="2"/>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133.33571428571432"/>
    <n v="130.1"/>
    <n v="126.35"/>
    <n v="1866.7000000000003"/>
    <n v="260.2"/>
    <n v="267.10000000000002"/>
    <n v="505.4"/>
    <n v="3272.1000000000008"/>
  </r>
  <r>
    <x v="0"/>
    <x v="4"/>
    <s v="March"/>
    <n v="133.6"/>
    <n v="138.80000000000001"/>
    <n v="128.80000000000001"/>
    <n v="137.19999999999999"/>
    <n v="121.6"/>
    <n v="139.69999999999999"/>
    <n v="119.7"/>
    <n v="148"/>
    <n v="116.9"/>
    <n v="135.6"/>
    <n v="129.80000000000001"/>
    <n v="145.4"/>
    <n v="133.4"/>
    <n v="144.19999999999999"/>
    <n v="141.6"/>
    <n v="136.19999999999999"/>
    <n v="140.80000000000001"/>
    <n v="139.27096774193564"/>
    <n v="134.19999999999999"/>
    <n v="134.1"/>
    <n v="130.6"/>
    <n v="119.8"/>
    <n v="128.30000000000001"/>
    <n v="135.19999999999999"/>
    <n v="123.3"/>
    <n v="127.4"/>
    <n v="132.80000000000001"/>
    <n v="133.76428571428573"/>
    <n v="136.6854838709678"/>
    <n v="128.55000000000001"/>
    <n v="1872.7000000000003"/>
    <n v="273.3709677419356"/>
    <n v="277.79999999999995"/>
    <n v="514.20000000000005"/>
    <n v="3322.6709677419358"/>
  </r>
  <r>
    <x v="1"/>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132.37142857142857"/>
    <n v="128.35"/>
    <n v="124.875"/>
    <n v="1853.1999999999998"/>
    <n v="256.7"/>
    <n v="253.60000000000002"/>
    <n v="499.5"/>
    <n v="3222.5"/>
  </r>
  <r>
    <x v="2"/>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133.14285714285714"/>
    <n v="130.6"/>
    <n v="126.625"/>
    <n v="1864"/>
    <n v="261.2"/>
    <n v="267.89999999999998"/>
    <n v="506.5"/>
    <n v="3274.1"/>
  </r>
  <r>
    <x v="0"/>
    <x v="4"/>
    <s v="April"/>
    <n v="133.19999999999999"/>
    <n v="138.69999999999999"/>
    <n v="127.1"/>
    <n v="137.69999999999999"/>
    <n v="121.3"/>
    <n v="141.80000000000001"/>
    <n v="121.5"/>
    <n v="144.5"/>
    <n v="117.4"/>
    <n v="134.1"/>
    <n v="130"/>
    <n v="145.5"/>
    <n v="133.5"/>
    <n v="144.4"/>
    <n v="142.4"/>
    <n v="136.80000000000001"/>
    <n v="141.6"/>
    <n v="139.27096774193564"/>
    <n v="135"/>
    <n v="134.30000000000001"/>
    <n v="131"/>
    <n v="119.2"/>
    <n v="128.30000000000001"/>
    <n v="135.69999999999999"/>
    <n v="123.7"/>
    <n v="127.5"/>
    <n v="132.9"/>
    <n v="133.62142857142857"/>
    <n v="136.78548387096782"/>
    <n v="128.80000000000001"/>
    <n v="1870.7"/>
    <n v="273.57096774193565"/>
    <n v="279.20000000000005"/>
    <n v="515.20000000000005"/>
    <n v="3323.8709677419356"/>
  </r>
  <r>
    <x v="1"/>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132.57857142857142"/>
    <n v="128.85"/>
    <n v="125.22499999999999"/>
    <n v="1856.1"/>
    <n v="257.7"/>
    <n v="254.2"/>
    <n v="500.9"/>
    <n v="3228"/>
  </r>
  <r>
    <x v="2"/>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n v="133.12857142857143"/>
    <n v="131.05000000000001"/>
    <n v="126.94999999999999"/>
    <n v="1863.8000000000002"/>
    <n v="262.10000000000002"/>
    <n v="269.10000000000002"/>
    <n v="507.79999999999995"/>
    <n v="3277.3"/>
  </r>
  <r>
    <x v="0"/>
    <x v="4"/>
    <s v="May"/>
    <n v="133.1"/>
    <n v="140.30000000000001"/>
    <n v="126.8"/>
    <n v="138.19999999999999"/>
    <n v="120.8"/>
    <n v="140.19999999999999"/>
    <n v="123.8"/>
    <n v="141.80000000000001"/>
    <n v="118.6"/>
    <n v="134"/>
    <n v="130.30000000000001"/>
    <n v="145.80000000000001"/>
    <n v="133.80000000000001"/>
    <n v="145.5"/>
    <n v="142.5"/>
    <n v="137.30000000000001"/>
    <n v="141.80000000000001"/>
    <n v="139.27096774193564"/>
    <n v="135"/>
    <n v="134.9"/>
    <n v="131.4"/>
    <n v="119.4"/>
    <n v="129.4"/>
    <n v="136.30000000000001"/>
    <n v="123.7"/>
    <n v="127.9"/>
    <n v="133.30000000000001"/>
    <n v="133.78571428571425"/>
    <n v="137.08548387096783"/>
    <n v="129.32500000000002"/>
    <n v="1872.9999999999995"/>
    <n v="274.17096774193567"/>
    <n v="279.8"/>
    <n v="517.30000000000007"/>
    <n v="3330.0709677419354"/>
  </r>
  <r>
    <x v="1"/>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132.70714285714286"/>
    <n v="129.30000000000001"/>
    <n v="125.3"/>
    <n v="1857.8999999999999"/>
    <n v="258.60000000000002"/>
    <n v="254.7"/>
    <n v="501.2"/>
    <n v="3230.3999999999996"/>
  </r>
  <r>
    <x v="2"/>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133.27142857142857"/>
    <n v="131.5"/>
    <n v="127.2"/>
    <n v="1865.8000000000002"/>
    <n v="263"/>
    <n v="269.60000000000002"/>
    <n v="508.8"/>
    <n v="3281.7000000000003"/>
  </r>
  <r>
    <x v="0"/>
    <x v="4"/>
    <s v="June"/>
    <n v="133.5"/>
    <n v="143.69999999999999"/>
    <n v="128"/>
    <n v="138.6"/>
    <n v="120.9"/>
    <n v="140.9"/>
    <n v="128.80000000000001"/>
    <n v="140.19999999999999"/>
    <n v="118.9"/>
    <n v="133.5"/>
    <n v="130.4"/>
    <n v="146.5"/>
    <n v="134.9"/>
    <n v="145.80000000000001"/>
    <n v="143.1"/>
    <n v="137.69999999999999"/>
    <n v="142.30000000000001"/>
    <n v="139.27096774193564"/>
    <n v="134.80000000000001"/>
    <n v="135.19999999999999"/>
    <n v="131.30000000000001"/>
    <n v="119.4"/>
    <n v="129.80000000000001"/>
    <n v="136.9"/>
    <n v="124.1"/>
    <n v="128.1"/>
    <n v="133.9"/>
    <n v="134.61428571428573"/>
    <n v="137.23548387096781"/>
    <n v="129.72500000000002"/>
    <n v="1884.6000000000001"/>
    <n v="274.47096774193562"/>
    <n v="280.79999999999995"/>
    <n v="518.90000000000009"/>
    <n v="3344.2709677419366"/>
  </r>
  <r>
    <x v="1"/>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134.25714285714287"/>
    <n v="129.1"/>
    <n v="125.6"/>
    <n v="1879.6000000000001"/>
    <n v="258.2"/>
    <n v="254.7"/>
    <n v="502.4"/>
    <n v="3251.6000000000004"/>
  </r>
  <r>
    <x v="2"/>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134.37142857142857"/>
    <n v="131.30000000000001"/>
    <n v="127.55000000000001"/>
    <n v="1881.2"/>
    <n v="262.60000000000002"/>
    <n v="270.2"/>
    <n v="510.20000000000005"/>
    <n v="3298"/>
  </r>
  <r>
    <x v="0"/>
    <x v="4"/>
    <s v="July"/>
    <n v="134"/>
    <n v="144.19999999999999"/>
    <n v="129.80000000000001"/>
    <n v="139"/>
    <n v="120.9"/>
    <n v="143.9"/>
    <n v="151.5"/>
    <n v="138.1"/>
    <n v="120"/>
    <n v="133.9"/>
    <n v="131.4"/>
    <n v="147.69999999999999"/>
    <n v="138.5"/>
    <n v="147.4"/>
    <n v="144.30000000000001"/>
    <n v="138.1"/>
    <n v="143.5"/>
    <n v="139.27096774193564"/>
    <n v="135.30000000000001"/>
    <n v="136.1"/>
    <n v="132.1"/>
    <n v="119.1"/>
    <n v="130.6"/>
    <n v="138.6"/>
    <n v="124.4"/>
    <n v="128.6"/>
    <n v="136.19999999999999"/>
    <n v="137.16428571428574"/>
    <n v="137.6854838709678"/>
    <n v="130.55000000000001"/>
    <n v="1920.3000000000002"/>
    <n v="275.3709677419356"/>
    <n v="282.39999999999998"/>
    <n v="522.20000000000005"/>
    <n v="3386.7709677419357"/>
  </r>
  <r>
    <x v="1"/>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137.04285714285714"/>
    <n v="129.9"/>
    <n v="126.1"/>
    <n v="1918.6"/>
    <n v="259.8"/>
    <n v="255.3"/>
    <n v="504.4"/>
    <n v="3295.9999999999995"/>
  </r>
  <r>
    <x v="2"/>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136.97142857142856"/>
    <n v="132.25"/>
    <n v="128.22499999999999"/>
    <n v="1917.6"/>
    <n v="264.5"/>
    <n v="271.39999999999998"/>
    <n v="512.9"/>
    <n v="3341.2"/>
  </r>
  <r>
    <x v="0"/>
    <x v="4"/>
    <s v="August"/>
    <n v="134.80000000000001"/>
    <n v="143.1"/>
    <n v="130"/>
    <n v="139.4"/>
    <n v="120.5"/>
    <n v="148"/>
    <n v="162.9"/>
    <n v="137.4"/>
    <n v="120.8"/>
    <n v="134.69999999999999"/>
    <n v="131.6"/>
    <n v="148.69999999999999"/>
    <n v="140.6"/>
    <n v="149"/>
    <n v="145.30000000000001"/>
    <n v="139.19999999999999"/>
    <n v="144.5"/>
    <n v="139.27096774193564"/>
    <n v="136.4"/>
    <n v="137.30000000000001"/>
    <n v="133"/>
    <n v="120.3"/>
    <n v="131.5"/>
    <n v="140.19999999999999"/>
    <n v="125.4"/>
    <n v="129.69999999999999"/>
    <n v="137.80000000000001"/>
    <n v="138.67857142857142"/>
    <n v="138.28548387096782"/>
    <n v="131.69999999999999"/>
    <n v="1941.4999999999998"/>
    <n v="276.57096774193565"/>
    <n v="284.5"/>
    <n v="526.79999999999995"/>
    <n v="3419.0709677419359"/>
  </r>
  <r>
    <x v="1"/>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137.50714285714284"/>
    <n v="131.05000000000001"/>
    <n v="126.72499999999999"/>
    <n v="1925.0999999999997"/>
    <n v="262.10000000000002"/>
    <n v="257"/>
    <n v="506.9"/>
    <n v="3310.2999999999993"/>
  </r>
  <r>
    <x v="2"/>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138.1142857142857"/>
    <n v="133.60000000000002"/>
    <n v="129.04999999999998"/>
    <n v="1933.6"/>
    <n v="267.20000000000005"/>
    <n v="273.3"/>
    <n v="516.19999999999993"/>
    <n v="3367.6000000000004"/>
  </r>
  <r>
    <x v="0"/>
    <x v="4"/>
    <s v="September"/>
    <n v="135.19999999999999"/>
    <n v="142"/>
    <n v="130.5"/>
    <n v="140.19999999999999"/>
    <n v="120.7"/>
    <n v="147.80000000000001"/>
    <n v="154.5"/>
    <n v="137.1"/>
    <n v="121"/>
    <n v="134.69999999999999"/>
    <n v="131.69999999999999"/>
    <n v="149.30000000000001"/>
    <n v="139.6"/>
    <n v="149.80000000000001"/>
    <n v="146.1"/>
    <n v="139.69999999999999"/>
    <n v="145.19999999999999"/>
    <n v="139.27096774193564"/>
    <n v="137.4"/>
    <n v="137.9"/>
    <n v="133.4"/>
    <n v="121.2"/>
    <n v="132.30000000000001"/>
    <n v="139.6"/>
    <n v="126.7"/>
    <n v="130.30000000000001"/>
    <n v="137.6"/>
    <n v="138.15"/>
    <n v="138.58548387096783"/>
    <n v="132.22500000000002"/>
    <n v="1934.1"/>
    <n v="277.17096774193567"/>
    <n v="285.79999999999995"/>
    <n v="528.90000000000009"/>
    <n v="3417.9709677419355"/>
  </r>
  <r>
    <x v="1"/>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135.94999999999999"/>
    <n v="131.89999999999998"/>
    <n v="127.325"/>
    <n v="1903.3"/>
    <n v="263.79999999999995"/>
    <n v="257.89999999999998"/>
    <n v="509.3"/>
    <n v="3296.7"/>
  </r>
  <r>
    <x v="2"/>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137.19999999999999"/>
    <n v="134.5"/>
    <n v="129.625"/>
    <n v="1920.7999999999997"/>
    <n v="269"/>
    <n v="274.5"/>
    <n v="518.5"/>
    <n v="3362.7"/>
  </r>
  <r>
    <x v="0"/>
    <x v="4"/>
    <s v="October"/>
    <n v="135.9"/>
    <n v="141.9"/>
    <n v="131"/>
    <n v="141.5"/>
    <n v="121.4"/>
    <n v="146.69999999999999"/>
    <n v="157.1"/>
    <n v="136.4"/>
    <n v="121.4"/>
    <n v="135.6"/>
    <n v="131.30000000000001"/>
    <n v="150.30000000000001"/>
    <n v="140.4"/>
    <n v="150.5"/>
    <n v="147.19999999999999"/>
    <n v="140.6"/>
    <n v="146.19999999999999"/>
    <n v="139.27096774193564"/>
    <n v="138.1"/>
    <n v="138.4"/>
    <n v="134.19999999999999"/>
    <n v="121"/>
    <n v="133"/>
    <n v="140.1"/>
    <n v="127.4"/>
    <n v="130.69999999999999"/>
    <n v="138.30000000000001"/>
    <n v="138.67142857142855"/>
    <n v="138.83548387096783"/>
    <n v="132.80000000000001"/>
    <n v="1941.3999999999999"/>
    <n v="277.67096774193567"/>
    <n v="287.79999999999995"/>
    <n v="531.20000000000005"/>
    <n v="3431.3709677419351"/>
  </r>
  <r>
    <x v="1"/>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37.16428571428568"/>
    <n v="132.80000000000001"/>
    <n v="127.55"/>
    <n v="1920.2999999999997"/>
    <n v="265.60000000000002"/>
    <n v="258.89999999999998"/>
    <n v="510.2"/>
    <n v="3319.1999999999994"/>
  </r>
  <r>
    <x v="2"/>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37.94999999999999"/>
    <n v="135.44999999999999"/>
    <n v="130.05000000000001"/>
    <n v="1931.2999999999997"/>
    <n v="270.89999999999998"/>
    <n v="276.10000000000002"/>
    <n v="520.20000000000005"/>
    <n v="3379.8"/>
  </r>
  <r>
    <x v="0"/>
    <x v="4"/>
    <s v="November"/>
    <n v="136.30000000000001"/>
    <n v="142.5"/>
    <n v="140.5"/>
    <n v="141.5"/>
    <n v="121.6"/>
    <n v="147.30000000000001"/>
    <n v="168"/>
    <n v="135.80000000000001"/>
    <n v="122.5"/>
    <n v="136"/>
    <n v="131.9"/>
    <n v="151.4"/>
    <n v="142.4"/>
    <n v="152.1"/>
    <n v="148.19999999999999"/>
    <n v="141.5"/>
    <n v="147.30000000000001"/>
    <n v="139.27096774193564"/>
    <n v="141.1"/>
    <n v="139.4"/>
    <n v="135.80000000000001"/>
    <n v="121.6"/>
    <n v="133.69999999999999"/>
    <n v="141.5"/>
    <n v="128.1"/>
    <n v="131.69999999999999"/>
    <n v="140"/>
    <n v="140.70000000000002"/>
    <n v="139.33548387096783"/>
    <n v="133.75"/>
    <n v="1969.8000000000002"/>
    <n v="278.67096774193567"/>
    <n v="289.7"/>
    <n v="535"/>
    <n v="3471.6709677419358"/>
  </r>
  <r>
    <x v="1"/>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39.49285714285716"/>
    <n v="133.69999999999999"/>
    <n v="127.875"/>
    <n v="1952.9"/>
    <n v="267.39999999999998"/>
    <n v="260.39999999999998"/>
    <n v="511.5"/>
    <n v="3360.6"/>
  </r>
  <r>
    <x v="2"/>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140.1"/>
    <n v="136.5"/>
    <n v="130.67499999999998"/>
    <n v="1961.4"/>
    <n v="273"/>
    <n v="277.8"/>
    <n v="522.69999999999993"/>
    <n v="3421.1000000000004"/>
  </r>
  <r>
    <x v="0"/>
    <x v="4"/>
    <s v="December"/>
    <n v="136.4"/>
    <n v="143.69999999999999"/>
    <n v="144.80000000000001"/>
    <n v="141.9"/>
    <n v="123.1"/>
    <n v="147.19999999999999"/>
    <n v="161"/>
    <n v="133.80000000000001"/>
    <n v="121.9"/>
    <n v="135.80000000000001"/>
    <n v="131.1"/>
    <n v="151.4"/>
    <n v="141.5"/>
    <n v="153.19999999999999"/>
    <n v="148"/>
    <n v="141.9"/>
    <n v="147.19999999999999"/>
    <n v="139.27096774193564"/>
    <n v="142.6"/>
    <n v="139.5"/>
    <n v="136.1"/>
    <n v="122"/>
    <n v="133.4"/>
    <n v="141.1"/>
    <n v="127.8"/>
    <n v="131.9"/>
    <n v="139.80000000000001"/>
    <n v="140.48571428571429"/>
    <n v="139.38548387096782"/>
    <n v="133.54999999999998"/>
    <n v="1966.8000000000002"/>
    <n v="278.77096774193564"/>
    <n v="289.89999999999998"/>
    <n v="534.19999999999993"/>
    <n v="3470.3709677419356"/>
  </r>
  <r>
    <x v="1"/>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37.46428571428572"/>
    <n v="134.19999999999999"/>
    <n v="128"/>
    <n v="1924.5"/>
    <n v="268.39999999999998"/>
    <n v="261.2"/>
    <n v="512"/>
    <n v="3336.4"/>
  </r>
  <r>
    <x v="2"/>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139.22857142857143"/>
    <n v="136.89999999999998"/>
    <n v="130.65"/>
    <n v="1949.1999999999998"/>
    <n v="273.79999999999995"/>
    <n v="278.2"/>
    <n v="522.6"/>
    <n v="3411.9999999999995"/>
  </r>
  <r>
    <x v="0"/>
    <x v="5"/>
    <s v="January"/>
    <n v="136.6"/>
    <n v="144.4"/>
    <n v="143.80000000000001"/>
    <n v="142"/>
    <n v="123.2"/>
    <n v="147.9"/>
    <n v="152.1"/>
    <n v="131.80000000000001"/>
    <n v="119.5"/>
    <n v="136"/>
    <n v="131.19999999999999"/>
    <n v="151.80000000000001"/>
    <n v="140.4"/>
    <n v="153.6"/>
    <n v="148.30000000000001"/>
    <n v="142.30000000000001"/>
    <n v="147.5"/>
    <n v="139.27096774193564"/>
    <n v="142.30000000000001"/>
    <n v="139.80000000000001"/>
    <n v="136"/>
    <n v="122.7"/>
    <n v="134.30000000000001"/>
    <n v="141.6"/>
    <n v="128.6"/>
    <n v="132.30000000000001"/>
    <n v="139.30000000000001"/>
    <n v="139.59285714285713"/>
    <n v="139.53548387096782"/>
    <n v="134.19999999999999"/>
    <n v="1954.3"/>
    <n v="279.07096774193565"/>
    <n v="290.60000000000002"/>
    <n v="536.79999999999995"/>
    <n v="3461.7709677419352"/>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36.14285714285717"/>
    <n v="134.94999999999999"/>
    <n v="128.65"/>
    <n v="1906.0000000000002"/>
    <n v="269.89999999999998"/>
    <n v="261.89999999999998"/>
    <n v="514.6"/>
    <n v="3325.0000000000009"/>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138.18571428571428"/>
    <n v="137.65"/>
    <n v="131.27499999999998"/>
    <n v="1934.6000000000001"/>
    <n v="275.3"/>
    <n v="279"/>
    <n v="525.09999999999991"/>
    <n v="3403.2000000000003"/>
  </r>
  <r>
    <x v="0"/>
    <x v="5"/>
    <s v="February"/>
    <n v="136.4"/>
    <n v="143.69999999999999"/>
    <n v="140.6"/>
    <n v="141.5"/>
    <n v="122.9"/>
    <n v="149.4"/>
    <n v="142.4"/>
    <n v="130.19999999999999"/>
    <n v="117.9"/>
    <n v="135.6"/>
    <n v="130.5"/>
    <n v="151.69999999999999"/>
    <n v="138.69999999999999"/>
    <n v="153.30000000000001"/>
    <n v="148.69999999999999"/>
    <n v="142.4"/>
    <n v="147.80000000000001"/>
    <n v="139.27096774193564"/>
    <n v="142.4"/>
    <n v="139.9"/>
    <n v="136.19999999999999"/>
    <n v="123.3"/>
    <n v="134.30000000000001"/>
    <n v="141.5"/>
    <n v="128.80000000000001"/>
    <n v="132.5"/>
    <n v="138.5"/>
    <n v="138.19999999999999"/>
    <n v="139.58548387096783"/>
    <n v="134.27500000000001"/>
    <n v="1934.8"/>
    <n v="279.17096774193567"/>
    <n v="291.10000000000002"/>
    <n v="537.1"/>
    <n v="3444.0709677419359"/>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134.80000000000001"/>
    <n v="135.60000000000002"/>
    <n v="129.1"/>
    <n v="1887.2"/>
    <n v="271.20000000000005"/>
    <n v="262.39999999999998"/>
    <n v="516.4"/>
    <n v="3311.7000000000003"/>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136.80714285714285"/>
    <n v="138.25"/>
    <n v="131.55000000000001"/>
    <n v="1915.2999999999997"/>
    <n v="276.5"/>
    <n v="279.39999999999998"/>
    <n v="526.20000000000005"/>
    <n v="3388.0999999999995"/>
  </r>
  <r>
    <x v="0"/>
    <x v="5"/>
    <s v="March"/>
    <n v="136.80000000000001"/>
    <n v="143.80000000000001"/>
    <n v="140"/>
    <n v="142"/>
    <n v="123.2"/>
    <n v="152.9"/>
    <n v="138"/>
    <n v="129.30000000000001"/>
    <n v="117.1"/>
    <n v="136.30000000000001"/>
    <n v="131.19999999999999"/>
    <n v="152.80000000000001"/>
    <n v="138.6"/>
    <n v="155.1"/>
    <n v="149.19999999999999"/>
    <n v="143"/>
    <n v="148.30000000000001"/>
    <n v="139.27096774193564"/>
    <n v="142.6"/>
    <n v="139.9"/>
    <n v="136.69999999999999"/>
    <n v="124.6"/>
    <n v="135.1"/>
    <n v="142.69999999999999"/>
    <n v="129.30000000000001"/>
    <n v="133.30000000000001"/>
    <n v="138.69999999999999"/>
    <n v="138.3642857142857"/>
    <n v="139.58548387096783"/>
    <n v="135.1"/>
    <n v="1937.0999999999997"/>
    <n v="279.17096774193567"/>
    <n v="292.2"/>
    <n v="540.4"/>
    <n v="3452.7709677419352"/>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133.94285714285715"/>
    <n v="136.4"/>
    <n v="129.6"/>
    <n v="1875.2"/>
    <n v="272.8"/>
    <n v="263.39999999999998"/>
    <n v="518.4"/>
    <n v="3304.5000000000005"/>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136.59285714285713"/>
    <n v="138.80000000000001"/>
    <n v="132.17500000000001"/>
    <n v="1912.3"/>
    <n v="277.60000000000002"/>
    <n v="280.5"/>
    <n v="528.70000000000005"/>
    <n v="3390.9000000000005"/>
  </r>
  <r>
    <x v="0"/>
    <x v="5"/>
    <s v="April"/>
    <n v="137.1"/>
    <n v="144.5"/>
    <n v="135.9"/>
    <n v="142.4"/>
    <n v="123.5"/>
    <n v="156.4"/>
    <n v="135.1"/>
    <n v="128.4"/>
    <n v="115.2"/>
    <n v="137.19999999999999"/>
    <n v="131.9"/>
    <n v="153.80000000000001"/>
    <n v="138.6"/>
    <n v="156.1"/>
    <n v="150.1"/>
    <n v="143.30000000000001"/>
    <n v="149.1"/>
    <n v="139.27096774193564"/>
    <n v="143.80000000000001"/>
    <n v="140.9"/>
    <n v="137.6"/>
    <n v="125.3"/>
    <n v="136"/>
    <n v="143.69999999999999"/>
    <n v="130.4"/>
    <n v="134.19999999999999"/>
    <n v="139.1"/>
    <n v="138.29285714285714"/>
    <n v="140.08548387096783"/>
    <n v="136.07499999999999"/>
    <n v="1936.1"/>
    <n v="280.17096774193567"/>
    <n v="293.39999999999998"/>
    <n v="544.29999999999995"/>
    <n v="3460.6709677419358"/>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134.22857142857146"/>
    <n v="137.35000000000002"/>
    <n v="130.77500000000001"/>
    <n v="1879.2000000000003"/>
    <n v="274.70000000000005"/>
    <n v="265.20000000000005"/>
    <n v="523.1"/>
    <n v="3317.0000000000005"/>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136.71428571428572"/>
    <n v="139.75"/>
    <n v="133.30000000000001"/>
    <n v="1914.0000000000002"/>
    <n v="279.5"/>
    <n v="282"/>
    <n v="533.20000000000005"/>
    <n v="3402.3"/>
  </r>
  <r>
    <x v="0"/>
    <x v="5"/>
    <s v="May"/>
    <n v="137.4"/>
    <n v="145.69999999999999"/>
    <n v="135.5"/>
    <n v="142.9"/>
    <n v="123.6"/>
    <n v="157.5"/>
    <n v="137.80000000000001"/>
    <n v="127.2"/>
    <n v="111.8"/>
    <n v="137.4"/>
    <n v="132.19999999999999"/>
    <n v="154.30000000000001"/>
    <n v="139.1"/>
    <n v="157"/>
    <n v="150.80000000000001"/>
    <n v="144.1"/>
    <n v="149.80000000000001"/>
    <n v="139.27096774193564"/>
    <n v="144.30000000000001"/>
    <n v="141.80000000000001"/>
    <n v="138.4"/>
    <n v="126.4"/>
    <n v="136.80000000000001"/>
    <n v="144.4"/>
    <n v="131.19999999999999"/>
    <n v="135.1"/>
    <n v="139.80000000000001"/>
    <n v="138.52857142857144"/>
    <n v="140.53548387096782"/>
    <n v="136.875"/>
    <n v="1939.4"/>
    <n v="281.07096774193565"/>
    <n v="294.89999999999998"/>
    <n v="547.5"/>
    <n v="3471.970967741936"/>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134.51428571428571"/>
    <n v="137.85"/>
    <n v="131.35"/>
    <n v="1883.1999999999998"/>
    <n v="275.7"/>
    <n v="266.5"/>
    <n v="525.4"/>
    <n v="3327.2999999999997"/>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136.97857142857143"/>
    <n v="140.30000000000001"/>
    <n v="133.97500000000002"/>
    <n v="1917.7"/>
    <n v="280.60000000000002"/>
    <n v="283.39999999999998"/>
    <n v="535.90000000000009"/>
    <n v="3413.4000000000005"/>
  </r>
  <r>
    <x v="0"/>
    <x v="5"/>
    <s v="June"/>
    <n v="137.6"/>
    <n v="148.1"/>
    <n v="136.69999999999999"/>
    <n v="143.19999999999999"/>
    <n v="124"/>
    <n v="154.1"/>
    <n v="143.5"/>
    <n v="126"/>
    <n v="112.4"/>
    <n v="137.6"/>
    <n v="132.80000000000001"/>
    <n v="154.30000000000001"/>
    <n v="140"/>
    <n v="157.30000000000001"/>
    <n v="151.30000000000001"/>
    <n v="144.69999999999999"/>
    <n v="150.30000000000001"/>
    <n v="139.27096774193564"/>
    <n v="145.1"/>
    <n v="142.19999999999999"/>
    <n v="138.4"/>
    <n v="127.4"/>
    <n v="137.80000000000001"/>
    <n v="145.1"/>
    <n v="131.4"/>
    <n v="135.6"/>
    <n v="140.5"/>
    <n v="139.1142857142857"/>
    <n v="140.73548387096781"/>
    <n v="137.47500000000002"/>
    <n v="1947.5999999999997"/>
    <n v="281.47096774193562"/>
    <n v="296"/>
    <n v="549.90000000000009"/>
    <n v="3485.8709677419351"/>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136.30714285714288"/>
    <n v="137.80000000000001"/>
    <n v="131.85"/>
    <n v="1908.3000000000002"/>
    <n v="275.60000000000002"/>
    <n v="267.60000000000002"/>
    <n v="527.4"/>
    <n v="3358.4"/>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138.02857142857144"/>
    <n v="140.19999999999999"/>
    <n v="134.52500000000001"/>
    <n v="1932.4"/>
    <n v="280.39999999999998"/>
    <n v="284.5"/>
    <n v="538.1"/>
    <n v="3433.3999999999996"/>
  </r>
  <r>
    <x v="0"/>
    <x v="5"/>
    <s v="July"/>
    <n v="138.4"/>
    <n v="149.30000000000001"/>
    <n v="139.30000000000001"/>
    <n v="143.4"/>
    <n v="124.1"/>
    <n v="153.30000000000001"/>
    <n v="154.19999999999999"/>
    <n v="126.4"/>
    <n v="114.3"/>
    <n v="138.19999999999999"/>
    <n v="132.80000000000001"/>
    <n v="154.80000000000001"/>
    <n v="142"/>
    <n v="156.1"/>
    <n v="151.5"/>
    <n v="145.1"/>
    <n v="150.6"/>
    <n v="139.27096774193564"/>
    <n v="146.80000000000001"/>
    <n v="143.1"/>
    <n v="139"/>
    <n v="127.5"/>
    <n v="138.4"/>
    <n v="145.80000000000001"/>
    <n v="131.4"/>
    <n v="136"/>
    <n v="141.80000000000001"/>
    <n v="140.47142857142859"/>
    <n v="141.1854838709678"/>
    <n v="137.9"/>
    <n v="1966.6000000000001"/>
    <n v="282.3709677419356"/>
    <n v="296.60000000000002"/>
    <n v="551.6"/>
    <n v="3510.470967741936"/>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138.03571428571428"/>
    <n v="138.6"/>
    <n v="132.85"/>
    <n v="1932.5"/>
    <n v="277.2"/>
    <n v="268.5"/>
    <n v="531.4"/>
    <n v="3391.3999999999996"/>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139.48571428571429"/>
    <n v="141.1"/>
    <n v="135.27499999999998"/>
    <n v="1952.8"/>
    <n v="282.2"/>
    <n v="285.20000000000005"/>
    <n v="541.09999999999991"/>
    <n v="3461.6"/>
  </r>
  <r>
    <x v="0"/>
    <x v="5"/>
    <s v="August"/>
    <n v="139.19999999999999"/>
    <n v="148.80000000000001"/>
    <n v="139.1"/>
    <n v="143.5"/>
    <n v="125"/>
    <n v="154.4"/>
    <n v="156.30000000000001"/>
    <n v="126.8"/>
    <n v="115.4"/>
    <n v="138.6"/>
    <n v="133.80000000000001"/>
    <n v="155.19999999999999"/>
    <n v="142.69999999999999"/>
    <n v="156.4"/>
    <n v="152.1"/>
    <n v="145.80000000000001"/>
    <n v="151.30000000000001"/>
    <n v="139.27096774193564"/>
    <n v="147.69999999999999"/>
    <n v="143.80000000000001"/>
    <n v="139.4"/>
    <n v="128.30000000000001"/>
    <n v="138.6"/>
    <n v="146.9"/>
    <n v="131.30000000000001"/>
    <n v="136.6"/>
    <n v="142.5"/>
    <n v="141.08571428571429"/>
    <n v="141.53548387096782"/>
    <n v="138.35"/>
    <n v="1975.2"/>
    <n v="283.07096774193565"/>
    <n v="297.89999999999998"/>
    <n v="553.4"/>
    <n v="3524.9709677419355"/>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137.83571428571426"/>
    <n v="139.5"/>
    <n v="133.60000000000002"/>
    <n v="1929.6999999999998"/>
    <n v="279"/>
    <n v="269"/>
    <n v="534.40000000000009"/>
    <n v="3397.5"/>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139.7571428571429"/>
    <n v="142"/>
    <n v="135.9"/>
    <n v="1956.6000000000004"/>
    <n v="284"/>
    <n v="286.10000000000002"/>
    <n v="543.6"/>
    <n v="3473.2000000000003"/>
  </r>
  <r>
    <x v="0"/>
    <x v="5"/>
    <s v="September"/>
    <n v="139.4"/>
    <n v="147.19999999999999"/>
    <n v="136.6"/>
    <n v="143.69999999999999"/>
    <n v="124.6"/>
    <n v="150.1"/>
    <n v="149.4"/>
    <n v="125.4"/>
    <n v="114.4"/>
    <n v="138.69999999999999"/>
    <n v="133.1"/>
    <n v="155.9"/>
    <n v="141.30000000000001"/>
    <n v="157.69999999999999"/>
    <n v="152.1"/>
    <n v="146.1"/>
    <n v="151.30000000000001"/>
    <n v="139.27096774193564"/>
    <n v="149"/>
    <n v="144"/>
    <n v="140"/>
    <n v="129.9"/>
    <n v="140"/>
    <n v="147.6"/>
    <n v="132"/>
    <n v="137.4"/>
    <n v="142.1"/>
    <n v="139.82142857142858"/>
    <n v="141.63548387096782"/>
    <n v="139.25"/>
    <n v="1957.5000000000002"/>
    <n v="283.27096774193564"/>
    <n v="298.2"/>
    <n v="557"/>
    <n v="3514.8709677419361"/>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136.55000000000001"/>
    <n v="140.10000000000002"/>
    <n v="134.15"/>
    <n v="1911.7"/>
    <n v="280.20000000000005"/>
    <n v="270.10000000000002"/>
    <n v="536.6"/>
    <n v="3388"/>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138.47857142857143"/>
    <n v="142.5"/>
    <n v="136.57499999999999"/>
    <n v="1938.7"/>
    <n v="285"/>
    <n v="286.79999999999995"/>
    <n v="546.29999999999995"/>
    <n v="3463.5000000000005"/>
  </r>
  <r>
    <x v="0"/>
    <x v="5"/>
    <s v="October"/>
    <n v="139.30000000000001"/>
    <n v="147.6"/>
    <n v="134.6"/>
    <n v="141.9"/>
    <n v="123.5"/>
    <n v="144.5"/>
    <n v="147.6"/>
    <n v="121.4"/>
    <n v="112.3"/>
    <n v="139.5"/>
    <n v="134.6"/>
    <n v="155.19999999999999"/>
    <n v="140.19999999999999"/>
    <n v="159.6"/>
    <n v="150.69999999999999"/>
    <n v="144.5"/>
    <n v="149.80000000000001"/>
    <n v="139.27096774193564"/>
    <n v="149.69999999999999"/>
    <n v="147.5"/>
    <n v="144.80000000000001"/>
    <n v="130.80000000000001"/>
    <n v="140.1"/>
    <n v="148"/>
    <n v="134.4"/>
    <n v="139.80000000000001"/>
    <n v="142.19999999999999"/>
    <n v="138.69999999999999"/>
    <n v="143.38548387096782"/>
    <n v="140.57500000000002"/>
    <n v="1941.8"/>
    <n v="286.77096774193564"/>
    <n v="295.2"/>
    <n v="562.30000000000007"/>
    <n v="3511.3709677419356"/>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37.00714285714284"/>
    <n v="140.69999999999999"/>
    <n v="134.77499999999998"/>
    <n v="1918.1"/>
    <n v="281.39999999999998"/>
    <n v="271.3"/>
    <n v="539.09999999999991"/>
    <n v="3402.7999999999997"/>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38.48571428571429"/>
    <n v="144.55000000000001"/>
    <n v="138.15"/>
    <n v="1938.8"/>
    <n v="289.10000000000002"/>
    <n v="287.2"/>
    <n v="552.6"/>
    <n v="3480.6"/>
  </r>
  <r>
    <x v="0"/>
    <x v="5"/>
    <s v="November"/>
    <n v="137.1"/>
    <n v="150.80000000000001"/>
    <n v="136.69999999999999"/>
    <n v="141.9"/>
    <n v="122.8"/>
    <n v="143.9"/>
    <n v="147.5"/>
    <n v="121"/>
    <n v="111.6"/>
    <n v="140.6"/>
    <n v="137.5"/>
    <n v="156.1"/>
    <n v="140"/>
    <n v="161.9"/>
    <n v="151.69999999999999"/>
    <n v="145.5"/>
    <n v="150.80000000000001"/>
    <n v="139.27096774193564"/>
    <n v="150.30000000000001"/>
    <n v="148"/>
    <n v="145.4"/>
    <n v="130.30000000000001"/>
    <n v="143.1"/>
    <n v="150.19999999999999"/>
    <n v="133.1"/>
    <n v="140.1"/>
    <n v="142.4"/>
    <n v="139.2428571428571"/>
    <n v="143.63548387096782"/>
    <n v="141.625"/>
    <n v="1949.3999999999996"/>
    <n v="287.27096774193564"/>
    <n v="297.2"/>
    <n v="566.5"/>
    <n v="3526.3709677419361"/>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37.27857142857141"/>
    <n v="141.35000000000002"/>
    <n v="135.02499999999998"/>
    <n v="1921.8999999999999"/>
    <n v="282.70000000000005"/>
    <n v="272.60000000000002"/>
    <n v="540.09999999999991"/>
    <n v="3412"/>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38.45000000000002"/>
    <n v="144.55000000000001"/>
    <n v="138.15"/>
    <n v="1938.3000000000002"/>
    <n v="289.10000000000002"/>
    <n v="287.10000000000002"/>
    <n v="552.6"/>
    <n v="3479.8"/>
  </r>
  <r>
    <x v="0"/>
    <x v="5"/>
    <s v="December"/>
    <n v="137.1"/>
    <n v="151.9"/>
    <n v="137.4"/>
    <n v="142.4"/>
    <n v="124.2"/>
    <n v="140.19999999999999"/>
    <n v="136.6"/>
    <n v="120.9"/>
    <n v="109.9"/>
    <n v="140.19999999999999"/>
    <n v="137.80000000000001"/>
    <n v="156"/>
    <n v="138.5"/>
    <n v="162.4"/>
    <n v="151.6"/>
    <n v="145.9"/>
    <n v="150.80000000000001"/>
    <n v="139.27096774193564"/>
    <n v="149"/>
    <n v="149.5"/>
    <n v="149.6"/>
    <n v="128.9"/>
    <n v="143.30000000000001"/>
    <n v="155.1"/>
    <n v="133.19999999999999"/>
    <n v="141.6"/>
    <n v="141.9"/>
    <n v="138.25000000000003"/>
    <n v="144.38548387096782"/>
    <n v="143.30000000000001"/>
    <n v="1935.5000000000002"/>
    <n v="288.77096774193564"/>
    <n v="297.5"/>
    <n v="573.20000000000005"/>
    <n v="3522.470967741936"/>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36.51428571428571"/>
    <n v="141.35"/>
    <n v="135.17500000000001"/>
    <n v="1911.1999999999998"/>
    <n v="282.7"/>
    <n v="273"/>
    <n v="540.70000000000005"/>
    <n v="3396.1000000000004"/>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37.55714285714285"/>
    <n v="144.85"/>
    <n v="138.97500000000002"/>
    <n v="1925.7999999999997"/>
    <n v="289.7"/>
    <n v="287.5"/>
    <n v="555.90000000000009"/>
    <n v="3470.0999999999995"/>
  </r>
  <r>
    <x v="0"/>
    <x v="6"/>
    <s v="January"/>
    <n v="136.6"/>
    <n v="152.5"/>
    <n v="138.19999999999999"/>
    <n v="142.4"/>
    <n v="123.9"/>
    <n v="135.5"/>
    <n v="131.69999999999999"/>
    <n v="121.3"/>
    <n v="108.4"/>
    <n v="138.9"/>
    <n v="137"/>
    <n v="155.80000000000001"/>
    <n v="137.4"/>
    <n v="162.69999999999999"/>
    <n v="150.6"/>
    <n v="145.1"/>
    <n v="149.9"/>
    <n v="139.27096774193564"/>
    <n v="146.19999999999999"/>
    <n v="150.1"/>
    <n v="149.6"/>
    <n v="128.6"/>
    <n v="142.9"/>
    <n v="155.19999999999999"/>
    <n v="133.5"/>
    <n v="141.69999999999999"/>
    <n v="141"/>
    <n v="137.30714285714288"/>
    <n v="144.6854838709678"/>
    <n v="143.32499999999999"/>
    <n v="1922.3000000000002"/>
    <n v="289.3709677419356"/>
    <n v="295.7"/>
    <n v="573.29999999999995"/>
    <n v="3505.0709677419354"/>
  </r>
  <r>
    <x v="1"/>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36.35714285714286"/>
    <n v="142"/>
    <n v="135.5"/>
    <n v="1909.0000000000002"/>
    <n v="284"/>
    <n v="273.39999999999998"/>
    <n v="542"/>
    <n v="3393.4000000000005"/>
  </r>
  <r>
    <x v="2"/>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36.9"/>
    <n v="145.64999999999998"/>
    <n v="139.15"/>
    <n v="1916.6"/>
    <n v="291.29999999999995"/>
    <n v="286.60000000000002"/>
    <n v="556.6"/>
    <n v="3459"/>
  </r>
  <r>
    <x v="0"/>
    <x v="6"/>
    <s v="February"/>
    <n v="136.80000000000001"/>
    <n v="153"/>
    <n v="139.1"/>
    <n v="142.5"/>
    <n v="124.1"/>
    <n v="135.80000000000001"/>
    <n v="128.69999999999999"/>
    <n v="121.5"/>
    <n v="108.3"/>
    <n v="139.19999999999999"/>
    <n v="137.4"/>
    <n v="156.19999999999999"/>
    <n v="137.19999999999999"/>
    <n v="162.80000000000001"/>
    <n v="150.5"/>
    <n v="146.1"/>
    <n v="149.9"/>
    <n v="139.27096774193564"/>
    <n v="145.30000000000001"/>
    <n v="150.1"/>
    <n v="149.9"/>
    <n v="129.19999999999999"/>
    <n v="143.4"/>
    <n v="155.5"/>
    <n v="134.9"/>
    <n v="142.19999999999999"/>
    <n v="141"/>
    <n v="137.32857142857145"/>
    <n v="144.6854838709678"/>
    <n v="144"/>
    <n v="1922.6000000000001"/>
    <n v="289.3709677419356"/>
    <n v="296.60000000000002"/>
    <n v="576"/>
    <n v="3508.9709677419355"/>
  </r>
  <r>
    <x v="1"/>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137.09285714285716"/>
    <n v="142.55000000000001"/>
    <n v="136.05000000000001"/>
    <n v="1919.3000000000002"/>
    <n v="285.10000000000002"/>
    <n v="274.10000000000002"/>
    <n v="544.20000000000005"/>
    <n v="3407.5"/>
  </r>
  <r>
    <x v="2"/>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137.17857142857142"/>
    <n v="146.1"/>
    <n v="139.72499999999999"/>
    <n v="1920.5"/>
    <n v="292.2"/>
    <n v="287.39999999999998"/>
    <n v="558.9"/>
    <n v="3466.9"/>
  </r>
  <r>
    <x v="0"/>
    <x v="6"/>
    <s v="March"/>
    <n v="136.9"/>
    <n v="154.1"/>
    <n v="138.69999999999999"/>
    <n v="142.5"/>
    <n v="124.1"/>
    <n v="136.1"/>
    <n v="128.19999999999999"/>
    <n v="122.3"/>
    <n v="108.3"/>
    <n v="138.9"/>
    <n v="137.4"/>
    <n v="156.4"/>
    <n v="137.30000000000001"/>
    <n v="162.9"/>
    <n v="150.80000000000001"/>
    <n v="146.1"/>
    <n v="150.1"/>
    <n v="139.27096774193564"/>
    <n v="146.4"/>
    <n v="150"/>
    <n v="150.4"/>
    <n v="129.9"/>
    <n v="143.80000000000001"/>
    <n v="155.5"/>
    <n v="134"/>
    <n v="142.4"/>
    <n v="141.19999999999999"/>
    <n v="137.43571428571431"/>
    <n v="144.63548387096782"/>
    <n v="143.92500000000001"/>
    <n v="1924.1000000000004"/>
    <n v="289.27096774193564"/>
    <n v="296.89999999999998"/>
    <n v="575.70000000000005"/>
    <n v="3512.6709677419362"/>
  </r>
  <r>
    <x v="1"/>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138.12142857142857"/>
    <n v="142.9"/>
    <n v="136.25"/>
    <n v="1933.7"/>
    <n v="285.8"/>
    <n v="274.7"/>
    <n v="545"/>
    <n v="3427.1"/>
  </r>
  <r>
    <x v="2"/>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137.6"/>
    <n v="146.4"/>
    <n v="139.77500000000001"/>
    <n v="1926.4"/>
    <n v="292.8"/>
    <n v="287.8"/>
    <n v="559.1"/>
    <n v="3476.6"/>
  </r>
  <r>
    <x v="0"/>
    <x v="6"/>
    <s v="May"/>
    <n v="137.4"/>
    <n v="159.5"/>
    <n v="134.5"/>
    <n v="142.6"/>
    <n v="124"/>
    <n v="143.69999999999999"/>
    <n v="133.4"/>
    <n v="125.1"/>
    <n v="109.3"/>
    <n v="139.30000000000001"/>
    <n v="137.69999999999999"/>
    <n v="156.4"/>
    <n v="139.19999999999999"/>
    <n v="163.30000000000001"/>
    <n v="151.30000000000001"/>
    <n v="146.6"/>
    <n v="150.69999999999999"/>
    <n v="139.27096774193564"/>
    <n v="146.9"/>
    <n v="149.5"/>
    <n v="151.30000000000001"/>
    <n v="130.19999999999999"/>
    <n v="145.9"/>
    <n v="156.69999999999999"/>
    <n v="133.9"/>
    <n v="142.9"/>
    <n v="142.4"/>
    <n v="138.95714285714286"/>
    <n v="144.38548387096782"/>
    <n v="144.85"/>
    <n v="1945.4"/>
    <n v="288.77096774193564"/>
    <n v="297.89999999999998"/>
    <n v="579.4"/>
    <n v="3539.8709677419361"/>
  </r>
  <r>
    <x v="1"/>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141.26428571428573"/>
    <n v="143.64999999999998"/>
    <n v="136.97499999999999"/>
    <n v="1977.7000000000003"/>
    <n v="287.29999999999995"/>
    <n v="275.7"/>
    <n v="547.9"/>
    <n v="3477.9000000000005"/>
  </r>
  <r>
    <x v="2"/>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139.71428571428572"/>
    <n v="146.89999999999998"/>
    <n v="140.60000000000002"/>
    <n v="1956.0000000000002"/>
    <n v="293.79999999999995"/>
    <n v="288.8"/>
    <n v="562.40000000000009"/>
    <n v="3513.1000000000004"/>
  </r>
  <r>
    <x v="0"/>
    <x v="6"/>
    <s v="June"/>
    <n v="137.80000000000001"/>
    <n v="163.5"/>
    <n v="136.19999999999999"/>
    <n v="143.19999999999999"/>
    <n v="124.3"/>
    <n v="143.30000000000001"/>
    <n v="140.6"/>
    <n v="128.69999999999999"/>
    <n v="110.6"/>
    <n v="140.4"/>
    <n v="138"/>
    <n v="156.6"/>
    <n v="141"/>
    <n v="164.2"/>
    <n v="151.4"/>
    <n v="146.5"/>
    <n v="150.69999999999999"/>
    <n v="139.27096774193564"/>
    <n v="147.80000000000001"/>
    <n v="149.6"/>
    <n v="151.69999999999999"/>
    <n v="130.19999999999999"/>
    <n v="146.4"/>
    <n v="157.69999999999999"/>
    <n v="134.80000000000001"/>
    <n v="143.30000000000001"/>
    <n v="143.6"/>
    <n v="140.6"/>
    <n v="144.4354838709678"/>
    <n v="145.55000000000001"/>
    <n v="1968.3999999999999"/>
    <n v="288.8709677419356"/>
    <n v="297.89999999999998"/>
    <n v="582.20000000000005"/>
    <n v="3567.0709677419354"/>
  </r>
  <r>
    <x v="1"/>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142.85714285714283"/>
    <n v="143.4"/>
    <n v="137.625"/>
    <n v="1999.9999999999998"/>
    <n v="286.8"/>
    <n v="276"/>
    <n v="550.5"/>
    <n v="3503.7"/>
  </r>
  <r>
    <x v="2"/>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141.35714285714286"/>
    <n v="146.60000000000002"/>
    <n v="141.25"/>
    <n v="1979.0000000000002"/>
    <n v="293.20000000000005"/>
    <n v="289"/>
    <n v="565"/>
    <n v="3539.4"/>
  </r>
  <r>
    <x v="0"/>
    <x v="6"/>
    <s v="July"/>
    <n v="138.4"/>
    <n v="164"/>
    <n v="138.4"/>
    <n v="143.9"/>
    <n v="124.4"/>
    <n v="146.4"/>
    <n v="150.1"/>
    <n v="130.6"/>
    <n v="110.8"/>
    <n v="141.69999999999999"/>
    <n v="138.5"/>
    <n v="156.69999999999999"/>
    <n v="143"/>
    <n v="164.5"/>
    <n v="151.6"/>
    <n v="146.6"/>
    <n v="150.9"/>
    <n v="139.27096774193564"/>
    <n v="146.80000000000001"/>
    <n v="150"/>
    <n v="152.19999999999999"/>
    <n v="131.19999999999999"/>
    <n v="147.5"/>
    <n v="159.1"/>
    <n v="136.1"/>
    <n v="144.19999999999999"/>
    <n v="144.9"/>
    <n v="142.24285714285713"/>
    <n v="144.63548387096782"/>
    <n v="146.72499999999999"/>
    <n v="1991.3999999999999"/>
    <n v="289.27096774193564"/>
    <n v="298.2"/>
    <n v="586.9"/>
    <n v="3595.9709677419351"/>
  </r>
  <r>
    <x v="1"/>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144.6142857142857"/>
    <n v="144.14999999999998"/>
    <n v="138.75"/>
    <n v="2024.6"/>
    <n v="288.29999999999995"/>
    <n v="276.60000000000002"/>
    <n v="555"/>
    <n v="3532.9"/>
  </r>
  <r>
    <x v="2"/>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143.05000000000001"/>
    <n v="147.39999999999998"/>
    <n v="142.42500000000001"/>
    <n v="2002.7"/>
    <n v="294.79999999999995"/>
    <n v="289.39999999999998"/>
    <n v="569.70000000000005"/>
    <n v="3569.4000000000005"/>
  </r>
  <r>
    <x v="0"/>
    <x v="6"/>
    <s v="August"/>
    <n v="139.19999999999999"/>
    <n v="161.9"/>
    <n v="137.1"/>
    <n v="144.6"/>
    <n v="124.7"/>
    <n v="145.5"/>
    <n v="156.19999999999999"/>
    <n v="131.5"/>
    <n v="111.7"/>
    <n v="142.69999999999999"/>
    <n v="138.5"/>
    <n v="156.9"/>
    <n v="144"/>
    <n v="165.1"/>
    <n v="151.80000000000001"/>
    <n v="146.6"/>
    <n v="151.1"/>
    <n v="139.27096774193564"/>
    <n v="146.4"/>
    <n v="150.19999999999999"/>
    <n v="152.69999999999999"/>
    <n v="131.4"/>
    <n v="148"/>
    <n v="159.69999999999999"/>
    <n v="138.80000000000001"/>
    <n v="144.9"/>
    <n v="145.69999999999999"/>
    <n v="142.82857142857145"/>
    <n v="144.73548387096781"/>
    <n v="147.85000000000002"/>
    <n v="1999.6000000000001"/>
    <n v="289.47096774193562"/>
    <n v="298.39999999999998"/>
    <n v="591.40000000000009"/>
    <n v="3609.3709677419356"/>
  </r>
  <r>
    <x v="1"/>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145.5"/>
    <n v="144.85"/>
    <n v="140"/>
    <n v="2037"/>
    <n v="289.7"/>
    <n v="277.2"/>
    <n v="560"/>
    <n v="3551.7000000000003"/>
  </r>
  <r>
    <x v="2"/>
    <x v="6"/>
    <s v="August"/>
    <n v="140.1"/>
    <n v="160.6"/>
    <n v="138.5"/>
    <n v="144.69999999999999"/>
    <n v="122.9"/>
    <n v="149.4"/>
    <n v="167.4"/>
    <n v="130.9"/>
    <n v="112"/>
    <n v="142.6"/>
    <n v="134.9"/>
    <n v="156.6"/>
    <n v="145.9"/>
    <n v="165.8"/>
    <n v="149.1"/>
    <n v="140.6"/>
    <n v="147.9"/>
    <n v="151.6"/>
    <n v="138.5"/>
    <n v="144.5"/>
    <n v="148.5"/>
    <n v="125.8"/>
    <n v="140.9"/>
    <n v="154.9"/>
    <n v="138.4"/>
    <n v="140.19999999999999"/>
    <n v="145"/>
    <n v="143.73571428571429"/>
    <n v="148.05000000000001"/>
    <n v="143.6"/>
    <n v="2012.3"/>
    <n v="296.10000000000002"/>
    <n v="289.7"/>
    <n v="574.4"/>
    <n v="3585.3"/>
  </r>
  <r>
    <x v="0"/>
    <x v="6"/>
    <s v="September"/>
    <n v="140.1"/>
    <n v="161.9"/>
    <n v="138.30000000000001"/>
    <n v="145.69999999999999"/>
    <n v="125.1"/>
    <n v="143.80000000000001"/>
    <n v="163.4"/>
    <n v="132.19999999999999"/>
    <n v="112.8"/>
    <n v="144.19999999999999"/>
    <n v="138.5"/>
    <n v="157.19999999999999"/>
    <n v="145.5"/>
    <n v="165.7"/>
    <n v="151.69999999999999"/>
    <n v="146.6"/>
    <n v="151"/>
    <n v="139.27096774193564"/>
    <n v="146.9"/>
    <n v="150.30000000000001"/>
    <n v="153.4"/>
    <n v="131.6"/>
    <n v="148.30000000000001"/>
    <n v="160.19999999999999"/>
    <n v="140.19999999999999"/>
    <n v="145.4"/>
    <n v="146.69999999999999"/>
    <n v="143.8857142857143"/>
    <n v="144.78548387096782"/>
    <n v="148.52500000000001"/>
    <n v="2014.4"/>
    <n v="289.57096774193565"/>
    <n v="298.29999999999995"/>
    <n v="594.1"/>
    <n v="3628.2709677419357"/>
  </r>
  <r>
    <x v="1"/>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145.96428571428572"/>
    <n v="145.25"/>
    <n v="140.54999999999998"/>
    <n v="2043.5"/>
    <n v="290.5"/>
    <n v="277.5"/>
    <n v="562.19999999999993"/>
    <n v="3563.3999999999996"/>
  </r>
  <r>
    <x v="2"/>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144.58571428571426"/>
    <n v="148.39999999999998"/>
    <n v="144.22499999999999"/>
    <n v="2024.1999999999998"/>
    <n v="296.79999999999995"/>
    <n v="289.79999999999995"/>
    <n v="576.9"/>
    <n v="3601.9999999999995"/>
  </r>
  <r>
    <x v="0"/>
    <x v="6"/>
    <s v="October"/>
    <n v="141"/>
    <n v="161.6"/>
    <n v="141.19999999999999"/>
    <n v="146.5"/>
    <n v="125.6"/>
    <n v="145.69999999999999"/>
    <n v="178.8"/>
    <n v="133.1"/>
    <n v="113.6"/>
    <n v="145.5"/>
    <n v="138.6"/>
    <n v="157.4"/>
    <n v="148.30000000000001"/>
    <n v="166.3"/>
    <n v="151.69999999999999"/>
    <n v="146.69999999999999"/>
    <n v="151"/>
    <n v="139.27096774193564"/>
    <n v="147.69999999999999"/>
    <n v="150.6"/>
    <n v="153.69999999999999"/>
    <n v="131.69999999999999"/>
    <n v="148.69999999999999"/>
    <n v="160.69999999999999"/>
    <n v="140.30000000000001"/>
    <n v="145.69999999999999"/>
    <n v="148.30000000000001"/>
    <n v="145.94285714285712"/>
    <n v="144.9354838709678"/>
    <n v="148.85"/>
    <n v="2043.1999999999996"/>
    <n v="289.8709677419356"/>
    <n v="298.39999999999998"/>
    <n v="595.4"/>
    <n v="3659.9709677419346"/>
  </r>
  <r>
    <x v="1"/>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147.99285714285716"/>
    <n v="145.85"/>
    <n v="140.85"/>
    <n v="2071.9"/>
    <n v="291.7"/>
    <n v="278.3"/>
    <n v="563.4"/>
    <n v="3598.1000000000004"/>
  </r>
  <r>
    <x v="2"/>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146.62142857142857"/>
    <n v="149"/>
    <n v="144.52499999999998"/>
    <n v="2052.6999999999998"/>
    <n v="298"/>
    <n v="290.20000000000005"/>
    <n v="578.09999999999991"/>
    <n v="3635.3"/>
  </r>
  <r>
    <x v="0"/>
    <x v="6"/>
    <s v="November"/>
    <n v="141.80000000000001"/>
    <n v="163.69999999999999"/>
    <n v="143.80000000000001"/>
    <n v="147.1"/>
    <n v="126"/>
    <n v="146.19999999999999"/>
    <n v="191.4"/>
    <n v="136.19999999999999"/>
    <n v="113.8"/>
    <n v="147.30000000000001"/>
    <n v="138.69999999999999"/>
    <n v="157.69999999999999"/>
    <n v="150.9"/>
    <n v="167.2"/>
    <n v="152.30000000000001"/>
    <n v="147"/>
    <n v="151.5"/>
    <n v="139.27096774193564"/>
    <n v="148.4"/>
    <n v="150.9"/>
    <n v="154.30000000000001"/>
    <n v="132.1"/>
    <n v="149.1"/>
    <n v="160.80000000000001"/>
    <n v="140.6"/>
    <n v="146.1"/>
    <n v="149.9"/>
    <n v="147.98571428571429"/>
    <n v="145.08548387096783"/>
    <n v="149.15"/>
    <n v="2071.8000000000002"/>
    <n v="290.17096774193567"/>
    <n v="299.3"/>
    <n v="596.6"/>
    <n v="3692.6709677419362"/>
  </r>
  <r>
    <x v="1"/>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149.56428571428569"/>
    <n v="146.30000000000001"/>
    <n v="141.15"/>
    <n v="2093.8999999999996"/>
    <n v="292.60000000000002"/>
    <n v="278.89999999999998"/>
    <n v="564.6"/>
    <n v="3626.6999999999994"/>
  </r>
  <r>
    <x v="2"/>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148.48571428571429"/>
    <n v="149.4"/>
    <n v="144.80000000000001"/>
    <n v="2078.8000000000002"/>
    <n v="298.8"/>
    <n v="290.89999999999998"/>
    <n v="579.20000000000005"/>
    <n v="3666.5000000000005"/>
  </r>
  <r>
    <x v="0"/>
    <x v="6"/>
    <s v="December"/>
    <n v="142.80000000000001"/>
    <n v="165.3"/>
    <n v="149.5"/>
    <n v="148.69999999999999"/>
    <n v="127.5"/>
    <n v="144.30000000000001"/>
    <n v="209.5"/>
    <n v="138.80000000000001"/>
    <n v="113.6"/>
    <n v="149.1"/>
    <n v="139.30000000000001"/>
    <n v="158.30000000000001"/>
    <n v="154.30000000000001"/>
    <n v="167.8"/>
    <n v="152.6"/>
    <n v="147.30000000000001"/>
    <n v="151.9"/>
    <n v="139.27096774193564"/>
    <n v="149.9"/>
    <n v="151.19999999999999"/>
    <n v="154.80000000000001"/>
    <n v="135"/>
    <n v="149.5"/>
    <n v="161.1"/>
    <n v="140.6"/>
    <n v="147.1"/>
    <n v="152.30000000000001"/>
    <n v="150.62857142857141"/>
    <n v="145.23548387096781"/>
    <n v="149.57499999999999"/>
    <n v="2108.7999999999997"/>
    <n v="290.47096774193562"/>
    <n v="299.89999999999998"/>
    <n v="598.29999999999995"/>
    <n v="3737.1709677419353"/>
  </r>
  <r>
    <x v="1"/>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51.93571428571428"/>
    <n v="146.30000000000001"/>
    <n v="141.64999999999998"/>
    <n v="2127.1"/>
    <n v="292.60000000000002"/>
    <n v="279.60000000000002"/>
    <n v="566.59999999999991"/>
    <n v="3667.8999999999992"/>
  </r>
  <r>
    <x v="2"/>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151.04285714285717"/>
    <n v="149.30000000000001"/>
    <n v="145.22499999999999"/>
    <n v="2114.6000000000004"/>
    <n v="298.60000000000002"/>
    <n v="291.60000000000002"/>
    <n v="580.9"/>
    <n v="3709.6000000000004"/>
  </r>
  <r>
    <x v="0"/>
    <x v="7"/>
    <s v="January"/>
    <n v="143.69999999999999"/>
    <n v="167.3"/>
    <n v="153.5"/>
    <n v="150.5"/>
    <n v="132"/>
    <n v="142.19999999999999"/>
    <n v="191.5"/>
    <n v="141.1"/>
    <n v="113.8"/>
    <n v="151.6"/>
    <n v="139.69999999999999"/>
    <n v="158.69999999999999"/>
    <n v="153"/>
    <n v="168.6"/>
    <n v="152.80000000000001"/>
    <n v="147.4"/>
    <n v="152.1"/>
    <n v="139.27096774193564"/>
    <n v="150.4"/>
    <n v="151.69999999999999"/>
    <n v="155.69999999999999"/>
    <n v="136.30000000000001"/>
    <n v="150.1"/>
    <n v="161.69999999999999"/>
    <n v="142.5"/>
    <n v="148.1"/>
    <n v="151.9"/>
    <n v="150.51428571428571"/>
    <n v="145.48548387096781"/>
    <n v="150.6"/>
    <n v="2107.1999999999998"/>
    <n v="290.97096774193562"/>
    <n v="300.20000000000005"/>
    <n v="602.4"/>
    <n v="3743.1709677419353"/>
  </r>
  <r>
    <x v="1"/>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151.15714285714284"/>
    <n v="147"/>
    <n v="142.44999999999999"/>
    <n v="2116.1999999999998"/>
    <n v="294"/>
    <n v="280.2"/>
    <n v="569.79999999999995"/>
    <n v="3665.2"/>
  </r>
  <r>
    <x v="2"/>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150.68571428571428"/>
    <n v="150.05000000000001"/>
    <n v="146.15000000000003"/>
    <n v="2109.6"/>
    <n v="300.10000000000002"/>
    <n v="292"/>
    <n v="584.60000000000014"/>
    <n v="3713"/>
  </r>
  <r>
    <x v="0"/>
    <x v="7"/>
    <s v="February"/>
    <n v="144.19999999999999"/>
    <n v="167.5"/>
    <n v="150.9"/>
    <n v="150.9"/>
    <n v="133.69999999999999"/>
    <n v="140.69999999999999"/>
    <n v="165.1"/>
    <n v="141.80000000000001"/>
    <n v="113.1"/>
    <n v="152.80000000000001"/>
    <n v="140.1"/>
    <n v="159.19999999999999"/>
    <n v="149.80000000000001"/>
    <n v="169.4"/>
    <n v="153"/>
    <n v="147.5"/>
    <n v="152.30000000000001"/>
    <n v="139.27096774193564"/>
    <n v="152.30000000000001"/>
    <n v="151.80000000000001"/>
    <n v="156.19999999999999"/>
    <n v="136"/>
    <n v="150.4"/>
    <n v="161.9"/>
    <n v="143.4"/>
    <n v="148.4"/>
    <n v="150.4"/>
    <n v="148.51428571428571"/>
    <n v="145.53548387096782"/>
    <n v="151.02500000000001"/>
    <n v="2079.1999999999998"/>
    <n v="291.07096774193565"/>
    <n v="300.5"/>
    <n v="604.1"/>
    <n v="3719.3709677419356"/>
  </r>
  <r>
    <x v="1"/>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149.18571428571428"/>
    <n v="147.60000000000002"/>
    <n v="142.94999999999999"/>
    <n v="2088.6"/>
    <n v="295.20000000000005"/>
    <n v="280.8"/>
    <n v="571.79999999999995"/>
    <n v="3644.8999999999996"/>
  </r>
  <r>
    <x v="2"/>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148.69285714285712"/>
    <n v="150.60000000000002"/>
    <n v="146.6"/>
    <n v="2081.6999999999998"/>
    <n v="301.20000000000005"/>
    <n v="292.5"/>
    <n v="586.4"/>
    <n v="3690.9999999999995"/>
  </r>
  <r>
    <x v="0"/>
    <x v="7"/>
    <s v="March"/>
    <n v="144.4"/>
    <n v="166.8"/>
    <n v="147.6"/>
    <n v="151.69999999999999"/>
    <n v="133.30000000000001"/>
    <n v="141.80000000000001"/>
    <n v="152.30000000000001"/>
    <n v="141.80000000000001"/>
    <n v="112.6"/>
    <n v="154"/>
    <n v="140.1"/>
    <n v="160"/>
    <n v="148.19999999999999"/>
    <n v="170.5"/>
    <n v="153.4"/>
    <n v="147.6"/>
    <n v="152.5"/>
    <n v="139.27096774193564"/>
    <n v="153.4"/>
    <n v="151.5"/>
    <n v="156.69999999999999"/>
    <n v="135.80000000000001"/>
    <n v="151.19999999999999"/>
    <n v="161.19999999999999"/>
    <n v="145.1"/>
    <n v="148.6"/>
    <n v="149.80000000000001"/>
    <n v="147.50714285714281"/>
    <n v="145.38548387096782"/>
    <n v="151.52499999999998"/>
    <n v="2065.0999999999995"/>
    <n v="290.77096774193564"/>
    <n v="301"/>
    <n v="606.09999999999991"/>
    <n v="3708.8709677419351"/>
  </r>
  <r>
    <x v="1"/>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147.98571428571429"/>
    <n v="147.65"/>
    <n v="143.6"/>
    <n v="2071.8000000000002"/>
    <n v="295.3"/>
    <n v="281.5"/>
    <n v="574.4"/>
    <n v="3634"/>
  </r>
  <r>
    <x v="2"/>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147.6142857142857"/>
    <n v="150.44999999999999"/>
    <n v="147.19999999999999"/>
    <n v="2066.6"/>
    <n v="300.89999999999998"/>
    <n v="293.10000000000002"/>
    <n v="588.79999999999995"/>
    <n v="3680.5"/>
  </r>
  <r>
    <x v="0"/>
    <x v="7"/>
    <s v="April"/>
    <n v="147.19999999999999"/>
    <m/>
    <n v="146.9"/>
    <n v="155.6"/>
    <n v="137.1"/>
    <n v="147.30000000000001"/>
    <n v="162.69999999999999"/>
    <n v="150.19999999999999"/>
    <n v="119.8"/>
    <n v="158.69999999999999"/>
    <n v="139.19999999999999"/>
    <m/>
    <n v="150.1"/>
    <m/>
    <m/>
    <m/>
    <m/>
    <n v="139.27096774193564"/>
    <n v="148.4"/>
    <m/>
    <n v="154.30000000000001"/>
    <m/>
    <m/>
    <m/>
    <m/>
    <m/>
    <m/>
    <n v="146.80000000000001"/>
    <n v="139.27096774193564"/>
    <e v="#DIV/0!"/>
    <n v="1614.8000000000002"/>
    <n v="139.27096774193564"/>
    <n v="0"/>
    <n v="0"/>
    <n v="2056.7709677419357"/>
  </r>
  <r>
    <x v="1"/>
    <x v="7"/>
    <s v="April"/>
    <n v="151.80000000000001"/>
    <m/>
    <n v="151.9"/>
    <n v="155.5"/>
    <n v="131.6"/>
    <n v="152.9"/>
    <n v="180"/>
    <n v="150.80000000000001"/>
    <n v="121.2"/>
    <n v="154"/>
    <n v="133.5"/>
    <m/>
    <n v="153.5"/>
    <m/>
    <m/>
    <m/>
    <m/>
    <n v="155.6"/>
    <n v="137.1"/>
    <m/>
    <n v="144.80000000000001"/>
    <m/>
    <m/>
    <m/>
    <m/>
    <m/>
    <m/>
    <n v="148.79090909090908"/>
    <n v="155.6"/>
    <e v="#DIV/0!"/>
    <n v="1636.7"/>
    <n v="155.6"/>
    <n v="0"/>
    <n v="0"/>
    <n v="2074.1999999999998"/>
  </r>
  <r>
    <x v="2"/>
    <x v="7"/>
    <s v="April"/>
    <n v="148.69999999999999"/>
    <m/>
    <n v="148.80000000000001"/>
    <n v="155.6"/>
    <n v="135.1"/>
    <n v="149.9"/>
    <n v="168.6"/>
    <n v="150.4"/>
    <n v="120.3"/>
    <n v="157.1"/>
    <n v="136.80000000000001"/>
    <m/>
    <n v="151.4"/>
    <m/>
    <m/>
    <m/>
    <m/>
    <n v="155.6"/>
    <n v="144.1"/>
    <m/>
    <n v="150.69999999999999"/>
    <m/>
    <m/>
    <m/>
    <m/>
    <m/>
    <m/>
    <n v="147.51818181818183"/>
    <n v="155.6"/>
    <e v="#DIV/0!"/>
    <n v="1622.7"/>
    <n v="155.6"/>
    <n v="0"/>
    <n v="0"/>
    <n v="2073.1"/>
  </r>
  <r>
    <x v="0"/>
    <x v="7"/>
    <s v="May"/>
    <m/>
    <m/>
    <m/>
    <m/>
    <m/>
    <m/>
    <m/>
    <m/>
    <m/>
    <m/>
    <m/>
    <m/>
    <m/>
    <m/>
    <m/>
    <m/>
    <m/>
    <n v="139.27096774193564"/>
    <m/>
    <m/>
    <m/>
    <m/>
    <m/>
    <m/>
    <m/>
    <m/>
    <m/>
    <e v="#DIV/0!"/>
    <n v="139.27096774193564"/>
    <e v="#DIV/0!"/>
    <n v="0"/>
    <n v="139.27096774193564"/>
    <n v="0"/>
    <n v="0"/>
    <n v="139.27096774193564"/>
  </r>
  <r>
    <x v="1"/>
    <x v="7"/>
    <s v="May"/>
    <m/>
    <m/>
    <m/>
    <m/>
    <m/>
    <m/>
    <m/>
    <m/>
    <m/>
    <m/>
    <m/>
    <m/>
    <m/>
    <m/>
    <m/>
    <m/>
    <m/>
    <n v="139.27096774193564"/>
    <m/>
    <m/>
    <m/>
    <m/>
    <m/>
    <m/>
    <m/>
    <m/>
    <m/>
    <e v="#DIV/0!"/>
    <n v="139.27096774193564"/>
    <e v="#DIV/0!"/>
    <n v="0"/>
    <n v="139.27096774193564"/>
    <n v="0"/>
    <n v="0"/>
    <n v="139.27096774193564"/>
  </r>
  <r>
    <x v="2"/>
    <x v="7"/>
    <s v="May"/>
    <m/>
    <m/>
    <m/>
    <m/>
    <m/>
    <m/>
    <m/>
    <m/>
    <m/>
    <m/>
    <m/>
    <m/>
    <m/>
    <m/>
    <m/>
    <m/>
    <m/>
    <n v="139.27096774193564"/>
    <m/>
    <m/>
    <m/>
    <m/>
    <m/>
    <m/>
    <m/>
    <m/>
    <m/>
    <e v="#DIV/0!"/>
    <n v="139.27096774193564"/>
    <e v="#DIV/0!"/>
    <n v="0"/>
    <n v="139.27096774193564"/>
    <n v="0"/>
    <n v="0"/>
    <n v="139.27096774193564"/>
  </r>
  <r>
    <x v="0"/>
    <x v="7"/>
    <s v="June"/>
    <n v="148.19999999999999"/>
    <n v="190.3"/>
    <n v="149.4"/>
    <n v="153.30000000000001"/>
    <n v="138.19999999999999"/>
    <n v="143.19999999999999"/>
    <n v="148.9"/>
    <n v="150.30000000000001"/>
    <n v="113.2"/>
    <n v="159.80000000000001"/>
    <n v="142.1"/>
    <n v="161.80000000000001"/>
    <n v="152.30000000000001"/>
    <n v="182.4"/>
    <n v="154.69999999999999"/>
    <n v="150"/>
    <n v="154.1"/>
    <n v="139.27096774193564"/>
    <n v="144.9"/>
    <n v="151.69999999999999"/>
    <n v="158.19999999999999"/>
    <n v="141.4"/>
    <n v="153.19999999999999"/>
    <n v="161.80000000000001"/>
    <n v="151.19999999999999"/>
    <n v="151.69999999999999"/>
    <n v="152.69999999999999"/>
    <n v="152.3857142857143"/>
    <n v="145.48548387096781"/>
    <n v="154.47499999999999"/>
    <n v="2133.4"/>
    <n v="290.97096774193562"/>
    <n v="304.7"/>
    <n v="617.9"/>
    <n v="3791.4709677419355"/>
  </r>
  <r>
    <x v="1"/>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55.83571428571426"/>
    <n v="147.55000000000001"/>
    <n v="147.80000000000001"/>
    <n v="2181.6999999999998"/>
    <n v="295.10000000000002"/>
    <n v="285.7"/>
    <n v="591.20000000000005"/>
    <n v="3768.2"/>
  </r>
  <r>
    <x v="2"/>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53.59285714285716"/>
    <n v="150.55000000000001"/>
    <n v="150.82499999999999"/>
    <n v="2150.3000000000002"/>
    <n v="301.10000000000002"/>
    <n v="296.89999999999998"/>
    <n v="603.29999999999995"/>
    <n v="3782.9000000000005"/>
  </r>
  <r>
    <x v="0"/>
    <x v="7"/>
    <s v="July"/>
    <n v="148.19999999999999"/>
    <n v="190.3"/>
    <n v="149.4"/>
    <n v="153.30000000000001"/>
    <n v="138.19999999999999"/>
    <n v="143.19999999999999"/>
    <n v="148.9"/>
    <n v="150.30000000000001"/>
    <n v="113.2"/>
    <n v="159.80000000000001"/>
    <n v="142.1"/>
    <n v="161.80000000000001"/>
    <n v="152.30000000000001"/>
    <n v="182.4"/>
    <n v="154.69999999999999"/>
    <n v="150"/>
    <n v="154.1"/>
    <n v="139.27096774193564"/>
    <n v="144.9"/>
    <n v="151.69999999999999"/>
    <n v="158.19999999999999"/>
    <n v="141.4"/>
    <n v="153.19999999999999"/>
    <n v="161.80000000000001"/>
    <n v="151.19999999999999"/>
    <n v="151.69999999999999"/>
    <n v="152.69999999999999"/>
    <n v="152.3857142857143"/>
    <n v="145.48548387096781"/>
    <n v="154.47499999999999"/>
    <n v="2133.4"/>
    <n v="290.97096774193562"/>
    <n v="304.7"/>
    <n v="617.9"/>
    <n v="3791.4709677419355"/>
  </r>
  <r>
    <x v="1"/>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55.83571428571426"/>
    <n v="147.55000000000001"/>
    <n v="147.80000000000001"/>
    <n v="2181.6999999999998"/>
    <n v="295.10000000000002"/>
    <n v="285.7"/>
    <n v="591.20000000000005"/>
    <n v="3768.2"/>
  </r>
  <r>
    <x v="2"/>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53.59285714285716"/>
    <n v="150.55000000000001"/>
    <n v="150.82499999999999"/>
    <n v="2150.3000000000002"/>
    <n v="301.10000000000002"/>
    <n v="296.89999999999998"/>
    <n v="603.29999999999995"/>
    <n v="3782.9000000000005"/>
  </r>
  <r>
    <x v="0"/>
    <x v="7"/>
    <s v="August"/>
    <n v="147.6"/>
    <n v="187.2"/>
    <n v="148.4"/>
    <n v="153.30000000000001"/>
    <n v="139.80000000000001"/>
    <n v="146.9"/>
    <n v="171"/>
    <n v="149.9"/>
    <n v="114.2"/>
    <n v="160"/>
    <n v="143.5"/>
    <n v="161.5"/>
    <n v="155.30000000000001"/>
    <n v="180.9"/>
    <n v="155.1"/>
    <n v="149.30000000000001"/>
    <n v="154.30000000000001"/>
    <n v="139.27096774193564"/>
    <n v="145.80000000000001"/>
    <n v="151.9"/>
    <n v="158.80000000000001"/>
    <n v="143.6"/>
    <n v="152.19999999999999"/>
    <n v="162.69999999999999"/>
    <n v="153.6"/>
    <n v="153"/>
    <n v="154.69999999999999"/>
    <n v="154.25"/>
    <n v="145.58548387096783"/>
    <n v="155.375"/>
    <n v="2159.5"/>
    <n v="291.17096774193567"/>
    <n v="304.39999999999998"/>
    <n v="621.5"/>
    <n v="3824.7709677419357"/>
  </r>
  <r>
    <x v="1"/>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158.00714285714284"/>
    <n v="150"/>
    <n v="149.17500000000001"/>
    <n v="2212.1"/>
    <n v="300"/>
    <n v="285.2"/>
    <n v="596.70000000000005"/>
    <n v="3814.9"/>
  </r>
  <r>
    <x v="2"/>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n v="155.55714285714285"/>
    <n v="151.94999999999999"/>
    <n v="151.94999999999999"/>
    <n v="2177.7999999999997"/>
    <n v="303.89999999999998"/>
    <n v="296.5"/>
    <n v="607.79999999999995"/>
    <n v="3822.4999999999995"/>
  </r>
  <r>
    <x v="0"/>
    <x v="7"/>
    <s v="September"/>
    <n v="146.9"/>
    <n v="183.9"/>
    <n v="149.5"/>
    <n v="153.4"/>
    <n v="140.4"/>
    <n v="147"/>
    <n v="178.8"/>
    <n v="149.30000000000001"/>
    <n v="115.1"/>
    <n v="160"/>
    <n v="145.4"/>
    <n v="161.6"/>
    <n v="156.1"/>
    <n v="182.9"/>
    <n v="155.4"/>
    <n v="149.9"/>
    <n v="154.6"/>
    <n v="139.27096774193564"/>
    <n v="146.4"/>
    <n v="151.6"/>
    <n v="159.1"/>
    <n v="144.6"/>
    <n v="152.80000000000001"/>
    <n v="161.1"/>
    <n v="157.4"/>
    <n v="153.69999999999999"/>
    <n v="155.4"/>
    <n v="155.02142857142854"/>
    <n v="145.4354838709678"/>
    <n v="156.25"/>
    <n v="2170.2999999999997"/>
    <n v="290.8709677419356"/>
    <n v="305.3"/>
    <n v="625"/>
    <n v="3841.570967741935"/>
  </r>
  <r>
    <x v="1"/>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159.30714285714288"/>
    <n v="150.85000000000002"/>
    <n v="150.625"/>
    <n v="2230.3000000000002"/>
    <n v="301.70000000000005"/>
    <n v="286.5"/>
    <n v="602.5"/>
    <n v="3843.2999999999997"/>
  </r>
  <r>
    <x v="2"/>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156.52857142857144"/>
    <n v="152.5"/>
    <n v="153.125"/>
    <n v="2191.4"/>
    <n v="305"/>
    <n v="297.70000000000005"/>
    <n v="612.5"/>
    <n v="3844.7000000000003"/>
  </r>
  <r>
    <x v="0"/>
    <x v="7"/>
    <s v="October"/>
    <n v="146"/>
    <n v="186.3"/>
    <n v="159.19999999999999"/>
    <n v="153.6"/>
    <n v="142.6"/>
    <n v="147.19999999999999"/>
    <n v="200.6"/>
    <n v="150.30000000000001"/>
    <n v="115.3"/>
    <n v="160.9"/>
    <n v="147.4"/>
    <n v="161.9"/>
    <n v="159.6"/>
    <n v="182.7"/>
    <n v="155.69999999999999"/>
    <n v="150.6"/>
    <n v="155"/>
    <n v="139.27096774193564"/>
    <n v="146.80000000000001"/>
    <n v="152"/>
    <n v="159.5"/>
    <n v="146.4"/>
    <n v="152.4"/>
    <n v="162.5"/>
    <n v="156.19999999999999"/>
    <n v="154.30000000000001"/>
    <n v="157.5"/>
    <n v="158.1142857142857"/>
    <n v="145.63548387096782"/>
    <n v="156.35"/>
    <n v="2213.6"/>
    <n v="291.27096774193564"/>
    <n v="306.29999999999995"/>
    <n v="625.4"/>
    <n v="3889.2709677419357"/>
  </r>
  <r>
    <x v="1"/>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162.06428571428569"/>
    <n v="150.80000000000001"/>
    <n v="150.5"/>
    <n v="2268.8999999999996"/>
    <n v="301.60000000000002"/>
    <n v="286.60000000000002"/>
    <n v="602"/>
    <n v="3882.5999999999995"/>
  </r>
  <r>
    <x v="2"/>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159.49285714285719"/>
    <n v="152.6"/>
    <n v="153.1"/>
    <n v="2232.9000000000005"/>
    <n v="305.2"/>
    <n v="298.29999999999995"/>
    <n v="612.4"/>
    <n v="3888.8"/>
  </r>
  <r>
    <x v="0"/>
    <x v="7"/>
    <s v="November"/>
    <n v="145.4"/>
    <n v="188.6"/>
    <n v="171.6"/>
    <n v="153.80000000000001"/>
    <n v="145.4"/>
    <n v="146.5"/>
    <n v="222.2"/>
    <n v="155.9"/>
    <n v="114.9"/>
    <n v="162"/>
    <n v="150"/>
    <n v="162.69999999999999"/>
    <n v="163.4"/>
    <n v="183.4"/>
    <n v="156.30000000000001"/>
    <n v="151"/>
    <n v="155.5"/>
    <n v="139.27096774193564"/>
    <n v="147.5"/>
    <n v="152.80000000000001"/>
    <n v="160.4"/>
    <n v="146.1"/>
    <n v="153.6"/>
    <n v="161.6"/>
    <n v="156.19999999999999"/>
    <n v="154.5"/>
    <n v="159.80000000000001"/>
    <n v="161.84285714285716"/>
    <n v="146.03548387096782"/>
    <n v="156.47499999999999"/>
    <n v="2265.8000000000002"/>
    <n v="292.07096774193565"/>
    <n v="307.3"/>
    <n v="625.9"/>
    <n v="3945.0709677419359"/>
  </r>
  <r>
    <x v="1"/>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164.96428571428572"/>
    <n v="151.55000000000001"/>
    <n v="151.32499999999999"/>
    <n v="2309.5"/>
    <n v="303.10000000000002"/>
    <n v="287.5"/>
    <n v="605.29999999999995"/>
    <n v="3929.9"/>
  </r>
  <r>
    <x v="2"/>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162.8857142857143"/>
    <n v="153.6"/>
    <n v="153.65"/>
    <n v="2280.4"/>
    <n v="307.2"/>
    <n v="299.20000000000005"/>
    <n v="614.6"/>
    <n v="3942.6"/>
  </r>
  <r>
    <x v="0"/>
    <x v="7"/>
    <s v="December"/>
    <n v="144.6"/>
    <n v="188.5"/>
    <n v="173.4"/>
    <n v="154"/>
    <n v="150"/>
    <n v="145.9"/>
    <n v="225.2"/>
    <n v="159.5"/>
    <n v="114.4"/>
    <n v="163.5"/>
    <n v="153.4"/>
    <n v="163.6"/>
    <n v="164.5"/>
    <n v="183.6"/>
    <n v="157"/>
    <n v="151.6"/>
    <n v="156.30000000000001"/>
    <n v="139.27096774193564"/>
    <n v="148.69999999999999"/>
    <n v="153.4"/>
    <n v="161.6"/>
    <n v="146.4"/>
    <n v="153.9"/>
    <n v="162.9"/>
    <n v="156.6"/>
    <n v="155.19999999999999"/>
    <n v="160.69999999999999"/>
    <n v="163.15"/>
    <n v="146.33548387096783"/>
    <n v="157.14999999999998"/>
    <n v="2284.1"/>
    <n v="292.67096774193567"/>
    <n v="308.60000000000002"/>
    <n v="628.59999999999991"/>
    <n v="3970.6709677419353"/>
  </r>
  <r>
    <x v="1"/>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165.4"/>
    <n v="151.94999999999999"/>
    <n v="151.5"/>
    <n v="2315.6"/>
    <n v="303.89999999999998"/>
    <n v="288.60000000000002"/>
    <n v="606"/>
    <n v="3940.4"/>
  </r>
  <r>
    <x v="2"/>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163.89285714285714"/>
    <n v="154.05000000000001"/>
    <n v="154.04999999999998"/>
    <n v="2294.5"/>
    <n v="308.10000000000002"/>
    <n v="300.39999999999998"/>
    <n v="616.19999999999993"/>
    <n v="3962.7999999999997"/>
  </r>
  <r>
    <x v="0"/>
    <x v="8"/>
    <s v="January"/>
    <n v="143.4"/>
    <n v="187.5"/>
    <n v="173.4"/>
    <n v="154"/>
    <n v="154.80000000000001"/>
    <n v="147"/>
    <n v="187.8"/>
    <n v="159.5"/>
    <n v="113.8"/>
    <n v="164.5"/>
    <n v="156.1"/>
    <n v="164.3"/>
    <n v="159.6"/>
    <n v="184.6"/>
    <n v="157.5"/>
    <n v="152.4"/>
    <n v="156.80000000000001"/>
    <n v="139.27096774193564"/>
    <n v="150.9"/>
    <n v="153.9"/>
    <n v="162.5"/>
    <n v="147.5"/>
    <n v="155.1"/>
    <n v="163.5"/>
    <n v="156.19999999999999"/>
    <n v="155.9"/>
    <n v="158.5"/>
    <n v="160.73571428571427"/>
    <n v="146.58548387096783"/>
    <n v="157.67500000000001"/>
    <n v="2250.2999999999997"/>
    <n v="293.17096774193567"/>
    <n v="309.89999999999998"/>
    <n v="630.70000000000005"/>
    <n v="3944.9709677419355"/>
  </r>
  <r>
    <x v="1"/>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163.48571428571429"/>
    <n v="151.69999999999999"/>
    <n v="151.69999999999999"/>
    <n v="2288.8000000000002"/>
    <n v="303.39999999999998"/>
    <n v="289.8"/>
    <n v="606.79999999999995"/>
    <n v="3922.7000000000003"/>
  </r>
  <r>
    <x v="2"/>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161.64285714285714"/>
    <n v="153.85"/>
    <n v="154.375"/>
    <n v="2263"/>
    <n v="307.7"/>
    <n v="301.60000000000002"/>
    <n v="617.5"/>
    <n v="3938.9000000000005"/>
  </r>
  <r>
    <x v="0"/>
    <x v="8"/>
    <s v="February"/>
    <n v="142.80000000000001"/>
    <n v="184"/>
    <n v="168"/>
    <n v="154.4"/>
    <n v="163"/>
    <n v="147.80000000000001"/>
    <n v="149.69999999999999"/>
    <n v="158.30000000000001"/>
    <n v="111.8"/>
    <n v="165"/>
    <n v="160"/>
    <n v="165.8"/>
    <n v="154.69999999999999"/>
    <n v="186.5"/>
    <n v="159.1"/>
    <n v="153.9"/>
    <n v="158.4"/>
    <n v="139.27096774193564"/>
    <n v="154.4"/>
    <n v="154.80000000000001"/>
    <n v="164.3"/>
    <n v="150.19999999999999"/>
    <n v="157"/>
    <n v="163.6"/>
    <n v="155.19999999999999"/>
    <n v="157.19999999999999"/>
    <n v="156.69999999999999"/>
    <n v="157.98571428571429"/>
    <n v="147.03548387096782"/>
    <n v="158.25"/>
    <n v="2211.8000000000002"/>
    <n v="294.07096774193565"/>
    <n v="313"/>
    <n v="633"/>
    <n v="3920.7709677419357"/>
  </r>
  <r>
    <x v="1"/>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161.37857142857143"/>
    <n v="153.15"/>
    <n v="152.47500000000002"/>
    <n v="2259.3000000000002"/>
    <n v="306.3"/>
    <n v="292.39999999999998"/>
    <n v="609.90000000000009"/>
    <n v="3913.8000000000006"/>
  </r>
  <r>
    <x v="2"/>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159.11428571428573"/>
    <n v="155.35000000000002"/>
    <n v="155.05000000000001"/>
    <n v="2227.6000000000004"/>
    <n v="310.70000000000005"/>
    <n v="304.60000000000002"/>
    <n v="620.20000000000005"/>
    <n v="3921.9000000000005"/>
  </r>
  <r>
    <x v="0"/>
    <x v="8"/>
    <s v="March"/>
    <n v="142.5"/>
    <n v="189.4"/>
    <n v="163.19999999999999"/>
    <n v="154.5"/>
    <n v="168.2"/>
    <n v="150.5"/>
    <n v="141"/>
    <n v="159.19999999999999"/>
    <n v="111.7"/>
    <n v="164"/>
    <n v="160.6"/>
    <n v="166.4"/>
    <n v="154.5"/>
    <n v="186.1"/>
    <n v="159.6"/>
    <n v="154.4"/>
    <n v="158.9"/>
    <n v="139.27096774193564"/>
    <n v="156"/>
    <n v="154.80000000000001"/>
    <n v="164.6"/>
    <n v="151.30000000000001"/>
    <n v="157.80000000000001"/>
    <n v="163.80000000000001"/>
    <n v="153.1"/>
    <n v="157.30000000000001"/>
    <n v="156.69999999999999"/>
    <n v="157.98571428571429"/>
    <n v="147.03548387096782"/>
    <n v="158"/>
    <n v="2211.8000000000002"/>
    <n v="294.07096774193565"/>
    <n v="314"/>
    <n v="632"/>
    <n v="3923.7709677419357"/>
  </r>
  <r>
    <x v="1"/>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161.28571428571425"/>
    <n v="153.55000000000001"/>
    <n v="152.77500000000001"/>
    <n v="2257.9999999999995"/>
    <n v="307.10000000000002"/>
    <n v="293.79999999999995"/>
    <n v="611.1"/>
    <n v="3923.3999999999996"/>
  </r>
  <r>
    <x v="2"/>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159.10714285714286"/>
    <n v="155.55000000000001"/>
    <n v="155.1"/>
    <n v="2227.5"/>
    <n v="311.10000000000002"/>
    <n v="305.70000000000005"/>
    <n v="620.4"/>
    <n v="3928.0999999999995"/>
  </r>
  <r>
    <x v="0"/>
    <x v="8"/>
    <s v="April"/>
    <n v="142.69999999999999"/>
    <n v="195.5"/>
    <n v="163.4"/>
    <n v="155"/>
    <n v="175.2"/>
    <n v="160.6"/>
    <n v="135.1"/>
    <n v="161.1"/>
    <n v="112.2"/>
    <n v="164.4"/>
    <n v="161.9"/>
    <n v="166.8"/>
    <n v="155.6"/>
    <n v="186.8"/>
    <n v="160.69999999999999"/>
    <n v="155.1"/>
    <n v="159.9"/>
    <n v="139.27096774193564"/>
    <n v="156"/>
    <n v="155.5"/>
    <n v="165.3"/>
    <n v="151.69999999999999"/>
    <n v="158.6"/>
    <n v="164.1"/>
    <n v="154.6"/>
    <n v="158"/>
    <n v="157.6"/>
    <n v="159.73571428571429"/>
    <n v="147.38548387096782"/>
    <n v="158.82500000000002"/>
    <n v="2236.3000000000002"/>
    <n v="294.77096774193564"/>
    <n v="315.79999999999995"/>
    <n v="635.30000000000007"/>
    <n v="3955.1709677419358"/>
  </r>
  <r>
    <x v="1"/>
    <x v="8"/>
    <s v="April"/>
    <n v="147.6"/>
    <n v="202.5"/>
    <n v="166.4"/>
    <n v="156"/>
    <n v="161.4"/>
    <n v="168.8"/>
    <n v="161.6"/>
    <n v="162.80000000000001"/>
    <n v="114.8"/>
    <n v="162.80000000000001"/>
    <n v="151.5"/>
    <n v="171.4"/>
    <n v="162"/>
    <n v="194.4"/>
    <n v="155.9"/>
    <n v="139.30000000000001"/>
    <n v="153.4"/>
    <n v="161.4"/>
    <n v="154.9"/>
    <n v="147.6"/>
    <n v="157.5"/>
    <n v="142.1"/>
    <n v="149.1"/>
    <n v="157.6"/>
    <n v="156.6"/>
    <n v="150.5"/>
    <n v="158"/>
    <n v="163.14285714285714"/>
    <n v="154.5"/>
    <n v="153.45000000000002"/>
    <n v="2284"/>
    <n v="309"/>
    <n v="295.20000000000005"/>
    <n v="613.80000000000007"/>
    <n v="3956.5"/>
  </r>
  <r>
    <x v="2"/>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160.92142857142858"/>
    <n v="156.60000000000002"/>
    <n v="155.82499999999999"/>
    <n v="2252.9"/>
    <n v="313.20000000000005"/>
    <n v="307.3"/>
    <n v="623.29999999999995"/>
    <n v="3961.2"/>
  </r>
  <r>
    <x v="0"/>
    <x v="8"/>
    <s v="May"/>
    <n v="145.1"/>
    <n v="198.5"/>
    <n v="168.6"/>
    <n v="155.80000000000001"/>
    <n v="184.4"/>
    <n v="162.30000000000001"/>
    <n v="138.4"/>
    <n v="165.1"/>
    <n v="114.3"/>
    <n v="169.7"/>
    <n v="164.6"/>
    <n v="169.8"/>
    <n v="158.69999999999999"/>
    <n v="189.6"/>
    <n v="165.3"/>
    <n v="160.6"/>
    <n v="164.5"/>
    <n v="139.27096774193564"/>
    <n v="161.69999999999999"/>
    <n v="158.80000000000001"/>
    <n v="169.1"/>
    <n v="153.19999999999999"/>
    <n v="160"/>
    <n v="167.6"/>
    <n v="159.30000000000001"/>
    <n v="161.1"/>
    <n v="161.1"/>
    <n v="163.20714285714283"/>
    <n v="149.03548387096782"/>
    <n v="162"/>
    <n v="2284.8999999999996"/>
    <n v="298.07096774193565"/>
    <n v="325.89999999999998"/>
    <n v="648"/>
    <n v="4040.8709677419347"/>
  </r>
  <r>
    <x v="1"/>
    <x v="8"/>
    <s v="May"/>
    <n v="148.80000000000001"/>
    <n v="204.3"/>
    <n v="173"/>
    <n v="156.5"/>
    <n v="168.8"/>
    <n v="172.5"/>
    <n v="166.5"/>
    <n v="165.9"/>
    <n v="115.9"/>
    <n v="165.2"/>
    <n v="152"/>
    <n v="171.1"/>
    <n v="164.2"/>
    <n v="198.2"/>
    <n v="156.5"/>
    <n v="140.19999999999999"/>
    <n v="154.1"/>
    <n v="161.6"/>
    <n v="155.5"/>
    <n v="150.1"/>
    <n v="160.4"/>
    <n v="145"/>
    <n v="152.6"/>
    <n v="156.6"/>
    <n v="157.5"/>
    <n v="152.30000000000001"/>
    <n v="159.5"/>
    <n v="165.92142857142858"/>
    <n v="155.85"/>
    <n v="154.75"/>
    <n v="2322.9"/>
    <n v="311.7"/>
    <n v="296.7"/>
    <n v="619"/>
    <n v="4011.2000000000003"/>
  </r>
  <r>
    <x v="2"/>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164.11428571428573"/>
    <n v="158.14999999999998"/>
    <n v="158.1"/>
    <n v="2297.6000000000004"/>
    <n v="316.29999999999995"/>
    <n v="313.89999999999998"/>
    <n v="632.4"/>
    <n v="4034.3000000000006"/>
  </r>
  <r>
    <x v="0"/>
    <x v="8"/>
    <s v="June"/>
    <n v="145.6"/>
    <n v="200.1"/>
    <n v="179.3"/>
    <n v="156.1"/>
    <n v="190.4"/>
    <n v="158.6"/>
    <n v="144.69999999999999"/>
    <n v="165.5"/>
    <n v="114.6"/>
    <n v="170"/>
    <n v="165.5"/>
    <n v="171.7"/>
    <n v="160.5"/>
    <n v="189.1"/>
    <n v="165.3"/>
    <n v="159.9"/>
    <n v="164.6"/>
    <n v="139.27096774193564"/>
    <n v="162.1"/>
    <n v="159.19999999999999"/>
    <n v="169.7"/>
    <n v="154.19999999999999"/>
    <n v="160.4"/>
    <n v="166.8"/>
    <n v="159.4"/>
    <n v="161.5"/>
    <n v="162.1"/>
    <n v="165.12142857142857"/>
    <n v="149.23548387096781"/>
    <n v="162.02500000000001"/>
    <n v="2311.6999999999998"/>
    <n v="298.47096774193562"/>
    <n v="325.20000000000005"/>
    <n v="648.1"/>
    <n v="4069.4709677419351"/>
  </r>
  <r>
    <x v="1"/>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167.84285714285713"/>
    <n v="155.15"/>
    <n v="155.05000000000001"/>
    <n v="2349.7999999999997"/>
    <n v="310.3"/>
    <n v="297.8"/>
    <n v="620.20000000000005"/>
    <n v="4042.4999999999995"/>
  </r>
  <r>
    <x v="2"/>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166.05"/>
    <n v="157.65"/>
    <n v="158.25"/>
    <n v="2324.7000000000003"/>
    <n v="315.3"/>
    <n v="314"/>
    <n v="633"/>
    <n v="4063.8"/>
  </r>
  <r>
    <x v="0"/>
    <x v="8"/>
    <s v="July"/>
    <n v="145.1"/>
    <n v="204.5"/>
    <n v="180.4"/>
    <n v="157.1"/>
    <n v="188.7"/>
    <n v="157.69999999999999"/>
    <n v="152.80000000000001"/>
    <n v="163.6"/>
    <n v="113.9"/>
    <n v="169.7"/>
    <n v="166.2"/>
    <n v="171"/>
    <n v="161.69999999999999"/>
    <n v="189.7"/>
    <n v="166"/>
    <n v="161.1"/>
    <n v="165.3"/>
    <n v="139.27096774193564"/>
    <n v="162.5"/>
    <n v="160.30000000000001"/>
    <n v="170.4"/>
    <n v="157.1"/>
    <n v="160.69999999999999"/>
    <n v="167.2"/>
    <n v="160.4"/>
    <n v="162.80000000000001"/>
    <n v="163.19999999999999"/>
    <n v="165.8642857142857"/>
    <n v="149.78548387096782"/>
    <n v="162.77500000000001"/>
    <n v="2322.1"/>
    <n v="299.57096774193565"/>
    <n v="327.10000000000002"/>
    <n v="651.1"/>
    <n v="4089.8709677419356"/>
  </r>
  <r>
    <x v="1"/>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169.09285714285716"/>
    <n v="156.1"/>
    <n v="156.52500000000001"/>
    <n v="2367.3000000000002"/>
    <n v="312.2"/>
    <n v="299.8"/>
    <n v="626.1"/>
    <n v="4074.1000000000004"/>
  </r>
  <r>
    <x v="2"/>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167.01428571428571"/>
    <n v="158.65"/>
    <n v="159.4"/>
    <n v="2338.1999999999998"/>
    <n v="317.3"/>
    <n v="315.89999999999998"/>
    <n v="637.6"/>
    <n v="4089.7999999999997"/>
  </r>
  <r>
    <x v="0"/>
    <x v="8"/>
    <s v="August"/>
    <n v="144.9"/>
    <n v="202.3"/>
    <n v="176.5"/>
    <n v="157.5"/>
    <n v="190.9"/>
    <n v="155.69999999999999"/>
    <n v="153.9"/>
    <n v="162.80000000000001"/>
    <n v="115.2"/>
    <n v="169.8"/>
    <n v="167.6"/>
    <n v="171.9"/>
    <n v="161.80000000000001"/>
    <n v="190.2"/>
    <n v="167"/>
    <n v="162.6"/>
    <n v="166.3"/>
    <n v="139.27096774193564"/>
    <n v="163.1"/>
    <n v="160.9"/>
    <n v="171.1"/>
    <n v="157.69999999999999"/>
    <n v="161.1"/>
    <n v="167.5"/>
    <n v="160.30000000000001"/>
    <n v="163.30000000000001"/>
    <n v="163.6"/>
    <n v="165.78571428571428"/>
    <n v="150.08548387096783"/>
    <n v="163.05000000000001"/>
    <n v="2321"/>
    <n v="300.17096774193567"/>
    <n v="329.6"/>
    <n v="652.20000000000005"/>
    <n v="4094.8709677419356"/>
  </r>
  <r>
    <x v="1"/>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168.17142857142858"/>
    <n v="157.64999999999998"/>
    <n v="157.42500000000001"/>
    <n v="2354.4"/>
    <n v="315.29999999999995"/>
    <n v="303.39999999999998"/>
    <n v="629.70000000000005"/>
    <n v="4076.7000000000003"/>
  </r>
  <r>
    <x v="2"/>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166.72142857142856"/>
    <n v="159.80000000000001"/>
    <n v="160.35"/>
    <n v="2334.1"/>
    <n v="319.60000000000002"/>
    <n v="319.8"/>
    <n v="641.4"/>
    <n v="4099.9000000000005"/>
  </r>
  <r>
    <x v="0"/>
    <x v="8"/>
    <s v="September"/>
    <n v="145.4"/>
    <n v="202.1"/>
    <n v="172"/>
    <n v="158"/>
    <n v="195.5"/>
    <n v="152.69999999999999"/>
    <n v="151.4"/>
    <n v="163.9"/>
    <n v="119.3"/>
    <n v="170.1"/>
    <n v="168.3"/>
    <n v="172.8"/>
    <n v="162.1"/>
    <n v="190.5"/>
    <n v="167.7"/>
    <n v="163.6"/>
    <n v="167.1"/>
    <n v="139.27096774193564"/>
    <n v="163.69999999999999"/>
    <n v="161.30000000000001"/>
    <n v="171.9"/>
    <n v="157.80000000000001"/>
    <n v="162.69999999999999"/>
    <n v="168.5"/>
    <n v="160.19999999999999"/>
    <n v="163.80000000000001"/>
    <n v="164"/>
    <n v="166.00714285714284"/>
    <n v="150.28548387096782"/>
    <n v="163.80000000000001"/>
    <n v="2324.1"/>
    <n v="300.57096774193565"/>
    <n v="331.29999999999995"/>
    <n v="655.20000000000005"/>
    <n v="4104.5709677419363"/>
  </r>
  <r>
    <x v="1"/>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168.17142857142858"/>
    <n v="157.69999999999999"/>
    <n v="157.45000000000002"/>
    <n v="2354.4"/>
    <n v="315.39999999999998"/>
    <n v="303.39999999999998"/>
    <n v="629.80000000000007"/>
    <n v="4077.1000000000004"/>
  </r>
  <r>
    <x v="2"/>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166.72142857142856"/>
    <n v="159.80000000000001"/>
    <n v="160.35"/>
    <n v="2334.1"/>
    <n v="319.60000000000002"/>
    <n v="319.89999999999998"/>
    <n v="641.4"/>
    <n v="4100"/>
  </r>
  <r>
    <x v="0"/>
    <x v="8"/>
    <s v="October"/>
    <n v="146.1"/>
    <n v="202.5"/>
    <n v="170.1"/>
    <n v="158.4"/>
    <n v="198.8"/>
    <n v="152.6"/>
    <n v="170.4"/>
    <n v="165.2"/>
    <n v="121.6"/>
    <n v="170.6"/>
    <n v="168.8"/>
    <n v="173.6"/>
    <n v="165.5"/>
    <n v="191.2"/>
    <n v="168.9"/>
    <n v="164.8"/>
    <n v="168.3"/>
    <n v="139.27096774193564"/>
    <n v="165.5"/>
    <n v="162"/>
    <n v="172.5"/>
    <n v="159.5"/>
    <n v="163.19999999999999"/>
    <n v="169"/>
    <n v="161.1"/>
    <n v="164.7"/>
    <n v="166.3"/>
    <n v="168.2428571428571"/>
    <n v="150.63548387096782"/>
    <n v="164.5"/>
    <n v="2355.3999999999996"/>
    <n v="301.27096774193564"/>
    <n v="333.70000000000005"/>
    <n v="658"/>
    <n v="4145.8709677419356"/>
  </r>
  <r>
    <x v="1"/>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171.10000000000005"/>
    <n v="158.94999999999999"/>
    <n v="158.17500000000001"/>
    <n v="2395.4000000000005"/>
    <n v="317.89999999999998"/>
    <n v="305.20000000000005"/>
    <n v="632.70000000000005"/>
    <n v="4129.1000000000004"/>
  </r>
  <r>
    <x v="2"/>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169.15714285714284"/>
    <n v="161"/>
    <n v="161.07500000000002"/>
    <n v="2368.1999999999998"/>
    <n v="322"/>
    <n v="322"/>
    <n v="644.30000000000007"/>
    <n v="4145.5"/>
  </r>
  <r>
    <x v="0"/>
    <x v="8"/>
    <s v="November"/>
    <n v="146.9"/>
    <n v="199.8"/>
    <n v="171.5"/>
    <n v="159.1"/>
    <n v="198.4"/>
    <n v="153.19999999999999"/>
    <n v="183.9"/>
    <n v="165.4"/>
    <n v="122.1"/>
    <n v="170.8"/>
    <n v="169.1"/>
    <n v="174.3"/>
    <n v="167.5"/>
    <n v="191.4"/>
    <n v="170.4"/>
    <n v="166"/>
    <n v="169.8"/>
    <n v="139.27096774193564"/>
    <n v="165.3"/>
    <n v="162.9"/>
    <n v="173.4"/>
    <n v="158.9"/>
    <n v="163.80000000000001"/>
    <n v="169.3"/>
    <n v="162.4"/>
    <n v="165.2"/>
    <n v="167.6"/>
    <n v="169.52857142857144"/>
    <n v="151.08548387096783"/>
    <n v="165.17500000000001"/>
    <n v="2373.4"/>
    <n v="302.17096774193567"/>
    <n v="336.4"/>
    <n v="660.7"/>
    <n v="4170.2709677419361"/>
  </r>
  <r>
    <x v="1"/>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172.4928571428571"/>
    <n v="159.69999999999999"/>
    <n v="159.15"/>
    <n v="2414.8999999999996"/>
    <n v="319.39999999999998"/>
    <n v="307.60000000000002"/>
    <n v="636.6"/>
    <n v="4155.4999999999991"/>
  </r>
  <r>
    <x v="2"/>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170.5"/>
    <n v="161.75"/>
    <n v="161.92500000000001"/>
    <n v="2387"/>
    <n v="323.5"/>
    <n v="324.60000000000002"/>
    <n v="647.70000000000005"/>
    <n v="4171.4000000000005"/>
  </r>
  <r>
    <x v="0"/>
    <x v="8"/>
    <s v="December"/>
    <n v="147.4"/>
    <n v="197"/>
    <n v="176.5"/>
    <n v="159.80000000000001"/>
    <n v="195.8"/>
    <n v="152"/>
    <n v="172.3"/>
    <n v="164.5"/>
    <n v="120.6"/>
    <n v="171.7"/>
    <n v="169.7"/>
    <n v="175.1"/>
    <n v="165.8"/>
    <n v="190.8"/>
    <n v="171.8"/>
    <n v="167.3"/>
    <n v="171.2"/>
    <n v="139.27096774193564"/>
    <n v="165.6"/>
    <n v="163.9"/>
    <n v="174"/>
    <n v="160.1"/>
    <n v="164.5"/>
    <n v="169.7"/>
    <n v="162.80000000000001"/>
    <n v="166"/>
    <n v="167"/>
    <n v="168.5"/>
    <n v="151.58548387096783"/>
    <n v="165.75"/>
    <n v="2359"/>
    <n v="303.17096774193567"/>
    <n v="339.1"/>
    <n v="663"/>
    <n v="4163.970967741936"/>
  </r>
  <r>
    <x v="1"/>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171.65000000000003"/>
    <n v="159.69999999999999"/>
    <n v="159.60000000000002"/>
    <n v="2403.1000000000004"/>
    <n v="319.39999999999998"/>
    <n v="310"/>
    <n v="638.40000000000009"/>
    <n v="4149.5000000000009"/>
  </r>
  <r>
    <x v="2"/>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n v="169.52142857142857"/>
    <n v="161.80000000000001"/>
    <n v="162.4"/>
    <n v="2373.3000000000002"/>
    <n v="323.60000000000002"/>
    <n v="327.2"/>
    <n v="649.6"/>
    <n v="4164.1000000000004"/>
  </r>
  <r>
    <x v="0"/>
    <x v="9"/>
    <s v="January"/>
    <n v="148.30000000000001"/>
    <n v="196.9"/>
    <n v="178"/>
    <n v="160.5"/>
    <n v="192.6"/>
    <n v="151.19999999999999"/>
    <n v="159.19999999999999"/>
    <n v="164"/>
    <n v="119.3"/>
    <n v="173.3"/>
    <n v="169.8"/>
    <n v="175.8"/>
    <n v="164.1"/>
    <n v="190.7"/>
    <n v="173.2"/>
    <n v="169.3"/>
    <n v="172.7"/>
    <n v="139.27096774193564"/>
    <n v="165.8"/>
    <n v="164.9"/>
    <n v="174.7"/>
    <n v="160.80000000000001"/>
    <n v="164.9"/>
    <n v="169.9"/>
    <n v="163.19999999999999"/>
    <n v="166.6"/>
    <n v="166.4"/>
    <n v="167.40714285714284"/>
    <n v="152.08548387096783"/>
    <n v="166.14999999999998"/>
    <n v="2343.6999999999998"/>
    <n v="304.17096774193567"/>
    <n v="342.5"/>
    <n v="664.59999999999991"/>
    <n v="4156.2709677419352"/>
  </r>
  <r>
    <x v="1"/>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170.22142857142856"/>
    <n v="160.65"/>
    <n v="160.19999999999999"/>
    <n v="2383.1"/>
    <n v="321.3"/>
    <n v="313.2"/>
    <n v="640.79999999999995"/>
    <n v="4138.7999999999993"/>
  </r>
  <r>
    <x v="2"/>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n v="168.31428571428569"/>
    <n v="162.80000000000001"/>
    <n v="162.89999999999998"/>
    <n v="2356.3999999999996"/>
    <n v="325.60000000000002"/>
    <n v="330.6"/>
    <n v="651.59999999999991"/>
    <n v="4156.3"/>
  </r>
  <r>
    <x v="0"/>
    <x v="9"/>
    <s v="February"/>
    <n v="148.80000000000001"/>
    <n v="198.1"/>
    <n v="175.5"/>
    <n v="160.69999999999999"/>
    <n v="192.6"/>
    <n v="151.4"/>
    <n v="155.19999999999999"/>
    <n v="163.9"/>
    <n v="118.1"/>
    <n v="175.4"/>
    <n v="170.5"/>
    <n v="176.3"/>
    <n v="163.9"/>
    <n v="191.5"/>
    <n v="174.1"/>
    <n v="171"/>
    <n v="173.7"/>
    <n v="139.27096774193564"/>
    <n v="167.4"/>
    <n v="165.7"/>
    <n v="175.3"/>
    <n v="161.19999999999999"/>
    <n v="165.5"/>
    <n v="170.3"/>
    <n v="164.5"/>
    <n v="167.3"/>
    <n v="166.7"/>
    <n v="167.27857142857144"/>
    <n v="152.48548387096781"/>
    <n v="166.9"/>
    <n v="2341.9"/>
    <n v="304.97096774193562"/>
    <n v="345.1"/>
    <n v="667.6"/>
    <n v="4163.470967741936"/>
  </r>
  <r>
    <x v="1"/>
    <x v="9"/>
    <s v="February"/>
    <n v="152.5"/>
    <n v="205.2"/>
    <n v="176.4"/>
    <n v="160.6"/>
    <n v="171.5"/>
    <n v="156.4"/>
    <n v="198"/>
    <n v="163.19999999999999"/>
    <n v="120.6"/>
    <n v="172.2"/>
    <n v="156.69999999999999"/>
    <n v="180"/>
    <n v="170.2"/>
    <n v="196.5"/>
    <n v="165.7"/>
    <n v="150.4"/>
    <n v="163.4"/>
    <n v="165.5"/>
    <n v="163"/>
    <n v="157.4"/>
    <n v="167.2"/>
    <n v="153.1"/>
    <n v="159.5"/>
    <n v="162"/>
    <n v="164.2"/>
    <n v="159.4"/>
    <n v="165.5"/>
    <n v="170"/>
    <n v="161.44999999999999"/>
    <n v="161.27500000000001"/>
    <n v="2380"/>
    <n v="322.89999999999998"/>
    <n v="316.10000000000002"/>
    <n v="645.1"/>
    <n v="4147.3999999999996"/>
  </r>
  <r>
    <x v="2"/>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n v="168.14285714285717"/>
    <n v="163.65"/>
    <n v="163.85"/>
    <n v="2354.0000000000005"/>
    <n v="327.3"/>
    <n v="333.20000000000005"/>
    <n v="655.4"/>
    <n v="4164.7000000000007"/>
  </r>
  <r>
    <x v="0"/>
    <x v="9"/>
    <s v="March"/>
    <n v="150.19999999999999"/>
    <n v="208"/>
    <n v="167.9"/>
    <n v="162"/>
    <n v="203.1"/>
    <n v="155.9"/>
    <n v="155.80000000000001"/>
    <n v="164.2"/>
    <n v="118.1"/>
    <n v="178.7"/>
    <n v="171.2"/>
    <n v="177.4"/>
    <n v="166.6"/>
    <n v="192.3"/>
    <n v="175.4"/>
    <n v="173.2"/>
    <n v="175.1"/>
    <n v="139.27096774193564"/>
    <n v="168.9"/>
    <n v="166.5"/>
    <n v="176"/>
    <n v="162"/>
    <n v="166.6"/>
    <n v="170.6"/>
    <n v="167.4"/>
    <n v="168.3"/>
    <n v="168.7"/>
    <n v="169.38571428571433"/>
    <n v="152.88548387096782"/>
    <n v="168.22500000000002"/>
    <n v="2371.4000000000005"/>
    <n v="305.77096774193564"/>
    <n v="348.6"/>
    <n v="672.90000000000009"/>
    <n v="4205.5709677419363"/>
  </r>
  <r>
    <x v="1"/>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n v="170.98571428571429"/>
    <n v="161.94999999999999"/>
    <n v="162.72499999999999"/>
    <n v="2393.8000000000002"/>
    <n v="323.89999999999998"/>
    <n v="319.7"/>
    <n v="650.9"/>
    <n v="4175.2"/>
  </r>
  <r>
    <x v="2"/>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n v="169.85"/>
    <n v="164.05"/>
    <n v="165.27499999999998"/>
    <n v="2377.9"/>
    <n v="328.1"/>
    <n v="336.7"/>
    <n v="661.09999999999991"/>
    <n v="4201.9000000000005"/>
  </r>
  <r>
    <x v="0"/>
    <x v="9"/>
    <s v="April"/>
    <n v="151.80000000000001"/>
    <n v="209.7"/>
    <n v="164.5"/>
    <n v="163.80000000000001"/>
    <n v="207.4"/>
    <n v="169.7"/>
    <n v="153.6"/>
    <n v="165.1"/>
    <n v="118.2"/>
    <n v="182.9"/>
    <n v="172.4"/>
    <n v="178.9"/>
    <n v="168.6"/>
    <n v="192.8"/>
    <n v="177.5"/>
    <n v="175.1"/>
    <n v="177.1"/>
    <n v="139.27096774193564"/>
    <n v="173.3"/>
    <n v="167.7"/>
    <n v="177"/>
    <n v="166.2"/>
    <n v="167.2"/>
    <n v="170.9"/>
    <n v="169"/>
    <n v="170.2"/>
    <n v="170.8"/>
    <n v="171.3857142857143"/>
    <n v="153.48548387096781"/>
    <n v="169.32499999999999"/>
    <n v="2399.4"/>
    <n v="306.97096774193562"/>
    <n v="352.6"/>
    <n v="677.3"/>
    <n v="4252.7709677419352"/>
  </r>
  <r>
    <x v="1"/>
    <x v="9"/>
    <s v="April"/>
    <n v="155.4"/>
    <n v="215.8"/>
    <n v="164.6"/>
    <n v="164.2"/>
    <n v="186"/>
    <n v="175.9"/>
    <n v="190.7"/>
    <n v="164"/>
    <n v="120.5"/>
    <n v="178"/>
    <n v="157.5"/>
    <n v="183.3"/>
    <n v="174.5"/>
    <n v="197.1"/>
    <n v="168.4"/>
    <n v="154.5"/>
    <n v="166.3"/>
    <n v="167"/>
    <n v="170.5"/>
    <n v="159.80000000000001"/>
    <n v="169"/>
    <n v="159.30000000000001"/>
    <n v="162.19999999999999"/>
    <n v="164"/>
    <n v="168.4"/>
    <n v="163.1"/>
    <n v="169.2"/>
    <n v="173.39285714285714"/>
    <n v="163.4"/>
    <n v="164.42500000000001"/>
    <n v="2427.5"/>
    <n v="326.8"/>
    <n v="322.89999999999998"/>
    <n v="657.7"/>
    <n v="4233.7000000000007"/>
  </r>
  <r>
    <x v="2"/>
    <x v="9"/>
    <s v="April"/>
    <n v="152.9"/>
    <n v="211.8"/>
    <n v="164.5"/>
    <n v="163.9"/>
    <n v="199.5"/>
    <n v="172.6"/>
    <n v="166.2"/>
    <n v="164.7"/>
    <n v="119"/>
    <n v="181.3"/>
    <n v="166.2"/>
    <n v="180.9"/>
    <n v="170.8"/>
    <n v="193.9"/>
    <n v="173.9"/>
    <n v="166.5"/>
    <n v="172.8"/>
    <n v="167"/>
    <n v="172.2"/>
    <n v="164"/>
    <n v="174"/>
    <n v="162.6"/>
    <n v="164.4"/>
    <n v="166.9"/>
    <n v="168.8"/>
    <n v="166.8"/>
    <n v="170.1"/>
    <n v="172.01428571428573"/>
    <n v="165.5"/>
    <n v="166.72499999999999"/>
    <n v="2408.2000000000003"/>
    <n v="331"/>
    <n v="340.4"/>
    <n v="666.9"/>
    <n v="4255.3"/>
  </r>
  <r>
    <x v="0"/>
    <x v="9"/>
    <s v="May"/>
    <n v="152.9"/>
    <n v="214.7"/>
    <n v="161.4"/>
    <n v="164.6"/>
    <n v="209.9"/>
    <n v="168"/>
    <n v="160.4"/>
    <n v="165"/>
    <n v="118.9"/>
    <n v="186.6"/>
    <n v="173.2"/>
    <n v="180.4"/>
    <n v="170.8"/>
    <n v="192.9"/>
    <n v="179.3"/>
    <n v="177.2"/>
    <n v="179"/>
    <n v="139.27096774193564"/>
    <n v="175.3"/>
    <n v="168.9"/>
    <n v="177.7"/>
    <n v="167.1"/>
    <n v="167.6"/>
    <n v="171.8"/>
    <n v="168.5"/>
    <n v="170.9"/>
    <n v="172.5"/>
    <n v="172.83571428571432"/>
    <n v="154.08548387096783"/>
    <n v="169.7"/>
    <n v="2419.7000000000003"/>
    <n v="308.17096774193567"/>
    <n v="356.5"/>
    <n v="678.8"/>
    <n v="4283.2709677419361"/>
  </r>
  <r>
    <x v="1"/>
    <x v="9"/>
    <s v="May"/>
    <n v="156.69999999999999"/>
    <n v="221.2"/>
    <n v="164.1"/>
    <n v="165.4"/>
    <n v="189.5"/>
    <n v="174.5"/>
    <n v="203.2"/>
    <n v="164.1"/>
    <n v="121.2"/>
    <n v="181.4"/>
    <n v="158.5"/>
    <n v="184.9"/>
    <n v="177.5"/>
    <n v="197.5"/>
    <n v="170"/>
    <n v="155.9"/>
    <n v="167.8"/>
    <n v="167.5"/>
    <n v="173.5"/>
    <n v="161.1"/>
    <n v="170.1"/>
    <n v="159.4"/>
    <n v="163.19999999999999"/>
    <n v="165.2"/>
    <n v="168.2"/>
    <n v="163.80000000000001"/>
    <n v="170.8"/>
    <n v="175.69285714285715"/>
    <n v="164.3"/>
    <n v="165.1"/>
    <n v="2459.7000000000003"/>
    <n v="328.6"/>
    <n v="325.89999999999998"/>
    <n v="660.4"/>
    <n v="4277.6000000000004"/>
  </r>
  <r>
    <x v="2"/>
    <x v="9"/>
    <s v="May"/>
    <n v="154.1"/>
    <n v="217"/>
    <n v="162.4"/>
    <n v="164.9"/>
    <n v="202.4"/>
    <n v="171"/>
    <n v="174.9"/>
    <n v="164.7"/>
    <n v="119.7"/>
    <n v="184.9"/>
    <n v="167.1"/>
    <n v="182.5"/>
    <n v="173.3"/>
    <n v="194.1"/>
    <n v="175.6"/>
    <n v="168.4"/>
    <n v="174.6"/>
    <n v="167.5"/>
    <n v="174.6"/>
    <n v="165.2"/>
    <n v="174.8"/>
    <n v="163"/>
    <n v="165.1"/>
    <n v="167.9"/>
    <n v="168.4"/>
    <n v="167.5"/>
    <n v="171.7"/>
    <n v="173.78571428571431"/>
    <n v="166.35"/>
    <n v="167.22499999999999"/>
    <n v="2433.0000000000005"/>
    <n v="332.7"/>
    <n v="344"/>
    <n v="668.9"/>
    <n v="4291.0000000000009"/>
  </r>
  <r>
    <x v="0"/>
    <x v="9"/>
    <s v="June"/>
    <n v="153.80000000000001"/>
    <n v="217.2"/>
    <n v="169.6"/>
    <n v="165.4"/>
    <n v="208.1"/>
    <n v="165.8"/>
    <n v="167.3"/>
    <n v="164.6"/>
    <n v="119.1"/>
    <n v="188.9"/>
    <n v="174.2"/>
    <n v="181.9"/>
    <n v="172.4"/>
    <n v="192.9"/>
    <n v="180.7"/>
    <n v="178.7"/>
    <n v="180.4"/>
    <n v="139.27096774193564"/>
    <n v="176.7"/>
    <n v="170.3"/>
    <n v="178.2"/>
    <n v="165.5"/>
    <n v="168"/>
    <n v="172.6"/>
    <n v="169.5"/>
    <n v="171"/>
    <n v="173.6"/>
    <n v="174.37142857142859"/>
    <n v="154.78548387096782"/>
    <n v="170.27500000000001"/>
    <n v="2441.2000000000003"/>
    <n v="309.57096774193565"/>
    <n v="359.4"/>
    <n v="681.1"/>
    <n v="4311.6709677419358"/>
  </r>
  <r>
    <x v="1"/>
    <x v="9"/>
    <s v="June"/>
    <n v="157.5"/>
    <n v="223.4"/>
    <n v="172.8"/>
    <n v="166.4"/>
    <n v="188.6"/>
    <n v="174.1"/>
    <n v="211.5"/>
    <n v="163.6"/>
    <n v="121.4"/>
    <n v="183.5"/>
    <n v="159.1"/>
    <n v="186.3"/>
    <n v="179.3"/>
    <n v="198.3"/>
    <n v="171.6"/>
    <n v="157.4"/>
    <n v="169.4"/>
    <n v="166.8"/>
    <n v="174.9"/>
    <n v="162.1"/>
    <n v="170.9"/>
    <n v="157.19999999999999"/>
    <n v="164.1"/>
    <n v="166.5"/>
    <n v="169.2"/>
    <n v="163.80000000000001"/>
    <n v="171.4"/>
    <n v="177.55714285714288"/>
    <n v="164.45"/>
    <n v="165.9"/>
    <n v="2485.8000000000002"/>
    <n v="328.9"/>
    <n v="329"/>
    <n v="663.6"/>
    <n v="4310.2999999999993"/>
  </r>
  <r>
    <x v="2"/>
    <x v="9"/>
    <s v="June"/>
    <n v="155"/>
    <n v="219.4"/>
    <n v="170.8"/>
    <n v="165.8"/>
    <n v="200.9"/>
    <n v="169.7"/>
    <n v="182.3"/>
    <n v="164.3"/>
    <n v="119.9"/>
    <n v="187.1"/>
    <n v="167.9"/>
    <n v="183.9"/>
    <n v="174.9"/>
    <n v="194.3"/>
    <n v="177.1"/>
    <n v="169.9"/>
    <n v="176"/>
    <n v="166.8"/>
    <n v="176"/>
    <n v="166.4"/>
    <n v="175.4"/>
    <n v="161.1"/>
    <n v="165.8"/>
    <n v="169"/>
    <n v="169.4"/>
    <n v="167.5"/>
    <n v="172.6"/>
    <n v="175.44285714285715"/>
    <n v="166.60000000000002"/>
    <n v="167.92500000000001"/>
    <n v="2456.2000000000003"/>
    <n v="333.20000000000005"/>
    <n v="347"/>
    <n v="671.7"/>
    <n v="4320.6000000000004"/>
  </r>
  <r>
    <x v="0"/>
    <x v="9"/>
    <s v="July"/>
    <n v="155.19999999999999"/>
    <n v="210.8"/>
    <n v="174.3"/>
    <n v="166.3"/>
    <n v="202.2"/>
    <n v="169.6"/>
    <n v="168.6"/>
    <n v="164.4"/>
    <n v="119.2"/>
    <n v="191.8"/>
    <n v="174.5"/>
    <n v="183.1"/>
    <n v="172.5"/>
    <n v="193.2"/>
    <n v="182"/>
    <n v="180.3"/>
    <n v="181.7"/>
    <n v="139.27096774193564"/>
    <n v="179.6"/>
    <n v="171.3"/>
    <n v="178.8"/>
    <n v="166.3"/>
    <n v="168.6"/>
    <n v="174.7"/>
    <n v="169.7"/>
    <n v="171.8"/>
    <n v="174.3"/>
    <n v="174.69285714285712"/>
    <n v="155.28548387096782"/>
    <n v="171.20000000000002"/>
    <n v="2445.6999999999998"/>
    <n v="310.57096774193565"/>
    <n v="362.3"/>
    <n v="684.80000000000007"/>
    <n v="4328.0709677419363"/>
  </r>
  <r>
    <x v="1"/>
    <x v="9"/>
    <s v="July"/>
    <n v="159.30000000000001"/>
    <n v="217.1"/>
    <n v="176.6"/>
    <n v="167.1"/>
    <n v="184.8"/>
    <n v="179.5"/>
    <n v="208.5"/>
    <n v="164"/>
    <n v="121.5"/>
    <n v="186.3"/>
    <n v="159.80000000000001"/>
    <n v="187.7"/>
    <n v="179.4"/>
    <n v="198.6"/>
    <n v="172.7"/>
    <n v="158.69999999999999"/>
    <n v="170.6"/>
    <n v="167.8"/>
    <n v="179.5"/>
    <n v="163.1"/>
    <n v="171.7"/>
    <n v="157.4"/>
    <n v="164.6"/>
    <n v="169.1"/>
    <n v="169.8"/>
    <n v="164.7"/>
    <n v="172.3"/>
    <n v="177.87142857142857"/>
    <n v="165.45"/>
    <n v="167.05"/>
    <n v="2490.1999999999998"/>
    <n v="330.9"/>
    <n v="331.4"/>
    <n v="668.2"/>
    <n v="4329.3"/>
  </r>
  <r>
    <x v="2"/>
    <x v="9"/>
    <s v="July"/>
    <n v="156.5"/>
    <n v="213"/>
    <n v="175.2"/>
    <n v="166.6"/>
    <n v="195.8"/>
    <n v="174.2"/>
    <n v="182.1"/>
    <n v="164.3"/>
    <n v="120"/>
    <n v="190"/>
    <n v="168.4"/>
    <n v="185.2"/>
    <n v="175"/>
    <n v="194.6"/>
    <n v="178.3"/>
    <n v="171.3"/>
    <n v="177.3"/>
    <n v="167.8"/>
    <n v="179.6"/>
    <n v="167.4"/>
    <n v="176.1"/>
    <n v="161.6"/>
    <n v="166.3"/>
    <n v="171.4"/>
    <n v="169.7"/>
    <n v="168.4"/>
    <n v="173.4"/>
    <n v="175.77857142857144"/>
    <n v="167.60000000000002"/>
    <n v="168.95"/>
    <n v="2460.9"/>
    <n v="335.20000000000005"/>
    <n v="349.6"/>
    <n v="675.8"/>
    <n v="4338.8"/>
  </r>
  <r>
    <x v="0"/>
    <x v="9"/>
    <s v="August"/>
    <n v="159.5"/>
    <n v="204.1"/>
    <n v="168.3"/>
    <n v="167.9"/>
    <n v="198.1"/>
    <n v="169.2"/>
    <n v="173.1"/>
    <n v="167.1"/>
    <n v="120.2"/>
    <n v="195.6"/>
    <n v="174.8"/>
    <n v="184"/>
    <n v="173.9"/>
    <n v="193.7"/>
    <n v="183.2"/>
    <n v="181.7"/>
    <n v="183"/>
    <n v="139.27096774193564"/>
    <n v="179.1"/>
    <n v="172.3"/>
    <n v="179.4"/>
    <n v="166.6"/>
    <n v="169.3"/>
    <n v="175.7"/>
    <n v="171.1"/>
    <n v="172.6"/>
    <n v="175.3"/>
    <n v="174.96428571428569"/>
    <n v="155.78548387096782"/>
    <n v="172.17500000000001"/>
    <n v="2449.4999999999995"/>
    <n v="311.57096774193565"/>
    <n v="364.9"/>
    <n v="688.7"/>
    <n v="4339.7709677419352"/>
  </r>
  <r>
    <x v="1"/>
    <x v="9"/>
    <s v="August"/>
    <n v="162.1"/>
    <n v="210.9"/>
    <n v="170.6"/>
    <n v="168.4"/>
    <n v="182.5"/>
    <n v="177.1"/>
    <n v="213.1"/>
    <n v="167.3"/>
    <n v="122.2"/>
    <n v="189.7"/>
    <n v="160.5"/>
    <n v="188.9"/>
    <n v="180.4"/>
    <n v="198.7"/>
    <n v="173.7"/>
    <n v="160"/>
    <n v="171.6"/>
    <n v="169"/>
    <n v="178.4"/>
    <n v="164.2"/>
    <n v="172.6"/>
    <n v="157.69999999999999"/>
    <n v="165.1"/>
    <n v="169.9"/>
    <n v="171.4"/>
    <n v="165.4"/>
    <n v="173.1"/>
    <n v="178.02857142857141"/>
    <n v="166.6"/>
    <n v="167.95000000000002"/>
    <n v="2492.3999999999996"/>
    <n v="333.2"/>
    <n v="333.7"/>
    <n v="671.80000000000007"/>
    <n v="4339.7999999999993"/>
  </r>
  <r>
    <x v="2"/>
    <x v="9"/>
    <s v="August"/>
    <n v="160.30000000000001"/>
    <n v="206.5"/>
    <n v="169.2"/>
    <n v="168.1"/>
    <n v="192.4"/>
    <n v="172.9"/>
    <n v="186.7"/>
    <n v="167.2"/>
    <n v="120.9"/>
    <n v="193.6"/>
    <n v="168.8"/>
    <n v="186.3"/>
    <n v="176.3"/>
    <n v="195"/>
    <n v="179.5"/>
    <n v="172.7"/>
    <n v="178.5"/>
    <n v="169"/>
    <n v="178.8"/>
    <n v="168.5"/>
    <n v="176.8"/>
    <n v="161.9"/>
    <n v="166.9"/>
    <n v="172.3"/>
    <n v="171.2"/>
    <n v="169.1"/>
    <n v="174.3"/>
    <n v="176.01428571428573"/>
    <n v="168.75"/>
    <n v="169.87499999999997"/>
    <n v="2464.2000000000003"/>
    <n v="337.5"/>
    <n v="352.2"/>
    <n v="679.49999999999989"/>
    <n v="4350.9000000000005"/>
  </r>
  <r>
    <x v="0"/>
    <x v="9"/>
    <s v="September"/>
    <n v="162.9"/>
    <n v="206.7"/>
    <n v="169"/>
    <n v="169.5"/>
    <n v="194.1"/>
    <n v="164.1"/>
    <n v="176.9"/>
    <n v="169"/>
    <n v="120.8"/>
    <n v="199.1"/>
    <n v="175.4"/>
    <n v="184.8"/>
    <n v="175.5"/>
    <n v="194.5"/>
    <n v="184.7"/>
    <n v="183.3"/>
    <n v="184.5"/>
    <n v="139.27096774193564"/>
    <n v="179.7"/>
    <n v="173.6"/>
    <n v="180.2"/>
    <n v="166.9"/>
    <n v="170"/>
    <n v="176.2"/>
    <n v="170.8"/>
    <n v="173.1"/>
    <n v="176.4"/>
    <n v="175.87857142857143"/>
    <n v="156.4354838709678"/>
    <n v="172.52499999999998"/>
    <n v="2462.3000000000002"/>
    <n v="312.8709677419356"/>
    <n v="368"/>
    <n v="690.09999999999991"/>
    <n v="4360.0709677419354"/>
  </r>
  <r>
    <x v="1"/>
    <x v="9"/>
    <s v="September"/>
    <n v="164.9"/>
    <n v="213.7"/>
    <n v="170.9"/>
    <n v="170.1"/>
    <n v="179.3"/>
    <n v="167.5"/>
    <n v="220.8"/>
    <n v="169.2"/>
    <n v="123.1"/>
    <n v="193.6"/>
    <n v="161.1"/>
    <n v="190.4"/>
    <n v="181.8"/>
    <n v="199.7"/>
    <n v="175"/>
    <n v="161.69999999999999"/>
    <n v="173"/>
    <n v="169.5"/>
    <n v="179.2"/>
    <n v="165"/>
    <n v="173.8"/>
    <n v="158.19999999999999"/>
    <n v="165.8"/>
    <n v="170.9"/>
    <n v="171.1"/>
    <n v="166.1"/>
    <n v="174.1"/>
    <n v="179.00714285714284"/>
    <n v="167.25"/>
    <n v="168.47500000000002"/>
    <n v="2506.1"/>
    <n v="334.5"/>
    <n v="336.7"/>
    <n v="673.90000000000009"/>
    <n v="4362.3999999999996"/>
  </r>
  <r>
    <x v="2"/>
    <x v="9"/>
    <s v="September"/>
    <n v="163.5"/>
    <n v="209.2"/>
    <n v="169.7"/>
    <n v="169.7"/>
    <n v="188.7"/>
    <n v="165.7"/>
    <n v="191.8"/>
    <n v="169.1"/>
    <n v="121.6"/>
    <n v="197.3"/>
    <n v="169.4"/>
    <n v="187.4"/>
    <n v="177.8"/>
    <n v="195.9"/>
    <n v="180.9"/>
    <n v="174.3"/>
    <n v="179.9"/>
    <n v="169.5"/>
    <n v="179.5"/>
    <n v="169.5"/>
    <n v="177.8"/>
    <n v="162.30000000000001"/>
    <n v="167.6"/>
    <n v="173.1"/>
    <n v="170.9"/>
    <n v="169.7"/>
    <n v="175.3"/>
    <n v="176.91428571428574"/>
    <n v="169.5"/>
    <n v="170.32500000000002"/>
    <n v="2476.8000000000002"/>
    <n v="339"/>
    <n v="355.20000000000005"/>
    <n v="681.30000000000007"/>
    <n v="4371.9000000000005"/>
  </r>
  <r>
    <x v="0"/>
    <x v="9"/>
    <s v="October"/>
    <n v="164.7"/>
    <n v="208.8"/>
    <n v="170.3"/>
    <n v="170.9"/>
    <n v="191.6"/>
    <n v="162.19999999999999"/>
    <n v="184.8"/>
    <n v="169.7"/>
    <n v="121.1"/>
    <n v="201.6"/>
    <n v="175.8"/>
    <n v="185.6"/>
    <n v="177.4"/>
    <n v="194.9"/>
    <n v="186.1"/>
    <n v="184.4"/>
    <n v="185.9"/>
    <n v="139.27096774193564"/>
    <n v="180.8"/>
    <n v="174.4"/>
    <n v="181.2"/>
    <n v="167.4"/>
    <n v="170.6"/>
    <n v="176.5"/>
    <n v="172"/>
    <n v="173.9"/>
    <n v="177.9"/>
    <n v="177.1"/>
    <n v="156.83548387096783"/>
    <n v="173.25"/>
    <n v="2479.4"/>
    <n v="313.67096774193567"/>
    <n v="370.5"/>
    <n v="693"/>
    <n v="4385.970967741936"/>
  </r>
  <r>
    <x v="1"/>
    <x v="9"/>
    <s v="October"/>
    <n v="166.4"/>
    <n v="214.9"/>
    <n v="171.9"/>
    <n v="171"/>
    <n v="177.7"/>
    <n v="165.7"/>
    <n v="228.6"/>
    <n v="169.9"/>
    <n v="123.4"/>
    <n v="196.4"/>
    <n v="161.6"/>
    <n v="191.5"/>
    <n v="183.3"/>
    <n v="200.1"/>
    <n v="175.5"/>
    <n v="162.6"/>
    <n v="173.6"/>
    <n v="171.2"/>
    <n v="180"/>
    <n v="166"/>
    <n v="174.7"/>
    <n v="158.80000000000001"/>
    <n v="166.3"/>
    <n v="171.2"/>
    <n v="172.3"/>
    <n v="166.8"/>
    <n v="175.3"/>
    <n v="180.17142857142858"/>
    <n v="168.6"/>
    <n v="169.15"/>
    <n v="2522.4"/>
    <n v="337.2"/>
    <n v="338.1"/>
    <n v="676.6"/>
    <n v="4387.8"/>
  </r>
  <r>
    <x v="2"/>
    <x v="9"/>
    <s v="October"/>
    <n v="165.2"/>
    <n v="210.9"/>
    <n v="170.9"/>
    <n v="170.9"/>
    <n v="186.5"/>
    <n v="163.80000000000001"/>
    <n v="199.7"/>
    <n v="169.8"/>
    <n v="121.9"/>
    <n v="199.9"/>
    <n v="169.9"/>
    <n v="188.3"/>
    <n v="179.6"/>
    <n v="196.3"/>
    <n v="181.9"/>
    <n v="175.3"/>
    <n v="181"/>
    <n v="171.2"/>
    <n v="180.5"/>
    <n v="170.4"/>
    <n v="178.7"/>
    <n v="162.9"/>
    <n v="168.2"/>
    <n v="173.4"/>
    <n v="172.1"/>
    <n v="170.5"/>
    <n v="176.7"/>
    <n v="178.11428571428573"/>
    <n v="170.8"/>
    <n v="171.05"/>
    <n v="2493.6000000000004"/>
    <n v="341.6"/>
    <n v="357.20000000000005"/>
    <n v="684.2"/>
    <n v="4398.7000000000007"/>
  </r>
  <r>
    <x v="0"/>
    <x v="9"/>
    <s v="November"/>
    <n v="166.9"/>
    <n v="207.2"/>
    <n v="180.2"/>
    <n v="172.3"/>
    <n v="194"/>
    <n v="159.1"/>
    <n v="171.6"/>
    <n v="170.2"/>
    <n v="121.5"/>
    <n v="204.8"/>
    <n v="176.4"/>
    <n v="186.9"/>
    <n v="176.6"/>
    <n v="195.5"/>
    <n v="187.2"/>
    <n v="185.2"/>
    <n v="186.9"/>
    <n v="139.27096774193564"/>
    <n v="181.9"/>
    <n v="175.5"/>
    <n v="182.3"/>
    <n v="167.5"/>
    <n v="170.8"/>
    <n v="176.9"/>
    <n v="173.4"/>
    <n v="174.6"/>
    <n v="177.8"/>
    <n v="177.37142857142857"/>
    <n v="157.38548387096782"/>
    <n v="173.92500000000001"/>
    <n v="2483.1999999999998"/>
    <n v="314.77096774193564"/>
    <n v="372.4"/>
    <n v="695.7"/>
    <n v="4397.7709677419352"/>
  </r>
  <r>
    <x v="1"/>
    <x v="9"/>
    <s v="November"/>
    <n v="168.4"/>
    <n v="213.4"/>
    <n v="183.2"/>
    <n v="172.3"/>
    <n v="180"/>
    <n v="162.6"/>
    <n v="205.5"/>
    <n v="171"/>
    <n v="123.4"/>
    <n v="198.8"/>
    <n v="162.1"/>
    <n v="192.4"/>
    <n v="181.3"/>
    <n v="200.6"/>
    <n v="176.7"/>
    <n v="163.5"/>
    <n v="174.7"/>
    <n v="171.8"/>
    <n v="180.3"/>
    <n v="166.9"/>
    <n v="175.8"/>
    <n v="158.9"/>
    <n v="166.7"/>
    <n v="171.5"/>
    <n v="173.8"/>
    <n v="167.4"/>
    <n v="174.1"/>
    <n v="179.64285714285714"/>
    <n v="169.35000000000002"/>
    <n v="169.85000000000002"/>
    <n v="2515"/>
    <n v="338.70000000000005"/>
    <n v="340.2"/>
    <n v="679.40000000000009"/>
    <n v="4388.3"/>
  </r>
  <r>
    <x v="2"/>
    <x v="9"/>
    <s v="November"/>
    <n v="167.4"/>
    <n v="209.4"/>
    <n v="181.4"/>
    <n v="172.3"/>
    <n v="188.9"/>
    <n v="160.69999999999999"/>
    <n v="183.1"/>
    <n v="170.5"/>
    <n v="122.1"/>
    <n v="202.8"/>
    <n v="170.4"/>
    <n v="189.5"/>
    <n v="178.3"/>
    <n v="196.9"/>
    <n v="183.1"/>
    <n v="176.2"/>
    <n v="182.1"/>
    <n v="171.8"/>
    <n v="181.3"/>
    <n v="171.4"/>
    <n v="179.8"/>
    <n v="163"/>
    <n v="168.5"/>
    <n v="173.7"/>
    <n v="173.6"/>
    <n v="171.1"/>
    <n v="176.5"/>
    <n v="178.12142857142859"/>
    <n v="171.60000000000002"/>
    <n v="171.72499999999999"/>
    <n v="2493.7000000000003"/>
    <n v="343.20000000000005"/>
    <n v="359.29999999999995"/>
    <n v="686.9"/>
    <n v="4407.2000000000007"/>
  </r>
  <r>
    <x v="0"/>
    <x v="9"/>
    <s v="December"/>
    <n v="168.8"/>
    <n v="206.9"/>
    <n v="189.1"/>
    <n v="173.4"/>
    <n v="193.9"/>
    <n v="156.69999999999999"/>
    <n v="150.19999999999999"/>
    <n v="170.5"/>
    <n v="121.2"/>
    <n v="207.5"/>
    <n v="176.8"/>
    <n v="187.7"/>
    <n v="174.4"/>
    <n v="195.9"/>
    <n v="188.1"/>
    <n v="185.9"/>
    <n v="187.8"/>
    <n v="139.27096774193564"/>
    <n v="182.8"/>
    <n v="176.4"/>
    <n v="183.5"/>
    <n v="167.8"/>
    <n v="171.2"/>
    <n v="177.3"/>
    <n v="175.7"/>
    <n v="175.5"/>
    <n v="177.1"/>
    <n v="176.64285714285714"/>
    <n v="157.83548387096783"/>
    <n v="174.92500000000001"/>
    <n v="2473"/>
    <n v="315.67096774193567"/>
    <n v="374"/>
    <n v="699.7"/>
    <n v="4396.470967741936"/>
  </r>
  <r>
    <x v="1"/>
    <x v="9"/>
    <s v="December"/>
    <n v="170.2"/>
    <n v="212.9"/>
    <n v="191.9"/>
    <n v="173.9"/>
    <n v="179.1"/>
    <n v="159.5"/>
    <n v="178.7"/>
    <n v="171.3"/>
    <n v="123.1"/>
    <n v="200.5"/>
    <n v="162.80000000000001"/>
    <n v="193.3"/>
    <n v="178.6"/>
    <n v="201.1"/>
    <n v="177.7"/>
    <n v="164.5"/>
    <n v="175.7"/>
    <n v="170.7"/>
    <n v="180.6"/>
    <n v="167.3"/>
    <n v="177.2"/>
    <n v="159.4"/>
    <n v="167.1"/>
    <n v="171.8"/>
    <n v="176"/>
    <n v="168.2"/>
    <n v="174.1"/>
    <n v="178.34999999999997"/>
    <n v="169"/>
    <n v="170.77500000000001"/>
    <n v="2496.8999999999996"/>
    <n v="338"/>
    <n v="342.2"/>
    <n v="683.1"/>
    <n v="4377.4000000000005"/>
  </r>
  <r>
    <x v="2"/>
    <x v="9"/>
    <s v="December"/>
    <n v="169.2"/>
    <n v="209"/>
    <n v="190.2"/>
    <n v="173.6"/>
    <n v="188.5"/>
    <n v="158"/>
    <n v="159.9"/>
    <n v="170.8"/>
    <n v="121.8"/>
    <n v="205.2"/>
    <n v="171"/>
    <n v="190.3"/>
    <n v="175.9"/>
    <n v="197.3"/>
    <n v="184"/>
    <n v="177"/>
    <n v="183"/>
    <n v="170.7"/>
    <n v="182"/>
    <n v="172.1"/>
    <n v="181.1"/>
    <n v="163.4"/>
    <n v="168.9"/>
    <n v="174.1"/>
    <n v="175.8"/>
    <n v="172"/>
    <n v="175.7"/>
    <n v="177.19285714285715"/>
    <n v="171.39999999999998"/>
    <n v="172.7"/>
    <n v="2480.7000000000003"/>
    <n v="342.79999999999995"/>
    <n v="361"/>
    <n v="690.8"/>
    <n v="4401.8"/>
  </r>
  <r>
    <x v="0"/>
    <x v="10"/>
    <s v="January"/>
    <n v="174"/>
    <n v="208.3"/>
    <n v="192.9"/>
    <n v="174.3"/>
    <n v="192.6"/>
    <n v="156.30000000000001"/>
    <n v="142.9"/>
    <n v="170.7"/>
    <n v="120.3"/>
    <n v="210.5"/>
    <n v="176.9"/>
    <n v="188.5"/>
    <n v="175"/>
    <n v="196.9"/>
    <n v="189"/>
    <n v="186.3"/>
    <n v="188.6"/>
    <n v="139.27096774193564"/>
    <n v="183.2"/>
    <n v="177.2"/>
    <n v="184.7"/>
    <n v="168.2"/>
    <n v="171.8"/>
    <n v="177.8"/>
    <n v="178.4"/>
    <n v="176.5"/>
    <n v="177.8"/>
    <n v="177.15000000000003"/>
    <n v="158.23548387096781"/>
    <n v="176.125"/>
    <n v="2480.1000000000004"/>
    <n v="316.47096774193562"/>
    <n v="375.3"/>
    <n v="704.5"/>
    <n v="4412.470967741936"/>
  </r>
  <r>
    <x v="1"/>
    <x v="10"/>
    <s v="January"/>
    <n v="173.3"/>
    <n v="215.2"/>
    <n v="197"/>
    <n v="175.2"/>
    <n v="178"/>
    <n v="160.5"/>
    <n v="175.3"/>
    <n v="171.2"/>
    <n v="122.7"/>
    <n v="204.3"/>
    <n v="163.69999999999999"/>
    <n v="194.3"/>
    <n v="179.5"/>
    <n v="201.6"/>
    <n v="178.7"/>
    <n v="165.3"/>
    <n v="176.6"/>
    <n v="172.1"/>
    <n v="180.1"/>
    <n v="168"/>
    <n v="178.5"/>
    <n v="159.5"/>
    <n v="167.8"/>
    <n v="171.8"/>
    <n v="178.8"/>
    <n v="168.9"/>
    <n v="174.9"/>
    <n v="179.41428571428574"/>
    <n v="170.05"/>
    <n v="171.82499999999999"/>
    <n v="2511.8000000000002"/>
    <n v="340.1"/>
    <n v="344"/>
    <n v="687.3"/>
    <n v="4401.3000000000011"/>
  </r>
  <r>
    <x v="2"/>
    <x v="10"/>
    <s v="January"/>
    <n v="173.8"/>
    <n v="210.7"/>
    <n v="194.5"/>
    <n v="174.6"/>
    <n v="187.2"/>
    <n v="158.30000000000001"/>
    <n v="153.9"/>
    <n v="170.9"/>
    <n v="121.1"/>
    <n v="208.4"/>
    <n v="171.4"/>
    <n v="191.2"/>
    <n v="176.7"/>
    <n v="198.2"/>
    <n v="184.9"/>
    <n v="177.6"/>
    <n v="183.8"/>
    <n v="172.1"/>
    <n v="182"/>
    <n v="172.9"/>
    <n v="182.3"/>
    <n v="163.6"/>
    <n v="169.5"/>
    <n v="174.3"/>
    <n v="178.6"/>
    <n v="172.8"/>
    <n v="176.5"/>
    <n v="177.92142857142855"/>
    <n v="172.5"/>
    <n v="173.8"/>
    <n v="2490.8999999999996"/>
    <n v="345"/>
    <n v="362.5"/>
    <n v="695.2"/>
    <n v="4421.4999999999991"/>
  </r>
  <r>
    <x v="0"/>
    <x v="10"/>
    <s v="February"/>
    <n v="174.2"/>
    <n v="205.2"/>
    <n v="173.9"/>
    <n v="177"/>
    <n v="183.4"/>
    <n v="167.2"/>
    <n v="140.9"/>
    <n v="170.4"/>
    <n v="119.1"/>
    <n v="212.1"/>
    <n v="177.6"/>
    <n v="189.9"/>
    <n v="174.8"/>
    <n v="198.3"/>
    <n v="190"/>
    <n v="187"/>
    <n v="189.6"/>
    <n v="139.27096774193564"/>
    <n v="181.6"/>
    <n v="178.6"/>
    <n v="186.6"/>
    <n v="169"/>
    <n v="172.8"/>
    <n v="178.5"/>
    <n v="180.7"/>
    <n v="177.9"/>
    <n v="178"/>
    <n v="176"/>
    <n v="158.9354838709678"/>
    <n v="177.47500000000002"/>
    <n v="2464"/>
    <n v="317.8709677419356"/>
    <n v="377"/>
    <n v="709.90000000000009"/>
    <n v="4405.970967741936"/>
  </r>
  <r>
    <x v="1"/>
    <x v="10"/>
    <s v="February"/>
    <n v="174.7"/>
    <n v="212.2"/>
    <n v="177.2"/>
    <n v="177.9"/>
    <n v="172.2"/>
    <n v="172.1"/>
    <n v="175.8"/>
    <n v="172.2"/>
    <n v="121.9"/>
    <n v="204.8"/>
    <n v="164.9"/>
    <n v="196.6"/>
    <n v="180.7"/>
    <n v="202.7"/>
    <n v="180.3"/>
    <n v="167"/>
    <n v="178.2"/>
    <n v="173.5"/>
    <n v="182.8"/>
    <n v="169.2"/>
    <n v="180.8"/>
    <n v="159.80000000000001"/>
    <n v="168.4"/>
    <n v="172.5"/>
    <n v="181.4"/>
    <n v="170"/>
    <n v="176.3"/>
    <n v="178.9928571428571"/>
    <n v="171.35"/>
    <n v="173.07499999999999"/>
    <n v="2505.8999999999996"/>
    <n v="342.7"/>
    <n v="347.3"/>
    <n v="692.3"/>
    <n v="4411.6000000000004"/>
  </r>
  <r>
    <x v="2"/>
    <x v="10"/>
    <s v="February"/>
    <n v="174.4"/>
    <n v="207.7"/>
    <n v="175.2"/>
    <n v="177.3"/>
    <n v="179.3"/>
    <n v="169.5"/>
    <n v="152.69999999999999"/>
    <n v="171"/>
    <n v="120"/>
    <n v="209.7"/>
    <n v="172.3"/>
    <n v="193"/>
    <n v="177"/>
    <n v="199.5"/>
    <n v="186.2"/>
    <n v="178.7"/>
    <n v="185.1"/>
    <n v="173.5"/>
    <n v="182.1"/>
    <n v="174.2"/>
    <n v="184.4"/>
    <n v="164.2"/>
    <n v="170.3"/>
    <n v="175"/>
    <n v="181"/>
    <n v="174.1"/>
    <n v="177.2"/>
    <n v="177.04285714285714"/>
    <n v="173.85"/>
    <n v="175.10000000000002"/>
    <n v="2478.6"/>
    <n v="347.7"/>
    <n v="364.9"/>
    <n v="700.40000000000009"/>
    <n v="4422.3"/>
  </r>
  <r>
    <x v="0"/>
    <x v="10"/>
    <s v="March"/>
    <n v="174.3"/>
    <n v="205.2"/>
    <n v="173.9"/>
    <n v="177"/>
    <n v="183.3"/>
    <n v="167.2"/>
    <n v="140.9"/>
    <n v="170.5"/>
    <n v="119.1"/>
    <n v="212.1"/>
    <n v="177.6"/>
    <n v="189.9"/>
    <n v="174.8"/>
    <n v="198.4"/>
    <n v="190"/>
    <n v="187"/>
    <n v="189.6"/>
    <n v="139.27096774193564"/>
    <n v="181.4"/>
    <n v="178.6"/>
    <n v="186.6"/>
    <n v="169"/>
    <n v="172.8"/>
    <n v="178.5"/>
    <n v="180.7"/>
    <n v="177.9"/>
    <n v="178"/>
    <n v="176.01428571428573"/>
    <n v="158.9354838709678"/>
    <n v="177.47500000000002"/>
    <n v="2464.2000000000003"/>
    <n v="317.8709677419356"/>
    <n v="377"/>
    <n v="709.90000000000009"/>
    <n v="4405.970967741936"/>
  </r>
  <r>
    <x v="1"/>
    <x v="10"/>
    <s v="March"/>
    <n v="174.7"/>
    <n v="212.2"/>
    <n v="177.2"/>
    <n v="177.9"/>
    <n v="172.2"/>
    <n v="172.1"/>
    <n v="175.9"/>
    <n v="172.2"/>
    <n v="121.9"/>
    <n v="204.8"/>
    <n v="164.9"/>
    <n v="196.6"/>
    <n v="180.8"/>
    <n v="202.7"/>
    <n v="180.2"/>
    <n v="167"/>
    <n v="178.2"/>
    <n v="173.5"/>
    <n v="182.6"/>
    <n v="169.2"/>
    <n v="180.8"/>
    <n v="159.80000000000001"/>
    <n v="168.4"/>
    <n v="172.5"/>
    <n v="181.5"/>
    <n v="170"/>
    <n v="176.3"/>
    <n v="179.00714285714284"/>
    <n v="171.35"/>
    <n v="173.1"/>
    <n v="2506.1"/>
    <n v="342.7"/>
    <n v="347.2"/>
    <n v="692.4"/>
    <n v="4411.6000000000004"/>
  </r>
  <r>
    <x v="2"/>
    <x v="10"/>
    <s v="March"/>
    <n v="174.4"/>
    <n v="207.7"/>
    <n v="175.2"/>
    <n v="177.3"/>
    <n v="179.2"/>
    <n v="169.5"/>
    <n v="152.80000000000001"/>
    <n v="171.1"/>
    <n v="120"/>
    <n v="209.7"/>
    <n v="172.3"/>
    <n v="193"/>
    <n v="177"/>
    <n v="199.5"/>
    <n v="186.1"/>
    <n v="178.7"/>
    <n v="185.1"/>
    <n v="173.5"/>
    <n v="181.9"/>
    <n v="174.2"/>
    <n v="184.4"/>
    <n v="164.2"/>
    <n v="170.3"/>
    <n v="175"/>
    <n v="181"/>
    <n v="174.1"/>
    <n v="177.2"/>
    <n v="177.04999999999998"/>
    <n v="173.85"/>
    <n v="175.10000000000002"/>
    <n v="2478.6999999999998"/>
    <n v="347.7"/>
    <n v="364.79999999999995"/>
    <n v="700.40000000000009"/>
    <n v="4422.0999999999995"/>
  </r>
  <r>
    <x v="0"/>
    <x v="10"/>
    <s v="April"/>
    <n v="173.3"/>
    <n v="206.9"/>
    <n v="167.9"/>
    <n v="178.2"/>
    <n v="178.5"/>
    <n v="173.7"/>
    <n v="142.80000000000001"/>
    <n v="172.8"/>
    <n v="120.4"/>
    <n v="215.5"/>
    <n v="178.2"/>
    <n v="190.5"/>
    <n v="175.5"/>
    <n v="199.5"/>
    <n v="190.7"/>
    <n v="187.3"/>
    <n v="190.2"/>
    <n v="139.27096774193564"/>
    <n v="181.5"/>
    <n v="179.1"/>
    <n v="187.2"/>
    <n v="169.4"/>
    <n v="173.2"/>
    <n v="179.4"/>
    <n v="183.8"/>
    <n v="178.9"/>
    <n v="178.8"/>
    <n v="176.69285714285712"/>
    <n v="159.1854838709678"/>
    <n v="178.82499999999999"/>
    <n v="2473.6999999999998"/>
    <n v="318.3709677419356"/>
    <n v="378"/>
    <n v="715.3"/>
    <n v="4423.470967741936"/>
  </r>
  <r>
    <x v="1"/>
    <x v="10"/>
    <s v="April"/>
    <n v="174.8"/>
    <n v="213.7"/>
    <n v="172.4"/>
    <n v="178.8"/>
    <n v="168.7"/>
    <n v="179.2"/>
    <n v="179.9"/>
    <n v="174.7"/>
    <n v="123.1"/>
    <n v="207.8"/>
    <n v="165.5"/>
    <n v="197"/>
    <n v="182.1"/>
    <n v="203.5"/>
    <n v="181"/>
    <n v="167.7"/>
    <n v="178.9"/>
    <n v="175.2"/>
    <n v="182.1"/>
    <n v="169.6"/>
    <n v="181.5"/>
    <n v="160.1"/>
    <n v="168.8"/>
    <n v="174.2"/>
    <n v="184.4"/>
    <n v="170.9"/>
    <n v="177.4"/>
    <n v="180.08571428571432"/>
    <n v="172.39999999999998"/>
    <n v="174.57499999999999"/>
    <n v="2521.2000000000003"/>
    <n v="344.79999999999995"/>
    <n v="348.7"/>
    <n v="698.3"/>
    <n v="4436.7000000000007"/>
  </r>
  <r>
    <x v="2"/>
    <x v="10"/>
    <s v="April"/>
    <n v="173.8"/>
    <n v="209.3"/>
    <n v="169.6"/>
    <n v="178.4"/>
    <n v="174.9"/>
    <n v="176.3"/>
    <n v="155.4"/>
    <n v="173.4"/>
    <n v="121.3"/>
    <n v="212.9"/>
    <n v="172.9"/>
    <n v="193.5"/>
    <n v="177.9"/>
    <n v="200.6"/>
    <n v="186.9"/>
    <n v="179.2"/>
    <n v="185.7"/>
    <n v="175.2"/>
    <n v="181.7"/>
    <n v="174.6"/>
    <n v="185"/>
    <n v="164.5"/>
    <n v="170.7"/>
    <n v="176.4"/>
    <n v="184"/>
    <n v="175"/>
    <n v="178.1"/>
    <n v="177.87142857142859"/>
    <n v="174.89999999999998"/>
    <n v="176.52499999999998"/>
    <n v="2490.2000000000003"/>
    <n v="349.79999999999995"/>
    <n v="366.1"/>
    <n v="706.09999999999991"/>
    <n v="4443.3999999999996"/>
  </r>
  <r>
    <x v="0"/>
    <x v="10"/>
    <s v="May"/>
    <n v="173.2"/>
    <n v="211.5"/>
    <n v="171"/>
    <n v="179.6"/>
    <n v="173.3"/>
    <n v="169"/>
    <n v="148.69999999999999"/>
    <n v="174.9"/>
    <n v="121.9"/>
    <n v="221"/>
    <n v="178.7"/>
    <n v="191.1"/>
    <n v="176.8"/>
    <n v="199.9"/>
    <n v="191.2"/>
    <n v="187.9"/>
    <n v="190.8"/>
    <n v="139.27096774193564"/>
    <n v="182.5"/>
    <n v="179.8"/>
    <n v="187.8"/>
    <n v="169.7"/>
    <n v="173.8"/>
    <n v="180.3"/>
    <n v="184.9"/>
    <n v="179.5"/>
    <n v="179.8"/>
    <n v="177.90000000000006"/>
    <n v="159.53548387096782"/>
    <n v="179.625"/>
    <n v="2490.6000000000008"/>
    <n v="319.07096774193565"/>
    <n v="379.1"/>
    <n v="718.5"/>
    <n v="4447.2709677419361"/>
  </r>
  <r>
    <x v="1"/>
    <x v="10"/>
    <s v="May"/>
    <n v="174.7"/>
    <n v="219.4"/>
    <n v="176.7"/>
    <n v="179.4"/>
    <n v="164.4"/>
    <n v="175.8"/>
    <n v="185"/>
    <n v="176.9"/>
    <n v="124.2"/>
    <n v="211.9"/>
    <n v="165.9"/>
    <n v="197.7"/>
    <n v="183.1"/>
    <n v="204.2"/>
    <n v="181.3"/>
    <n v="168.1"/>
    <n v="179.3"/>
    <n v="175.6"/>
    <n v="183.4"/>
    <n v="170.1"/>
    <n v="182.2"/>
    <n v="160.4"/>
    <n v="169.2"/>
    <n v="174.8"/>
    <n v="185.6"/>
    <n v="171.6"/>
    <n v="178.2"/>
    <n v="181.37857142857141"/>
    <n v="172.85"/>
    <n v="175.3"/>
    <n v="2539.2999999999997"/>
    <n v="345.7"/>
    <n v="349.4"/>
    <n v="701.2"/>
    <n v="4461.5999999999995"/>
  </r>
  <r>
    <x v="2"/>
    <x v="10"/>
    <s v="May"/>
    <n v="173.7"/>
    <n v="214.3"/>
    <n v="173.2"/>
    <n v="179.5"/>
    <n v="170"/>
    <n v="172.2"/>
    <n v="161"/>
    <n v="175.6"/>
    <n v="122.7"/>
    <n v="218"/>
    <n v="173.4"/>
    <n v="194.2"/>
    <n v="179.1"/>
    <n v="201"/>
    <n v="187.3"/>
    <n v="179.7"/>
    <n v="186.2"/>
    <n v="175.6"/>
    <n v="182.8"/>
    <n v="175.2"/>
    <n v="185.7"/>
    <n v="164.8"/>
    <n v="171.2"/>
    <n v="177.1"/>
    <n v="185.2"/>
    <n v="175.7"/>
    <n v="179.1"/>
    <n v="179.1357142857143"/>
    <n v="175.39999999999998"/>
    <n v="177.3"/>
    <n v="2507.9"/>
    <n v="350.79999999999995"/>
    <n v="367"/>
    <n v="709.2"/>
    <n v="44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2022"/>
    <s v="June"/>
    <x v="0"/>
    <n v="153.80000000000001"/>
    <n v="217.2"/>
    <n v="169.6"/>
    <n v="165.4"/>
    <n v="208.1"/>
    <n v="165.8"/>
    <n v="167.3"/>
    <n v="164.6"/>
    <n v="119.1"/>
    <n v="188.9"/>
    <n v="174.2"/>
    <n v="181.9"/>
    <n v="172.4"/>
    <n v="192.9"/>
    <n v="180.7"/>
    <n v="178.7"/>
    <n v="180.4"/>
    <n v="139.27096774193564"/>
    <n v="176.7"/>
    <n v="170.3"/>
    <n v="178.2"/>
    <n v="165.5"/>
    <n v="168"/>
    <n v="172.6"/>
    <n v="169.5"/>
    <n v="171"/>
    <n v="173.6"/>
    <n v="174.37142857142859"/>
    <m/>
    <n v="122.03548387096782"/>
    <n v="103.97499999999999"/>
    <n v="1476.7999999999997"/>
    <n v="244.07096774193565"/>
    <n v="212.3"/>
    <n v="415.9"/>
    <n v="2661.8709677419356"/>
  </r>
  <r>
    <x v="1"/>
    <n v="2022"/>
    <s v="June"/>
    <x v="0"/>
    <n v="157.5"/>
    <n v="223.4"/>
    <n v="172.8"/>
    <n v="166.4"/>
    <n v="188.6"/>
    <n v="174.1"/>
    <n v="211.5"/>
    <n v="163.6"/>
    <n v="121.4"/>
    <n v="183.5"/>
    <n v="159.1"/>
    <n v="186.3"/>
    <n v="179.3"/>
    <n v="198.3"/>
    <n v="171.6"/>
    <n v="157.4"/>
    <n v="169.4"/>
    <n v="166.8"/>
    <n v="174.9"/>
    <n v="162.1"/>
    <n v="170.9"/>
    <n v="157.19999999999999"/>
    <n v="164.1"/>
    <n v="166.5"/>
    <n v="169.2"/>
    <n v="163.80000000000001"/>
    <n v="171.4"/>
    <n v="177.55714285714288"/>
    <n v="1.826970342454529E-2"/>
    <n v="102.55"/>
    <n v="103.6"/>
    <n v="1481.6000000000001"/>
    <n v="205.1"/>
    <n v="210.9"/>
    <n v="414.4"/>
    <n v="2624.7"/>
  </r>
  <r>
    <x v="2"/>
    <n v="2022"/>
    <s v="June"/>
    <x v="0"/>
    <n v="155"/>
    <n v="219.4"/>
    <n v="170.8"/>
    <n v="165.8"/>
    <n v="200.9"/>
    <n v="169.7"/>
    <n v="182.3"/>
    <n v="164.3"/>
    <n v="119.9"/>
    <n v="187.1"/>
    <n v="167.9"/>
    <n v="183.9"/>
    <n v="174.9"/>
    <n v="194.3"/>
    <n v="177.1"/>
    <n v="169.9"/>
    <n v="176"/>
    <n v="166.8"/>
    <n v="176"/>
    <n v="166.4"/>
    <n v="175.4"/>
    <n v="161.1"/>
    <n v="165.8"/>
    <n v="169"/>
    <n v="169.4"/>
    <n v="167.5"/>
    <n v="172.6"/>
    <n v="175.44285714285715"/>
    <n v="-1.1907635368895402E-2"/>
    <n v="102.55"/>
    <n v="103.77500000000001"/>
    <n v="1478.4"/>
    <n v="205.1"/>
    <n v="211.8"/>
    <n v="415.1"/>
    <n v="2623.1"/>
  </r>
  <r>
    <x v="0"/>
    <n v="2022"/>
    <s v="July"/>
    <x v="1"/>
    <n v="155.19999999999999"/>
    <n v="210.8"/>
    <n v="174.3"/>
    <n v="166.3"/>
    <n v="202.2"/>
    <n v="169.6"/>
    <n v="168.6"/>
    <n v="164.4"/>
    <n v="119.2"/>
    <n v="191.8"/>
    <n v="174.5"/>
    <n v="183.1"/>
    <n v="172.5"/>
    <n v="193.2"/>
    <n v="182"/>
    <n v="180.3"/>
    <n v="181.7"/>
    <n v="139.27096774193564"/>
    <n v="179.6"/>
    <n v="171.3"/>
    <n v="178.8"/>
    <n v="166.3"/>
    <n v="168.6"/>
    <n v="174.7"/>
    <n v="169.7"/>
    <n v="171.8"/>
    <n v="174.3"/>
    <n v="174.69285714285712"/>
    <n v="-4.2748961810929065E-3"/>
    <n v="122.23548387096781"/>
    <n v="104.27500000000001"/>
    <n v="1485.9999999999998"/>
    <n v="244.47096774193562"/>
    <n v="213.39999999999998"/>
    <n v="417.1"/>
    <n v="2675.4709677419355"/>
  </r>
  <r>
    <x v="1"/>
    <n v="2022"/>
    <s v="July"/>
    <x v="1"/>
    <n v="159.30000000000001"/>
    <n v="217.1"/>
    <n v="176.6"/>
    <n v="167.1"/>
    <n v="184.8"/>
    <n v="179.5"/>
    <n v="208.5"/>
    <n v="164"/>
    <n v="121.5"/>
    <n v="186.3"/>
    <n v="159.80000000000001"/>
    <n v="187.7"/>
    <n v="179.4"/>
    <n v="198.6"/>
    <n v="172.7"/>
    <n v="158.69999999999999"/>
    <n v="170.6"/>
    <n v="167.8"/>
    <n v="179.5"/>
    <n v="163.1"/>
    <n v="171.7"/>
    <n v="157.4"/>
    <n v="164.6"/>
    <n v="169.1"/>
    <n v="169.8"/>
    <n v="164.7"/>
    <n v="172.3"/>
    <n v="177.87142857142857"/>
    <n v="1.8195199738316323E-2"/>
    <n v="102.80000000000001"/>
    <n v="103.9"/>
    <n v="1496.6000000000001"/>
    <n v="205.60000000000002"/>
    <n v="212.1"/>
    <n v="415.6"/>
    <n v="2644.7"/>
  </r>
  <r>
    <x v="2"/>
    <n v="2022"/>
    <s v="July"/>
    <x v="1"/>
    <n v="156.5"/>
    <n v="213"/>
    <n v="175.2"/>
    <n v="166.6"/>
    <n v="195.8"/>
    <n v="174.2"/>
    <n v="182.1"/>
    <n v="164.3"/>
    <n v="120"/>
    <n v="190"/>
    <n v="168.4"/>
    <n v="185.2"/>
    <n v="175"/>
    <n v="194.6"/>
    <n v="178.3"/>
    <n v="171.3"/>
    <n v="177.3"/>
    <n v="167.8"/>
    <n v="179.6"/>
    <n v="167.4"/>
    <n v="176.1"/>
    <n v="161.6"/>
    <n v="166.3"/>
    <n v="171.4"/>
    <n v="169.7"/>
    <n v="168.4"/>
    <n v="173.4"/>
    <n v="175.77857142857144"/>
    <n v="-1.1766123202955499E-2"/>
    <n v="102.80000000000001"/>
    <n v="104.1"/>
    <n v="1489.9"/>
    <n v="205.60000000000002"/>
    <n v="212.9"/>
    <n v="416.4"/>
    <n v="2639.5"/>
  </r>
  <r>
    <x v="0"/>
    <n v="2022"/>
    <s v="August"/>
    <x v="2"/>
    <n v="159.5"/>
    <n v="204.1"/>
    <n v="168.3"/>
    <n v="167.9"/>
    <n v="198.1"/>
    <n v="169.2"/>
    <n v="173.1"/>
    <n v="167.1"/>
    <n v="120.2"/>
    <n v="195.6"/>
    <n v="174.8"/>
    <n v="184"/>
    <n v="173.9"/>
    <n v="193.7"/>
    <n v="183.2"/>
    <n v="181.7"/>
    <n v="183"/>
    <n v="139.27096774193564"/>
    <n v="179.1"/>
    <n v="172.3"/>
    <n v="179.4"/>
    <n v="166.6"/>
    <n v="169.3"/>
    <n v="175.7"/>
    <n v="171.1"/>
    <n v="172.6"/>
    <n v="175.3"/>
    <n v="174.96428571428569"/>
    <n v="-4.6324515421189124E-3"/>
    <n v="122.43548387096781"/>
    <n v="104.3"/>
    <n v="1488.7"/>
    <n v="244.87096774193563"/>
    <n v="214.39999999999998"/>
    <n v="417.2"/>
    <n v="2680.5709677419354"/>
  </r>
  <r>
    <x v="1"/>
    <n v="2022"/>
    <s v="August"/>
    <x v="2"/>
    <n v="162.1"/>
    <n v="210.9"/>
    <n v="170.6"/>
    <n v="168.4"/>
    <n v="182.5"/>
    <n v="177.1"/>
    <n v="213.1"/>
    <n v="167.3"/>
    <n v="122.2"/>
    <n v="189.7"/>
    <n v="160.5"/>
    <n v="188.9"/>
    <n v="180.4"/>
    <n v="198.7"/>
    <n v="173.7"/>
    <n v="160"/>
    <n v="171.6"/>
    <n v="169"/>
    <n v="178.4"/>
    <n v="164.2"/>
    <n v="172.6"/>
    <n v="157.69999999999999"/>
    <n v="165.1"/>
    <n v="169.9"/>
    <n v="171.4"/>
    <n v="165.4"/>
    <n v="173.1"/>
    <n v="178.02857142857141"/>
    <n v="1.7513778322106568E-2"/>
    <n v="103.05000000000001"/>
    <n v="104.10000000000001"/>
    <n v="1493.6"/>
    <n v="206.10000000000002"/>
    <n v="213.2"/>
    <n v="416.40000000000003"/>
    <n v="2646"/>
  </r>
  <r>
    <x v="2"/>
    <n v="2022"/>
    <s v="August"/>
    <x v="2"/>
    <n v="160.30000000000001"/>
    <n v="206.5"/>
    <n v="169.2"/>
    <n v="168.1"/>
    <n v="192.4"/>
    <n v="172.9"/>
    <n v="186.7"/>
    <n v="167.2"/>
    <n v="120.9"/>
    <n v="193.6"/>
    <n v="168.8"/>
    <n v="186.3"/>
    <n v="176.3"/>
    <n v="195"/>
    <n v="179.5"/>
    <n v="172.7"/>
    <n v="178.5"/>
    <n v="169"/>
    <n v="178.8"/>
    <n v="168.5"/>
    <n v="176.8"/>
    <n v="161.9"/>
    <n v="166.9"/>
    <n v="172.3"/>
    <n v="171.2"/>
    <n v="169.1"/>
    <n v="174.3"/>
    <n v="176.01428571428573"/>
    <n v="-1.1314395763119676E-2"/>
    <n v="103"/>
    <n v="104.175"/>
    <n v="1490.6000000000001"/>
    <n v="206"/>
    <n v="213.9"/>
    <n v="416.7"/>
    <n v="2643.3"/>
  </r>
  <r>
    <x v="0"/>
    <n v="2022"/>
    <s v="September"/>
    <x v="3"/>
    <n v="162.9"/>
    <n v="206.7"/>
    <n v="169"/>
    <n v="169.5"/>
    <n v="194.1"/>
    <n v="164.1"/>
    <n v="176.9"/>
    <n v="169"/>
    <n v="120.8"/>
    <n v="199.1"/>
    <n v="175.4"/>
    <n v="184.8"/>
    <n v="175.5"/>
    <n v="194.5"/>
    <n v="184.7"/>
    <n v="183.3"/>
    <n v="184.5"/>
    <n v="139.27096774193564"/>
    <n v="179.7"/>
    <n v="173.6"/>
    <n v="180.2"/>
    <n v="166.9"/>
    <n v="170"/>
    <n v="176.2"/>
    <n v="170.8"/>
    <n v="173.1"/>
    <n v="176.4"/>
    <n v="175.87857142857143"/>
    <n v="-7.7104131158193504E-4"/>
    <n v="122.68548387096781"/>
    <n v="104.15"/>
    <n v="1492.8999999999999"/>
    <n v="245.37096774193563"/>
    <n v="215.5"/>
    <n v="416.6"/>
    <n v="2686.3709677419356"/>
  </r>
  <r>
    <x v="1"/>
    <n v="2022"/>
    <s v="September"/>
    <x v="3"/>
    <n v="164.9"/>
    <n v="213.7"/>
    <n v="170.9"/>
    <n v="170.1"/>
    <n v="179.3"/>
    <n v="167.5"/>
    <n v="220.8"/>
    <n v="169.2"/>
    <n v="123.1"/>
    <n v="193.6"/>
    <n v="161.1"/>
    <n v="190.4"/>
    <n v="181.8"/>
    <n v="199.7"/>
    <n v="175"/>
    <n v="161.69999999999999"/>
    <n v="173"/>
    <n v="169.5"/>
    <n v="179.2"/>
    <n v="165"/>
    <n v="173.8"/>
    <n v="158.19999999999999"/>
    <n v="165.8"/>
    <n v="170.9"/>
    <n v="171.1"/>
    <n v="166.1"/>
    <n v="174.1"/>
    <n v="179.00714285714284"/>
    <n v="1.7788246761158134E-2"/>
    <n v="103.5"/>
    <n v="104.375"/>
    <n v="1506.1999999999998"/>
    <n v="207"/>
    <n v="214.3"/>
    <n v="417.5"/>
    <n v="2662.1"/>
  </r>
  <r>
    <x v="2"/>
    <n v="2022"/>
    <s v="September"/>
    <x v="3"/>
    <n v="163.5"/>
    <n v="209.2"/>
    <n v="169.7"/>
    <n v="169.7"/>
    <n v="188.7"/>
    <n v="165.7"/>
    <n v="191.8"/>
    <n v="169.1"/>
    <n v="121.6"/>
    <n v="197.3"/>
    <n v="169.4"/>
    <n v="187.4"/>
    <n v="177.8"/>
    <n v="195.9"/>
    <n v="180.9"/>
    <n v="174.3"/>
    <n v="179.9"/>
    <n v="169.5"/>
    <n v="179.5"/>
    <n v="169.5"/>
    <n v="177.8"/>
    <n v="162.30000000000001"/>
    <n v="167.6"/>
    <n v="173.1"/>
    <n v="170.9"/>
    <n v="169.7"/>
    <n v="175.3"/>
    <n v="176.91428571428574"/>
    <n v="-1.1691472806352255E-2"/>
    <n v="103.4"/>
    <n v="104.22499999999999"/>
    <n v="1497.7"/>
    <n v="206.8"/>
    <n v="215"/>
    <n v="416.9"/>
    <n v="2652.9"/>
  </r>
  <r>
    <x v="0"/>
    <n v="2022"/>
    <s v="October"/>
    <x v="4"/>
    <n v="164.7"/>
    <n v="208.8"/>
    <n v="170.3"/>
    <n v="170.9"/>
    <n v="191.6"/>
    <n v="162.19999999999999"/>
    <n v="184.8"/>
    <n v="169.7"/>
    <n v="121.1"/>
    <n v="201.6"/>
    <n v="175.8"/>
    <n v="185.6"/>
    <n v="177.4"/>
    <n v="194.9"/>
    <n v="186.1"/>
    <n v="184.4"/>
    <n v="185.9"/>
    <n v="139.27096774193564"/>
    <n v="180.8"/>
    <n v="174.4"/>
    <n v="181.2"/>
    <n v="167.4"/>
    <n v="170.6"/>
    <n v="176.5"/>
    <n v="172"/>
    <n v="173.9"/>
    <n v="177.9"/>
    <n v="177.1"/>
    <n v="1.049741602067009E-3"/>
    <n v="123.03548387096782"/>
    <n v="104.35"/>
    <n v="1502.1"/>
    <n v="246.07096774193565"/>
    <n v="216.7"/>
    <n v="417.4"/>
    <n v="2699.570967741935"/>
  </r>
  <r>
    <x v="1"/>
    <n v="2022"/>
    <s v="October"/>
    <x v="4"/>
    <n v="166.4"/>
    <n v="214.9"/>
    <n v="171.9"/>
    <n v="171"/>
    <n v="177.7"/>
    <n v="165.7"/>
    <n v="228.6"/>
    <n v="169.9"/>
    <n v="123.4"/>
    <n v="196.4"/>
    <n v="161.6"/>
    <n v="191.5"/>
    <n v="183.3"/>
    <n v="200.1"/>
    <n v="175.5"/>
    <n v="162.6"/>
    <n v="173.6"/>
    <n v="171.2"/>
    <n v="180"/>
    <n v="166"/>
    <n v="174.7"/>
    <n v="158.80000000000001"/>
    <n v="166.3"/>
    <n v="171.2"/>
    <n v="172.3"/>
    <n v="166.8"/>
    <n v="175.3"/>
    <n v="180.17142857142858"/>
    <n v="1.7342905541663376E-2"/>
    <n v="103.8"/>
    <n v="104.44999999999999"/>
    <n v="1526.9999999999998"/>
    <n v="207.6"/>
    <n v="215.2"/>
    <n v="417.79999999999995"/>
    <n v="2684.8999999999996"/>
  </r>
  <r>
    <x v="2"/>
    <n v="2022"/>
    <s v="October"/>
    <x v="4"/>
    <n v="165.2"/>
    <n v="210.9"/>
    <n v="170.9"/>
    <n v="170.9"/>
    <n v="186.5"/>
    <n v="163.80000000000001"/>
    <n v="199.7"/>
    <n v="169.8"/>
    <n v="121.9"/>
    <n v="199.9"/>
    <n v="169.9"/>
    <n v="188.3"/>
    <n v="179.6"/>
    <n v="196.3"/>
    <n v="181.9"/>
    <n v="175.3"/>
    <n v="181"/>
    <n v="171.2"/>
    <n v="180.5"/>
    <n v="170.4"/>
    <n v="178.7"/>
    <n v="162.9"/>
    <n v="168.2"/>
    <n v="173.4"/>
    <n v="172.1"/>
    <n v="170.5"/>
    <n v="176.7"/>
    <n v="178.11428571428573"/>
    <n v="-1.1417697431018036E-2"/>
    <n v="103.7"/>
    <n v="104.375"/>
    <n v="1510.7999999999997"/>
    <n v="207.4"/>
    <n v="216.10000000000002"/>
    <n v="417.5"/>
    <n v="2669.1"/>
  </r>
  <r>
    <x v="0"/>
    <n v="2022"/>
    <s v="November"/>
    <x v="5"/>
    <n v="166.9"/>
    <n v="207.2"/>
    <n v="180.2"/>
    <n v="172.3"/>
    <n v="194"/>
    <n v="159.1"/>
    <n v="171.6"/>
    <n v="170.2"/>
    <n v="121.5"/>
    <n v="204.8"/>
    <n v="176.4"/>
    <n v="186.9"/>
    <n v="176.6"/>
    <n v="195.5"/>
    <n v="187.2"/>
    <n v="185.2"/>
    <n v="186.9"/>
    <n v="139.27096774193564"/>
    <n v="181.9"/>
    <n v="175.5"/>
    <n v="182.3"/>
    <n v="167.5"/>
    <n v="170.8"/>
    <n v="176.9"/>
    <n v="173.4"/>
    <n v="174.6"/>
    <n v="177.8"/>
    <n v="177.37142857142857"/>
    <n v="-4.1706769329484519E-3"/>
    <n v="123.38548387096782"/>
    <n v="105.02500000000001"/>
    <n v="1529"/>
    <n v="246.77096774193564"/>
    <n v="218.5"/>
    <n v="420.1"/>
    <n v="2734.1709677419358"/>
  </r>
  <r>
    <x v="1"/>
    <n v="2022"/>
    <s v="November"/>
    <x v="5"/>
    <n v="168.4"/>
    <n v="213.4"/>
    <n v="183.2"/>
    <n v="172.3"/>
    <n v="180"/>
    <n v="162.6"/>
    <n v="205.5"/>
    <n v="171"/>
    <n v="123.4"/>
    <n v="198.8"/>
    <n v="162.1"/>
    <n v="192.4"/>
    <n v="181.3"/>
    <n v="200.6"/>
    <n v="176.7"/>
    <n v="163.5"/>
    <n v="174.7"/>
    <n v="171.8"/>
    <n v="180.3"/>
    <n v="166.9"/>
    <n v="175.8"/>
    <n v="158.9"/>
    <n v="166.7"/>
    <n v="171.5"/>
    <n v="173.8"/>
    <n v="167.4"/>
    <n v="174.1"/>
    <n v="179.64285714285714"/>
    <n v="1.2806056701030933E-2"/>
    <n v="107.15"/>
    <n v="105.675"/>
    <n v="1575.5000000000002"/>
    <n v="214.3"/>
    <n v="216.4"/>
    <n v="422.7"/>
    <n v="2748.6000000000004"/>
  </r>
  <r>
    <x v="2"/>
    <n v="2022"/>
    <s v="November"/>
    <x v="5"/>
    <n v="167.4"/>
    <n v="209.4"/>
    <n v="181.4"/>
    <n v="172.3"/>
    <n v="188.9"/>
    <n v="160.69999999999999"/>
    <n v="183.1"/>
    <n v="170.5"/>
    <n v="122.1"/>
    <n v="202.8"/>
    <n v="170.4"/>
    <n v="189.5"/>
    <n v="178.3"/>
    <n v="196.9"/>
    <n v="183.1"/>
    <n v="176.2"/>
    <n v="182.1"/>
    <n v="171.8"/>
    <n v="181.3"/>
    <n v="171.4"/>
    <n v="179.8"/>
    <n v="163"/>
    <n v="168.5"/>
    <n v="173.7"/>
    <n v="173.6"/>
    <n v="171.1"/>
    <n v="176.5"/>
    <n v="178.12142857142859"/>
    <n v="-8.4691848906559095E-3"/>
    <n v="107.1"/>
    <n v="105.35"/>
    <n v="1545.5"/>
    <n v="214.2"/>
    <n v="217.6"/>
    <n v="421.4"/>
    <n v="2718.5"/>
  </r>
  <r>
    <x v="0"/>
    <n v="2022"/>
    <s v="December"/>
    <x v="6"/>
    <n v="168.8"/>
    <n v="206.9"/>
    <n v="189.1"/>
    <n v="173.4"/>
    <n v="193.9"/>
    <n v="156.69999999999999"/>
    <n v="150.19999999999999"/>
    <n v="170.5"/>
    <n v="121.2"/>
    <n v="207.5"/>
    <n v="176.8"/>
    <n v="187.7"/>
    <n v="174.4"/>
    <n v="195.9"/>
    <n v="188.1"/>
    <n v="185.9"/>
    <n v="187.8"/>
    <n v="139.27096774193564"/>
    <n v="182.8"/>
    <n v="176.4"/>
    <n v="183.5"/>
    <n v="167.8"/>
    <n v="171.2"/>
    <n v="177.3"/>
    <n v="175.7"/>
    <n v="175.5"/>
    <n v="177.1"/>
    <n v="176.64285714285714"/>
    <n v="-8.3009183141518166E-3"/>
    <n v="123.78548387096782"/>
    <n v="105.80000000000001"/>
    <n v="1555.6999999999996"/>
    <n v="247.57096774193565"/>
    <n v="220"/>
    <n v="423.20000000000005"/>
    <n v="2769.6709677419353"/>
  </r>
  <r>
    <x v="1"/>
    <n v="2022"/>
    <s v="December"/>
    <x v="6"/>
    <n v="170.2"/>
    <n v="212.9"/>
    <n v="191.9"/>
    <n v="173.9"/>
    <n v="179.1"/>
    <n v="159.5"/>
    <n v="178.7"/>
    <n v="171.3"/>
    <n v="123.1"/>
    <n v="200.5"/>
    <n v="162.80000000000001"/>
    <n v="193.3"/>
    <n v="178.6"/>
    <n v="201.1"/>
    <n v="177.7"/>
    <n v="164.5"/>
    <n v="175.7"/>
    <n v="170.7"/>
    <n v="180.6"/>
    <n v="167.3"/>
    <n v="177.2"/>
    <n v="159.4"/>
    <n v="167.1"/>
    <n v="171.8"/>
    <n v="176"/>
    <n v="168.2"/>
    <n v="174.1"/>
    <n v="178.34999999999997"/>
    <n v="9.6643752527293091E-3"/>
    <n v="107.9"/>
    <n v="106.625"/>
    <n v="1601.1000000000001"/>
    <n v="215.8"/>
    <n v="217.6"/>
    <n v="426.5"/>
    <n v="2784"/>
  </r>
  <r>
    <x v="2"/>
    <n v="2022"/>
    <s v="December"/>
    <x v="6"/>
    <n v="169.2"/>
    <n v="209"/>
    <n v="190.2"/>
    <n v="173.6"/>
    <n v="188.5"/>
    <n v="158"/>
    <n v="159.9"/>
    <n v="170.8"/>
    <n v="121.8"/>
    <n v="205.2"/>
    <n v="171"/>
    <n v="190.3"/>
    <n v="175.9"/>
    <n v="197.3"/>
    <n v="184"/>
    <n v="177"/>
    <n v="183"/>
    <n v="170.7"/>
    <n v="182"/>
    <n v="172.1"/>
    <n v="181.1"/>
    <n v="163.4"/>
    <n v="168.9"/>
    <n v="174.1"/>
    <n v="175.8"/>
    <n v="172"/>
    <n v="175.7"/>
    <n v="177.19285714285715"/>
    <n v="-6.4880451760180313E-3"/>
    <n v="107.95"/>
    <n v="106.22499999999999"/>
    <n v="1571.6999999999998"/>
    <n v="215.9"/>
    <n v="219"/>
    <n v="424.9"/>
    <n v="2754.7999999999997"/>
  </r>
  <r>
    <x v="0"/>
    <n v="2023"/>
    <s v="January"/>
    <x v="7"/>
    <n v="174"/>
    <n v="208.3"/>
    <n v="192.9"/>
    <n v="174.3"/>
    <n v="192.6"/>
    <n v="156.30000000000001"/>
    <n v="142.9"/>
    <n v="170.7"/>
    <n v="120.3"/>
    <n v="210.5"/>
    <n v="176.9"/>
    <n v="188.5"/>
    <n v="175"/>
    <n v="196.9"/>
    <n v="189"/>
    <n v="186.3"/>
    <n v="188.6"/>
    <n v="139.27096774193564"/>
    <n v="183.2"/>
    <n v="177.2"/>
    <n v="184.7"/>
    <n v="168.2"/>
    <n v="171.8"/>
    <n v="177.8"/>
    <n v="178.4"/>
    <n v="176.5"/>
    <n v="177.8"/>
    <n v="177.15000000000003"/>
    <n v="-2.418672148988692E-4"/>
    <n v="123.98548387096781"/>
    <n v="107"/>
    <n v="1573.2"/>
    <n v="247.97096774193562"/>
    <n v="221.5"/>
    <n v="428"/>
    <n v="2795.8709677419361"/>
  </r>
  <r>
    <x v="1"/>
    <n v="2023"/>
    <s v="January"/>
    <x v="7"/>
    <n v="173.3"/>
    <n v="215.2"/>
    <n v="197"/>
    <n v="175.2"/>
    <n v="178"/>
    <n v="160.5"/>
    <n v="175.3"/>
    <n v="171.2"/>
    <n v="122.7"/>
    <n v="204.3"/>
    <n v="163.69999999999999"/>
    <n v="194.3"/>
    <n v="179.5"/>
    <n v="201.6"/>
    <n v="178.7"/>
    <n v="165.3"/>
    <n v="176.6"/>
    <n v="172.1"/>
    <n v="180.1"/>
    <n v="168"/>
    <n v="178.5"/>
    <n v="159.5"/>
    <n v="167.8"/>
    <n v="171.8"/>
    <n v="178.8"/>
    <n v="168.9"/>
    <n v="174.9"/>
    <n v="179.41428571428574"/>
    <n v="1.2781742671666412E-2"/>
    <n v="108.80000000000001"/>
    <n v="107.9"/>
    <n v="1618.5000000000002"/>
    <n v="217.60000000000002"/>
    <n v="218.89999999999998"/>
    <n v="431.6"/>
    <n v="2811.6000000000004"/>
  </r>
  <r>
    <x v="2"/>
    <n v="2023"/>
    <s v="January"/>
    <x v="7"/>
    <n v="173.8"/>
    <n v="210.7"/>
    <n v="194.5"/>
    <n v="174.6"/>
    <n v="187.2"/>
    <n v="158.30000000000001"/>
    <n v="153.9"/>
    <n v="170.9"/>
    <n v="121.1"/>
    <n v="208.4"/>
    <n v="171.4"/>
    <n v="191.2"/>
    <n v="176.7"/>
    <n v="198.2"/>
    <n v="184.9"/>
    <n v="177.6"/>
    <n v="183.8"/>
    <n v="172.1"/>
    <n v="182"/>
    <n v="172.9"/>
    <n v="182.3"/>
    <n v="163.6"/>
    <n v="169.5"/>
    <n v="174.3"/>
    <n v="178.6"/>
    <n v="172.8"/>
    <n v="176.5"/>
    <n v="177.92142857142855"/>
    <n v="-8.3207261724662224E-3"/>
    <n v="108.80000000000001"/>
    <n v="107.45000000000002"/>
    <n v="1588.6000000000001"/>
    <n v="217.60000000000002"/>
    <n v="220.4"/>
    <n v="429.80000000000007"/>
    <n v="2781.6"/>
  </r>
  <r>
    <x v="0"/>
    <n v="2023"/>
    <s v="February"/>
    <x v="8"/>
    <n v="174.2"/>
    <n v="205.2"/>
    <n v="173.9"/>
    <n v="177"/>
    <n v="183.4"/>
    <n v="167.2"/>
    <n v="140.9"/>
    <n v="170.4"/>
    <n v="119.1"/>
    <n v="212.1"/>
    <n v="177.6"/>
    <n v="189.9"/>
    <n v="174.8"/>
    <n v="198.3"/>
    <n v="190"/>
    <n v="187"/>
    <n v="189.6"/>
    <n v="139.27096774193564"/>
    <n v="181.6"/>
    <n v="178.6"/>
    <n v="186.6"/>
    <n v="169"/>
    <n v="172.8"/>
    <n v="178.5"/>
    <n v="180.7"/>
    <n v="177.9"/>
    <n v="178"/>
    <n v="176"/>
    <n v="-1.079930948653085E-2"/>
    <n v="124.43548387096781"/>
    <n v="108.22499999999999"/>
    <n v="1600.2000000000003"/>
    <n v="248.87096774193563"/>
    <n v="224.10000000000002"/>
    <n v="432.9"/>
    <n v="2834.7709677419361"/>
  </r>
  <r>
    <x v="1"/>
    <n v="2023"/>
    <s v="February"/>
    <x v="8"/>
    <n v="174.7"/>
    <n v="212.2"/>
    <n v="177.2"/>
    <n v="177.9"/>
    <n v="172.2"/>
    <n v="172.1"/>
    <n v="175.8"/>
    <n v="172.2"/>
    <n v="121.9"/>
    <n v="204.8"/>
    <n v="164.9"/>
    <n v="196.6"/>
    <n v="180.7"/>
    <n v="202.7"/>
    <n v="180.3"/>
    <n v="167"/>
    <n v="178.2"/>
    <n v="173.5"/>
    <n v="182.8"/>
    <n v="169.2"/>
    <n v="180.8"/>
    <n v="159.80000000000001"/>
    <n v="168.4"/>
    <n v="172.5"/>
    <n v="181.4"/>
    <n v="170"/>
    <n v="176.3"/>
    <n v="178.9928571428571"/>
    <n v="1.7004870129869912E-2"/>
    <n v="109.65"/>
    <n v="108.72499999999999"/>
    <n v="1613.3000000000002"/>
    <n v="219.3"/>
    <n v="220.4"/>
    <n v="434.9"/>
    <n v="2815.7000000000003"/>
  </r>
  <r>
    <x v="2"/>
    <n v="2023"/>
    <s v="February"/>
    <x v="8"/>
    <n v="174.4"/>
    <n v="207.7"/>
    <n v="175.2"/>
    <n v="177.3"/>
    <n v="179.3"/>
    <n v="169.5"/>
    <n v="152.69999999999999"/>
    <n v="171"/>
    <n v="120"/>
    <n v="209.7"/>
    <n v="172.3"/>
    <n v="193"/>
    <n v="177"/>
    <n v="199.5"/>
    <n v="186.2"/>
    <n v="178.7"/>
    <n v="185.1"/>
    <n v="173.5"/>
    <n v="182.1"/>
    <n v="174.2"/>
    <n v="184.4"/>
    <n v="164.2"/>
    <n v="170.3"/>
    <n v="175"/>
    <n v="181"/>
    <n v="174.1"/>
    <n v="177.2"/>
    <n v="177.04285714285714"/>
    <n v="-1.089428947683445E-2"/>
    <n v="109.65"/>
    <n v="108.47499999999999"/>
    <n v="1603.6999999999998"/>
    <n v="219.3"/>
    <n v="222.60000000000002"/>
    <n v="433.9"/>
    <n v="2808"/>
  </r>
  <r>
    <x v="0"/>
    <n v="2023"/>
    <s v="March"/>
    <x v="9"/>
    <n v="174.3"/>
    <n v="205.2"/>
    <n v="173.9"/>
    <n v="177"/>
    <n v="183.3"/>
    <n v="167.2"/>
    <n v="140.9"/>
    <n v="170.5"/>
    <n v="119.1"/>
    <n v="212.1"/>
    <n v="177.6"/>
    <n v="189.9"/>
    <n v="174.8"/>
    <n v="198.4"/>
    <n v="190"/>
    <n v="187"/>
    <n v="189.6"/>
    <n v="139.27096774193564"/>
    <n v="181.4"/>
    <n v="178.6"/>
    <n v="186.6"/>
    <n v="169"/>
    <n v="172.8"/>
    <n v="178.5"/>
    <n v="180.7"/>
    <n v="177.9"/>
    <n v="178"/>
    <n v="176.01428571428573"/>
    <n v="-5.8097312999272777E-3"/>
    <n v="124.83548387096782"/>
    <n v="108.77500000000001"/>
    <n v="1620.2"/>
    <n v="249.67096774193564"/>
    <n v="225.89999999999998"/>
    <n v="435.1"/>
    <n v="2860.6709677419358"/>
  </r>
  <r>
    <x v="1"/>
    <n v="2023"/>
    <s v="March"/>
    <x v="9"/>
    <n v="174.7"/>
    <n v="212.2"/>
    <n v="177.2"/>
    <n v="177.9"/>
    <n v="172.2"/>
    <n v="172.1"/>
    <n v="175.9"/>
    <n v="172.2"/>
    <n v="121.9"/>
    <n v="204.8"/>
    <n v="164.9"/>
    <n v="196.6"/>
    <n v="180.8"/>
    <n v="202.7"/>
    <n v="180.2"/>
    <n v="167"/>
    <n v="178.2"/>
    <n v="173.5"/>
    <n v="182.6"/>
    <n v="169.2"/>
    <n v="180.8"/>
    <n v="159.80000000000001"/>
    <n v="168.4"/>
    <n v="172.5"/>
    <n v="181.5"/>
    <n v="170"/>
    <n v="176.3"/>
    <n v="179.00714285714284"/>
    <n v="1.700348997646273E-2"/>
    <n v="110.35"/>
    <n v="109"/>
    <n v="1630.6999999999998"/>
    <n v="220.7"/>
    <n v="222.2"/>
    <n v="436"/>
    <n v="2837.1999999999994"/>
  </r>
  <r>
    <x v="2"/>
    <n v="2023"/>
    <s v="March"/>
    <x v="9"/>
    <n v="174.4"/>
    <n v="207.7"/>
    <n v="175.2"/>
    <n v="177.3"/>
    <n v="179.2"/>
    <n v="169.5"/>
    <n v="152.80000000000001"/>
    <n v="171.1"/>
    <n v="120"/>
    <n v="209.7"/>
    <n v="172.3"/>
    <n v="193"/>
    <n v="177"/>
    <n v="199.5"/>
    <n v="186.1"/>
    <n v="178.7"/>
    <n v="185.1"/>
    <n v="173.5"/>
    <n v="181.9"/>
    <n v="174.2"/>
    <n v="184.4"/>
    <n v="164.2"/>
    <n v="170.3"/>
    <n v="175"/>
    <n v="181"/>
    <n v="174.1"/>
    <n v="177.2"/>
    <n v="177.04999999999998"/>
    <n v="-1.0933322692629975E-2"/>
    <n v="110.4"/>
    <n v="108.875"/>
    <n v="1622.7000000000003"/>
    <n v="220.8"/>
    <n v="224.4"/>
    <n v="435.5"/>
    <n v="2832.4000000000005"/>
  </r>
  <r>
    <x v="0"/>
    <n v="2023"/>
    <s v="April"/>
    <x v="10"/>
    <n v="173.3"/>
    <n v="206.9"/>
    <n v="167.9"/>
    <n v="178.2"/>
    <n v="178.5"/>
    <n v="173.7"/>
    <n v="142.80000000000001"/>
    <n v="172.8"/>
    <n v="120.4"/>
    <n v="215.5"/>
    <n v="178.2"/>
    <n v="190.5"/>
    <n v="175.5"/>
    <n v="199.5"/>
    <n v="190.7"/>
    <n v="187.3"/>
    <n v="190.2"/>
    <n v="139.27096774193564"/>
    <n v="181.5"/>
    <n v="179.1"/>
    <n v="187.2"/>
    <n v="169.4"/>
    <n v="173.2"/>
    <n v="179.4"/>
    <n v="183.8"/>
    <n v="178.9"/>
    <n v="178.8"/>
    <n v="176.69285714285712"/>
    <n v="-2.0171864283697332E-3"/>
    <n v="125.28548387096782"/>
    <n v="109.425"/>
    <n v="1649.6"/>
    <n v="250.57096774193565"/>
    <n v="227.7"/>
    <n v="437.7"/>
    <n v="2897.4709677419351"/>
  </r>
  <r>
    <x v="1"/>
    <n v="2023"/>
    <s v="April"/>
    <x v="10"/>
    <n v="174.8"/>
    <n v="213.7"/>
    <n v="172.4"/>
    <n v="178.8"/>
    <n v="168.7"/>
    <n v="179.2"/>
    <n v="179.9"/>
    <n v="174.7"/>
    <n v="123.1"/>
    <n v="207.8"/>
    <n v="165.5"/>
    <n v="197"/>
    <n v="182.1"/>
    <n v="203.5"/>
    <n v="181"/>
    <n v="167.7"/>
    <n v="178.9"/>
    <n v="175.2"/>
    <n v="182.1"/>
    <n v="169.6"/>
    <n v="181.5"/>
    <n v="160.1"/>
    <n v="168.8"/>
    <n v="174.2"/>
    <n v="184.4"/>
    <n v="170.9"/>
    <n v="177.4"/>
    <n v="180.08571428571432"/>
    <n v="1.9202005093584811E-2"/>
    <n v="111"/>
    <n v="109.325"/>
    <n v="1658.6999999999998"/>
    <n v="222"/>
    <n v="223.8"/>
    <n v="437.3"/>
    <n v="2869.8999999999996"/>
  </r>
  <r>
    <x v="2"/>
    <n v="2023"/>
    <s v="April"/>
    <x v="10"/>
    <n v="173.8"/>
    <n v="209.3"/>
    <n v="169.6"/>
    <n v="178.4"/>
    <n v="174.9"/>
    <n v="176.3"/>
    <n v="155.4"/>
    <n v="173.4"/>
    <n v="121.3"/>
    <n v="212.9"/>
    <n v="172.9"/>
    <n v="193.5"/>
    <n v="177.9"/>
    <n v="200.6"/>
    <n v="186.9"/>
    <n v="179.2"/>
    <n v="185.7"/>
    <n v="175.2"/>
    <n v="181.7"/>
    <n v="174.6"/>
    <n v="185"/>
    <n v="164.5"/>
    <n v="170.7"/>
    <n v="176.4"/>
    <n v="184"/>
    <n v="175"/>
    <n v="178.1"/>
    <n v="177.87142857142859"/>
    <n v="-1.2295732191020193E-2"/>
    <n v="111.1"/>
    <n v="109.4"/>
    <n v="1651.8999999999999"/>
    <n v="222.2"/>
    <n v="226.10000000000002"/>
    <n v="437.6"/>
    <n v="2868.2000000000003"/>
  </r>
  <r>
    <x v="0"/>
    <n v="2023"/>
    <s v="May"/>
    <x v="11"/>
    <n v="173.2"/>
    <n v="211.5"/>
    <n v="171"/>
    <n v="179.6"/>
    <n v="173.3"/>
    <n v="169"/>
    <n v="148.69999999999999"/>
    <n v="174.9"/>
    <n v="121.9"/>
    <n v="221"/>
    <n v="178.7"/>
    <n v="191.1"/>
    <n v="176.8"/>
    <n v="199.9"/>
    <n v="191.2"/>
    <n v="187.9"/>
    <n v="190.8"/>
    <n v="139.27096774193564"/>
    <n v="182.5"/>
    <n v="179.8"/>
    <n v="187.8"/>
    <n v="169.7"/>
    <n v="173.8"/>
    <n v="180.3"/>
    <n v="184.9"/>
    <n v="179.5"/>
    <n v="179.8"/>
    <n v="177.90000000000006"/>
    <n v="1.6062966829995408E-4"/>
    <n v="125.68548387096781"/>
    <n v="109.74999999999999"/>
    <n v="1622.6"/>
    <n v="251.37096774193563"/>
    <n v="229.8"/>
    <n v="438.99999999999994"/>
    <n v="2875.5709677419354"/>
  </r>
  <r>
    <x v="1"/>
    <n v="2023"/>
    <s v="May"/>
    <x v="11"/>
    <n v="174.7"/>
    <n v="219.4"/>
    <n v="176.7"/>
    <n v="179.4"/>
    <n v="164.4"/>
    <n v="175.8"/>
    <n v="185"/>
    <n v="176.9"/>
    <n v="124.2"/>
    <n v="211.9"/>
    <n v="165.9"/>
    <n v="197.7"/>
    <n v="183.1"/>
    <n v="204.2"/>
    <n v="181.3"/>
    <n v="168.1"/>
    <n v="179.3"/>
    <n v="175.6"/>
    <n v="183.4"/>
    <n v="170.1"/>
    <n v="182.2"/>
    <n v="160.4"/>
    <n v="169.2"/>
    <n v="174.8"/>
    <n v="185.6"/>
    <n v="171.6"/>
    <n v="178.2"/>
    <n v="181.37857142857141"/>
    <n v="1.9553521239861388E-2"/>
    <n v="111"/>
    <n v="109.44999999999999"/>
    <n v="1619.4"/>
    <n v="222"/>
    <n v="225.10000000000002"/>
    <n v="437.79999999999995"/>
    <n v="2833.4"/>
  </r>
  <r>
    <x v="2"/>
    <n v="2023"/>
    <s v="May"/>
    <x v="11"/>
    <n v="173.7"/>
    <n v="214.3"/>
    <n v="173.2"/>
    <n v="179.5"/>
    <n v="170"/>
    <n v="172.2"/>
    <n v="161"/>
    <n v="175.6"/>
    <n v="122.7"/>
    <n v="218"/>
    <n v="173.4"/>
    <n v="194.2"/>
    <n v="179.1"/>
    <n v="201"/>
    <n v="187.3"/>
    <n v="179.7"/>
    <n v="186.2"/>
    <n v="175.6"/>
    <n v="182.8"/>
    <n v="175.2"/>
    <n v="185.7"/>
    <n v="164.8"/>
    <n v="171.2"/>
    <n v="177.1"/>
    <n v="185.2"/>
    <n v="175.7"/>
    <n v="179.1"/>
    <n v="179.1357142857143"/>
    <n v="-1.2365612570393206E-2"/>
    <n v="111.2"/>
    <n v="109.6"/>
    <n v="1621.3000000000002"/>
    <n v="222.4"/>
    <n v="227.9"/>
    <n v="438.4"/>
    <n v="284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2C567-B682-4D46-9CCA-A2BA2F9C11EA}" name="PivotTable8"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D7" firstHeaderRow="1" firstDataRow="2" firstDataCol="1"/>
  <pivotFields count="38">
    <pivotField compact="0" outline="0" showAll="0">
      <items count="4">
        <item x="0"/>
        <item x="2"/>
        <item x="1"/>
        <item t="default"/>
      </items>
    </pivotField>
    <pivotField axis="axisRow" compact="0" outline="0" showAll="0">
      <items count="12">
        <item h="1" x="0"/>
        <item h="1" x="1"/>
        <item h="1" x="2"/>
        <item h="1" x="3"/>
        <item h="1" x="4"/>
        <item h="1" x="5"/>
        <item h="1" x="6"/>
        <item h="1" x="7"/>
        <item x="8"/>
        <item x="9"/>
        <item h="1"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s>
  <rowFields count="1">
    <field x="1"/>
  </rowFields>
  <rowItems count="3">
    <i>
      <x v="8"/>
    </i>
    <i>
      <x v="9"/>
    </i>
    <i t="grand">
      <x/>
    </i>
  </rowItems>
  <colFields count="1">
    <field x="-2"/>
  </colFields>
  <colItems count="3">
    <i>
      <x/>
    </i>
    <i i="1">
      <x v="1"/>
    </i>
    <i i="2">
      <x v="2"/>
    </i>
  </colItems>
  <dataFields count="3">
    <dataField name="Average of Sum of food expenses" fld="33" subtotal="average" baseField="0" baseItem="0" numFmtId="164"/>
    <dataField name="Average of Fuel and light" fld="21" subtotal="average" baseField="0" baseItem="0"/>
    <dataField name="Average of Health" fld="23" subtotal="average" baseField="0" baseItem="0"/>
  </dataFields>
  <formats count="1">
    <format dxfId="31">
      <pivotArea outline="0" fieldPosition="0">
        <references count="1">
          <reference field="1" count="0" selected="0"/>
        </references>
      </pivotArea>
    </format>
  </formats>
  <chartFormats count="9">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1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1"/>
          </reference>
        </references>
      </pivotArea>
    </chartFormat>
    <chartFormat chart="9"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3773F0-1D23-48AF-B842-9945E32E9759}" name="PivotTable5"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74:B88" firstHeaderRow="2" firstDataRow="2" firstDataCol="1" rowPageCount="1" colPageCount="1"/>
  <pivotFields count="40">
    <pivotField axis="axisPage" compact="0" outline="0" showAll="0">
      <items count="4">
        <item x="0"/>
        <item x="2"/>
        <item x="1"/>
        <item t="default"/>
      </items>
    </pivotField>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dataField="1"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s>
  <rowFields count="1">
    <field x="3"/>
  </rowFields>
  <rowItems count="13">
    <i>
      <x/>
    </i>
    <i>
      <x v="1"/>
    </i>
    <i>
      <x v="2"/>
    </i>
    <i>
      <x v="3"/>
    </i>
    <i>
      <x v="4"/>
    </i>
    <i>
      <x v="5"/>
    </i>
    <i>
      <x v="6"/>
    </i>
    <i>
      <x v="7"/>
    </i>
    <i>
      <x v="8"/>
    </i>
    <i>
      <x v="9"/>
    </i>
    <i>
      <x v="10"/>
    </i>
    <i>
      <x v="11"/>
    </i>
    <i t="grand">
      <x/>
    </i>
  </rowItems>
  <colItems count="1">
    <i/>
  </colItems>
  <pageFields count="1">
    <pageField fld="0" hier="-1"/>
  </pageFields>
  <dataFields count="1">
    <dataField name="Sum of M-O-M % change in food " fld="32" baseField="0" baseItem="0"/>
  </dataFields>
  <formats count="2">
    <format dxfId="18">
      <pivotArea outline="0" fieldPosition="0">
        <references count="1">
          <reference field="3" count="0" selected="0"/>
        </references>
      </pivotArea>
    </format>
    <format dxfId="17">
      <pivotArea outline="0" fieldPosition="0">
        <references count="1">
          <reference field="3" count="11" selected="0">
            <x v="1"/>
            <x v="2"/>
            <x v="3"/>
            <x v="4"/>
            <x v="5"/>
            <x v="6"/>
            <x v="7"/>
            <x v="8"/>
            <x v="9"/>
            <x v="10"/>
            <x v="11"/>
          </reference>
        </references>
      </pivotArea>
    </format>
  </formats>
  <chartFormats count="2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4" format="7">
      <pivotArea type="data" outline="0" fieldPosition="0">
        <references count="2">
          <reference field="4294967294" count="1" selected="0">
            <x v="0"/>
          </reference>
          <reference field="3" count="1" selected="0">
            <x v="6"/>
          </reference>
        </references>
      </pivotArea>
    </chartFormat>
    <chartFormat chart="4" format="8">
      <pivotArea type="data" outline="0" fieldPosition="0">
        <references count="2">
          <reference field="4294967294" count="1" selected="0">
            <x v="0"/>
          </reference>
          <reference field="3" count="1" selected="0">
            <x v="7"/>
          </reference>
        </references>
      </pivotArea>
    </chartFormat>
    <chartFormat chart="4" format="9">
      <pivotArea type="data" outline="0" fieldPosition="0">
        <references count="2">
          <reference field="4294967294" count="1" selected="0">
            <x v="0"/>
          </reference>
          <reference field="3" count="1" selected="0">
            <x v="8"/>
          </reference>
        </references>
      </pivotArea>
    </chartFormat>
    <chartFormat chart="4" format="10">
      <pivotArea type="data" outline="0" fieldPosition="0">
        <references count="2">
          <reference field="4294967294" count="1" selected="0">
            <x v="0"/>
          </reference>
          <reference field="3" count="1" selected="0">
            <x v="9"/>
          </reference>
        </references>
      </pivotArea>
    </chartFormat>
    <chartFormat chart="4" format="11">
      <pivotArea type="data" outline="0" fieldPosition="0">
        <references count="2">
          <reference field="4294967294" count="1" selected="0">
            <x v="0"/>
          </reference>
          <reference field="3" count="1" selected="0">
            <x v="10"/>
          </reference>
        </references>
      </pivotArea>
    </chartFormat>
    <chartFormat chart="4" format="12">
      <pivotArea type="data" outline="0" fieldPosition="0">
        <references count="2">
          <reference field="4294967294" count="1" selected="0">
            <x v="0"/>
          </reference>
          <reference field="3" count="1" selected="0">
            <x v="11"/>
          </reference>
        </references>
      </pivotArea>
    </chartFormat>
    <chartFormat chart="13" format="52" series="1">
      <pivotArea type="data" outline="0" fieldPosition="0">
        <references count="1">
          <reference field="4294967294" count="1" selected="0">
            <x v="0"/>
          </reference>
        </references>
      </pivotArea>
    </chartFormat>
    <chartFormat chart="13" format="53">
      <pivotArea type="data" outline="0" fieldPosition="0">
        <references count="2">
          <reference field="4294967294" count="1" selected="0">
            <x v="0"/>
          </reference>
          <reference field="3" count="1" selected="0">
            <x v="0"/>
          </reference>
        </references>
      </pivotArea>
    </chartFormat>
    <chartFormat chart="13" format="54">
      <pivotArea type="data" outline="0" fieldPosition="0">
        <references count="2">
          <reference field="4294967294" count="1" selected="0">
            <x v="0"/>
          </reference>
          <reference field="3" count="1" selected="0">
            <x v="1"/>
          </reference>
        </references>
      </pivotArea>
    </chartFormat>
    <chartFormat chart="13" format="55">
      <pivotArea type="data" outline="0" fieldPosition="0">
        <references count="2">
          <reference field="4294967294" count="1" selected="0">
            <x v="0"/>
          </reference>
          <reference field="3" count="1" selected="0">
            <x v="2"/>
          </reference>
        </references>
      </pivotArea>
    </chartFormat>
    <chartFormat chart="13" format="56">
      <pivotArea type="data" outline="0" fieldPosition="0">
        <references count="2">
          <reference field="4294967294" count="1" selected="0">
            <x v="0"/>
          </reference>
          <reference field="3" count="1" selected="0">
            <x v="3"/>
          </reference>
        </references>
      </pivotArea>
    </chartFormat>
    <chartFormat chart="13" format="57">
      <pivotArea type="data" outline="0" fieldPosition="0">
        <references count="2">
          <reference field="4294967294" count="1" selected="0">
            <x v="0"/>
          </reference>
          <reference field="3" count="1" selected="0">
            <x v="4"/>
          </reference>
        </references>
      </pivotArea>
    </chartFormat>
    <chartFormat chart="13" format="58">
      <pivotArea type="data" outline="0" fieldPosition="0">
        <references count="2">
          <reference field="4294967294" count="1" selected="0">
            <x v="0"/>
          </reference>
          <reference field="3" count="1" selected="0">
            <x v="5"/>
          </reference>
        </references>
      </pivotArea>
    </chartFormat>
    <chartFormat chart="13" format="59">
      <pivotArea type="data" outline="0" fieldPosition="0">
        <references count="2">
          <reference field="4294967294" count="1" selected="0">
            <x v="0"/>
          </reference>
          <reference field="3" count="1" selected="0">
            <x v="6"/>
          </reference>
        </references>
      </pivotArea>
    </chartFormat>
    <chartFormat chart="13" format="60">
      <pivotArea type="data" outline="0" fieldPosition="0">
        <references count="2">
          <reference field="4294967294" count="1" selected="0">
            <x v="0"/>
          </reference>
          <reference field="3" count="1" selected="0">
            <x v="7"/>
          </reference>
        </references>
      </pivotArea>
    </chartFormat>
    <chartFormat chart="13" format="61">
      <pivotArea type="data" outline="0" fieldPosition="0">
        <references count="2">
          <reference field="4294967294" count="1" selected="0">
            <x v="0"/>
          </reference>
          <reference field="3" count="1" selected="0">
            <x v="8"/>
          </reference>
        </references>
      </pivotArea>
    </chartFormat>
    <chartFormat chart="13" format="62">
      <pivotArea type="data" outline="0" fieldPosition="0">
        <references count="2">
          <reference field="4294967294" count="1" selected="0">
            <x v="0"/>
          </reference>
          <reference field="3" count="1" selected="0">
            <x v="9"/>
          </reference>
        </references>
      </pivotArea>
    </chartFormat>
    <chartFormat chart="13" format="63">
      <pivotArea type="data" outline="0" fieldPosition="0">
        <references count="2">
          <reference field="4294967294" count="1" selected="0">
            <x v="0"/>
          </reference>
          <reference field="3" count="1" selected="0">
            <x v="10"/>
          </reference>
        </references>
      </pivotArea>
    </chartFormat>
    <chartFormat chart="13" format="64">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498F6F-67FA-4195-8057-7996776C6993}"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50:B64" firstHeaderRow="2" firstDataRow="2" firstDataCol="1" rowPageCount="1" colPageCount="1"/>
  <pivotFields count="40">
    <pivotField axis="axisPage" compact="0" outline="0" multipleItemSelectionAllowed="1" showAll="0">
      <items count="4">
        <item x="0"/>
        <item x="2"/>
        <item x="1"/>
        <item t="default"/>
      </items>
    </pivotField>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4"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s>
  <rowFields count="1">
    <field x="3"/>
  </rowFields>
  <rowItems count="13">
    <i>
      <x/>
    </i>
    <i>
      <x v="1"/>
    </i>
    <i>
      <x v="2"/>
    </i>
    <i>
      <x v="3"/>
    </i>
    <i>
      <x v="4"/>
    </i>
    <i>
      <x v="5"/>
    </i>
    <i>
      <x v="6"/>
    </i>
    <i>
      <x v="7"/>
    </i>
    <i>
      <x v="8"/>
    </i>
    <i>
      <x v="9"/>
    </i>
    <i>
      <x v="10"/>
    </i>
    <i>
      <x v="11"/>
    </i>
    <i t="grand">
      <x/>
    </i>
  </rowItems>
  <colItems count="1">
    <i/>
  </colItems>
  <pageFields count="1">
    <pageField fld="0" hier="-1"/>
  </pageFields>
  <dataFields count="1">
    <dataField name="Average of Average food expense" fld="31"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1E9831-72E8-44CE-9554-C55715C9EA41}" autoFormatId="16" applyNumberFormats="0" applyBorderFormats="0" applyFontFormats="0" applyPatternFormats="0" applyAlignmentFormats="0" applyWidthHeightFormats="0">
  <queryTableRefresh nextId="40" unboundColumnsRight="8">
    <queryTableFields count="39">
      <queryTableField id="1" name="Sector" tableColumnId="1"/>
      <queryTableField id="2" name="Year" tableColumnId="2"/>
      <queryTableField id="3" name="Month" tableColumnId="3"/>
      <queryTableField id="39" dataBound="0" tableColumnId="39"/>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dataBound="0" tableColumnId="31"/>
      <queryTableField id="32" dataBound="0" tableColumnId="32"/>
      <queryTableField id="33" dataBound="0" tableColumnId="33"/>
      <queryTableField id="35" dataBound="0" tableColumnId="35"/>
      <queryTableField id="36" dataBound="0" tableColumnId="36"/>
      <queryTableField id="37" dataBound="0" tableColumnId="37"/>
      <queryTableField id="38" dataBound="0" tableColumnId="38"/>
      <queryTableField id="34" dataBound="0"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832067F-F3DB-48C5-BB8C-47139A4C4B5B}" autoFormatId="16" applyNumberFormats="0" applyBorderFormats="0" applyFontFormats="0" applyPatternFormats="0" applyAlignmentFormats="0" applyWidthHeightFormats="0">
  <queryTableRefresh nextId="39" unboundColumnsRight="8">
    <queryTableFields count="38">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dataBound="0" tableColumnId="31"/>
      <queryTableField id="32" dataBound="0" tableColumnId="32"/>
      <queryTableField id="33" dataBound="0" tableColumnId="33"/>
      <queryTableField id="35" dataBound="0" tableColumnId="35"/>
      <queryTableField id="36" dataBound="0" tableColumnId="36"/>
      <queryTableField id="37" dataBound="0" tableColumnId="37"/>
      <queryTableField id="38" dataBound="0" tableColumnId="38"/>
      <queryTableField id="34" dataBound="0"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BBE9AFA-F17E-4E08-BAEA-669423B9470A}" autoFormatId="16" applyNumberFormats="0" applyBorderFormats="0" applyFontFormats="0" applyPatternFormats="0" applyAlignmentFormats="0" applyWidthHeightFormats="0">
  <queryTableRefresh nextId="34" unboundColumnsRight="3">
    <queryTableFields count="33">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dataBound="0" tableColumnId="31"/>
      <queryTableField id="32" dataBound="0" tableColumnId="32"/>
      <queryTableField id="33" dataBound="0"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CE3A2D3-6FF8-4EDC-8021-01E66E78F083}" sourceName="Sector">
  <pivotTables>
    <pivotTable tabId="13" name="PivotTable4"/>
    <pivotTable tabId="13" name="PivotTable5"/>
  </pivotTables>
  <data>
    <tabular pivotCacheId="151990448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42E72D6-43FD-4F96-8D29-F6E7DB9601BB}" cache="Slicer_Sector" caption="Secto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2" xr10:uid="{74138A14-3BB2-4EAB-B52B-22736FF6D4CA}" cache="Slicer_Sector" caption="Secto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D6D98-28A2-4094-83E2-2E80A052A15E}" name="All_India_Index_Upto_April23__1___1" displayName="All_India_Index_Upto_April23__1___1" ref="A1:AM373" tableType="queryTable" totalsRowShown="0">
  <autoFilter ref="A1:AM373" xr:uid="{EFCD6D98-28A2-4094-83E2-2E80A052A15E}">
    <filterColumn colId="0">
      <filters>
        <filter val="Rural+Urban"/>
      </filters>
    </filterColumn>
    <filterColumn colId="1">
      <filters>
        <filter val="2021"/>
        <filter val="2022"/>
        <filter val="2023"/>
      </filters>
    </filterColumn>
  </autoFilter>
  <tableColumns count="39">
    <tableColumn id="1" xr3:uid="{1FC5A3ED-12BB-4897-B0B4-4C4495609CDA}" uniqueName="1" name="Sector" queryTableFieldId="1" dataDxfId="30"/>
    <tableColumn id="2" xr3:uid="{8E388D1B-5A41-412B-8BAC-11AF93B72176}" uniqueName="2" name="Year" queryTableFieldId="2"/>
    <tableColumn id="3" xr3:uid="{A85DA85F-B7F3-4594-9ECA-3BBB564ABD67}" uniqueName="3" name="Month" queryTableFieldId="3" dataDxfId="29"/>
    <tableColumn id="39" xr3:uid="{03045FA0-A033-4E94-B139-F7BBCA7BB203}" uniqueName="39" name="Short Date" queryTableFieldId="39" dataDxfId="28">
      <calculatedColumnFormula>TEXT(DATE(B2, MONTH(1&amp;C2), 1), "mmm-yy")</calculatedColumnFormula>
    </tableColumn>
    <tableColumn id="4" xr3:uid="{EF8094C2-EEFF-4D12-A6FB-392337126DB1}" uniqueName="4" name="Cereals and products" queryTableFieldId="4"/>
    <tableColumn id="5" xr3:uid="{81702B7C-7979-4667-B833-B9FFF0AC34D8}" uniqueName="5" name="Meat and fish" queryTableFieldId="5"/>
    <tableColumn id="6" xr3:uid="{A701AFB2-D650-4CF7-B61A-93F45C2A096A}" uniqueName="6" name="Egg" queryTableFieldId="6"/>
    <tableColumn id="7" xr3:uid="{5C96BB87-3802-4666-B74E-F2DB1F623AA8}" uniqueName="7" name="Milk and products" queryTableFieldId="7"/>
    <tableColumn id="8" xr3:uid="{A034E02B-24E4-49CC-AD84-1A701A938338}" uniqueName="8" name="Oils and fats" queryTableFieldId="8"/>
    <tableColumn id="9" xr3:uid="{9AE136DA-7AE5-4C19-B255-DC61E32F07A0}" uniqueName="9" name="Fruits" queryTableFieldId="9"/>
    <tableColumn id="10" xr3:uid="{0AF2F5BB-8B99-4F89-BEC9-96BDB9896115}" uniqueName="10" name="Vegetables" queryTableFieldId="10"/>
    <tableColumn id="11" xr3:uid="{2308F0BA-F7D5-4C31-A24C-31F7073E69AB}" uniqueName="11" name="Pulses and products" queryTableFieldId="11"/>
    <tableColumn id="12" xr3:uid="{2951F3B4-F757-489D-BC11-CBD061C8F31A}" uniqueName="12" name="Sugar and Confectionery" queryTableFieldId="12"/>
    <tableColumn id="13" xr3:uid="{22485D01-839F-41FF-86C2-173C6C68DE3F}" uniqueName="13" name="Spices" queryTableFieldId="13"/>
    <tableColumn id="14" xr3:uid="{5392CF15-4BA8-4B2D-B25E-57E4C68B6DBC}" uniqueName="14" name="Non-alcoholic beverages" queryTableFieldId="14"/>
    <tableColumn id="15" xr3:uid="{FA5DFAEC-459C-43F3-B112-083BF9A9EF9D}" uniqueName="15" name="Prepared meals, snacks, sweets etc." queryTableFieldId="15"/>
    <tableColumn id="16" xr3:uid="{74EEBBBD-332D-4DD1-B2A7-D956F30778B1}" uniqueName="16" name="Food and beverages" queryTableFieldId="16"/>
    <tableColumn id="17" xr3:uid="{FA170375-1CDE-42C8-AD60-34C9C4C22798}" uniqueName="17" name="Pan, tobacco and intoxicants" queryTableFieldId="17"/>
    <tableColumn id="18" xr3:uid="{F256C3D3-1D70-4669-9671-979966E547A2}" uniqueName="18" name="Clothing" queryTableFieldId="18"/>
    <tableColumn id="19" xr3:uid="{C9298D3B-A866-4D09-A5A9-F4476BFD8F2C}" uniqueName="19" name="Footwear" queryTableFieldId="19"/>
    <tableColumn id="20" xr3:uid="{D5F5433D-4024-411C-93C2-6CBEDD50338C}" uniqueName="20" name="Clothing and footwear" queryTableFieldId="20"/>
    <tableColumn id="21" xr3:uid="{774D89B8-2E1B-4EE5-B4CD-9B9D408F5E82}" uniqueName="21" name="Housing" queryTableFieldId="21" dataDxfId="27"/>
    <tableColumn id="22" xr3:uid="{9D7EDEEE-AD17-4FAD-BF3A-D04849369A3E}" uniqueName="22" name="Fuel and light" queryTableFieldId="22"/>
    <tableColumn id="23" xr3:uid="{0248B518-C869-4787-BD9D-FE034C9F0FD6}" uniqueName="23" name="Household goods and services" queryTableFieldId="23"/>
    <tableColumn id="24" xr3:uid="{F5DC99C1-E165-4DDF-952A-2644B1FD4F41}" uniqueName="24" name="Health" queryTableFieldId="24"/>
    <tableColumn id="25" xr3:uid="{C1A1EDA9-F30B-4963-928F-047DFFB42281}" uniqueName="25" name="Transport and communication" queryTableFieldId="25"/>
    <tableColumn id="26" xr3:uid="{B56110C3-9343-461E-89F2-A5D12FB3F577}" uniqueName="26" name="Recreation and amusement" queryTableFieldId="26"/>
    <tableColumn id="27" xr3:uid="{6AD446A4-2261-4D85-A0AA-79409D0FFDCE}" uniqueName="27" name="Education" queryTableFieldId="27"/>
    <tableColumn id="28" xr3:uid="{5ABBF491-6B27-4FCA-9A2B-74508D3B7BB9}" uniqueName="28" name="Personal care and effects" queryTableFieldId="28"/>
    <tableColumn id="29" xr3:uid="{9FFF2255-349D-46AD-BCF2-F556207A3BD0}" uniqueName="29" name="Miscellaneous" queryTableFieldId="29"/>
    <tableColumn id="30" xr3:uid="{43A34576-D08D-478B-B939-072F2C635EFC}" uniqueName="30" name="General index" queryTableFieldId="30"/>
    <tableColumn id="31" xr3:uid="{8009A7AB-96DB-4EF9-91C3-B29FE6C0D133}" uniqueName="31" name="Average food expense" queryTableFieldId="31" dataDxfId="26">
      <calculatedColumnFormula>AVERAGE(All_India_Index_Upto_April23__1___1[[#This Row],[Cereals and products]:[Pan, tobacco and intoxicants]])</calculatedColumnFormula>
    </tableColumn>
    <tableColumn id="32" xr3:uid="{173FD448-9E87-4771-8C8C-DD79DF1D37CD}" uniqueName="32" name="Average Housing Expense" queryTableFieldId="32" dataDxfId="25">
      <calculatedColumnFormula>AVERAGE(All_India_Index_Upto_April23__1___1[[#This Row],[Household goods and services]],All_India_Index_Upto_April23__1___1[[#This Row],[Housing]])</calculatedColumnFormula>
    </tableColumn>
    <tableColumn id="33" xr3:uid="{73618E59-514C-426D-8175-2C920FC0464A}" uniqueName="33" name="Average Other Expenses" queryTableFieldId="33" dataDxfId="24">
      <calculatedColumnFormula>AVERAGE(All_India_Index_Upto_April23__1___1[[#This Row],[Miscellaneous]],All_India_Index_Upto_April23__1___1[[#This Row],[Personal care and effects]],All_India_Index_Upto_April23__1___1[[#This Row],[Education]],All_India_Index_Upto_April23__1___1[[#This Row],[Recreation and amusement]])</calculatedColumnFormula>
    </tableColumn>
    <tableColumn id="35" xr3:uid="{E7ECFA2F-4515-4F32-ADA5-809DA6E45A00}" uniqueName="35" name="Sum of food expenses" queryTableFieldId="35" dataDxfId="23">
      <calculatedColumnFormula>SUM(All_India_Index_Upto_April23__1___1[[#This Row],[Cereals and products]:[Pan, tobacco and intoxicants]])</calculatedColumnFormula>
    </tableColumn>
    <tableColumn id="36" xr3:uid="{9C0E62B8-93FB-4D86-BC95-2B3A75B2D587}" uniqueName="36" name="Sum of Housing Exp" queryTableFieldId="36" dataDxfId="22">
      <calculatedColumnFormula>SUM(All_India_Index_Upto_April23__1___1[[#This Row],[Household goods and services]],All_India_Index_Upto_April23__1___1[[#This Row],[Housing]])</calculatedColumnFormula>
    </tableColumn>
    <tableColumn id="37" xr3:uid="{FAABBEDF-9C5D-4C7A-BF8C-B5E9F4013499}" uniqueName="37" name="Sum of clothing" queryTableFieldId="37" dataDxfId="21">
      <calculatedColumnFormula>All_India_Index_Upto_April23__1___1[[#This Row],[Clothing]]+All_India_Index_Upto_April23__1___1[[#This Row],[Footwear]]</calculatedColumnFormula>
    </tableColumn>
    <tableColumn id="38" xr3:uid="{063C229A-01FD-4E0D-85B3-888C657DCF5E}" uniqueName="38" name="Sum of others" queryTableFieldId="38" dataDxfId="20">
      <calculatedColumnFormula>All_India_Index_Upto_April23__1___1[[#This Row],[Miscellaneous]]+All_India_Index_Upto_April23__1___1[[#This Row],[Personal care and effects]]+All_India_Index_Upto_April23__1___1[[#This Row],[Education]]+All_India_Index_Upto_April23__1___1[[#This Row],[Recreation and amusement]]</calculatedColumnFormula>
    </tableColumn>
    <tableColumn id="34" xr3:uid="{1FBAFCF5-3780-4847-9F7A-C2FAD95304C5}" uniqueName="34" name="Total Expenses " queryTableFieldId="34" dataDxfId="19">
      <calculatedColumnFormula>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B20185-DDF1-4550-A264-48376700A6C2}" name="All_India_Index_Upto_April23__1___14" displayName="All_India_Index_Upto_April23__1___14" ref="A1:AL373" tableType="queryTable" totalsRowShown="0">
  <autoFilter ref="A1:AL373" xr:uid="{6CB20185-DDF1-4550-A264-48376700A6C2}">
    <filterColumn colId="1">
      <filters>
        <filter val="2023"/>
      </filters>
    </filterColumn>
    <filterColumn colId="2">
      <filters>
        <filter val="May"/>
      </filters>
    </filterColumn>
  </autoFilter>
  <tableColumns count="38">
    <tableColumn id="1" xr3:uid="{53888E32-A097-42E4-94A9-E7BDF3F35011}" uniqueName="1" name="Sector" queryTableFieldId="1" dataDxfId="16"/>
    <tableColumn id="2" xr3:uid="{10CBE569-7311-4F2E-9B14-91F41915AE81}" uniqueName="2" name="Year" queryTableFieldId="2"/>
    <tableColumn id="3" xr3:uid="{FF031A86-1D64-49F6-B3B4-4F521E5E8FB3}" uniqueName="3" name="Month" queryTableFieldId="3" dataDxfId="15"/>
    <tableColumn id="4" xr3:uid="{3291A76D-CD0E-450C-B909-E91FF402ED81}" uniqueName="4" name="Cereals and products" queryTableFieldId="4"/>
    <tableColumn id="5" xr3:uid="{6CF80550-A684-4191-B256-54612B5A4A88}" uniqueName="5" name="Meat and fish" queryTableFieldId="5"/>
    <tableColumn id="6" xr3:uid="{9FD59083-974A-4C85-91C4-0C12009B9471}" uniqueName="6" name="Egg" queryTableFieldId="6"/>
    <tableColumn id="7" xr3:uid="{7028060D-4242-473D-9448-FDD615EF7745}" uniqueName="7" name="Milk and products" queryTableFieldId="7"/>
    <tableColumn id="8" xr3:uid="{018F7A20-2A4A-4E22-8B4C-4EA2AD6C4DA7}" uniqueName="8" name="Oils and fats" queryTableFieldId="8"/>
    <tableColumn id="9" xr3:uid="{DB63AFBD-4F46-42AC-AFC8-047C61A45E60}" uniqueName="9" name="Fruits" queryTableFieldId="9"/>
    <tableColumn id="10" xr3:uid="{BB369F62-DCCB-4EB2-9F49-8264E26FF88F}" uniqueName="10" name="Vegetables" queryTableFieldId="10"/>
    <tableColumn id="11" xr3:uid="{E939B7F3-AE8D-440D-9610-FEBED00767AF}" uniqueName="11" name="Pulses and products" queryTableFieldId="11"/>
    <tableColumn id="12" xr3:uid="{726E479A-A011-43D2-A423-CAA67860B7A3}" uniqueName="12" name="Sugar and Confectionery" queryTableFieldId="12"/>
    <tableColumn id="13" xr3:uid="{557256BA-0646-4934-8112-5B484CC68B35}" uniqueName="13" name="Spices" queryTableFieldId="13"/>
    <tableColumn id="14" xr3:uid="{BB7D3131-B880-4E9B-8ECE-5CCF577FB55E}" uniqueName="14" name="Non-alcoholic beverages" queryTableFieldId="14"/>
    <tableColumn id="15" xr3:uid="{F383027F-EFE3-4AF0-B818-340E9F8EB591}" uniqueName="15" name="Prepared meals, snacks, sweets etc." queryTableFieldId="15"/>
    <tableColumn id="16" xr3:uid="{93839A6E-6FEA-4A50-AAD4-858E3F541B54}" uniqueName="16" name="Food and beverages" queryTableFieldId="16"/>
    <tableColumn id="17" xr3:uid="{1B19AD91-B178-4B33-B013-5476B0B19E09}" uniqueName="17" name="Pan, tobacco and intoxicants" queryTableFieldId="17"/>
    <tableColumn id="18" xr3:uid="{15697B46-17C1-4E4A-976D-8685E956FE52}" uniqueName="18" name="Clothing" queryTableFieldId="18"/>
    <tableColumn id="19" xr3:uid="{0925DB66-504D-4E3D-93C3-A301827CF3B4}" uniqueName="19" name="Footwear" queryTableFieldId="19"/>
    <tableColumn id="20" xr3:uid="{59F2A679-2ADB-48D2-8099-22BB5CE31956}" uniqueName="20" name="Clothing and footwear" queryTableFieldId="20"/>
    <tableColumn id="21" xr3:uid="{9E784691-E1C4-416F-A19E-D8B82BBEC5AD}" uniqueName="21" name="Housing" queryTableFieldId="21" dataDxfId="14"/>
    <tableColumn id="22" xr3:uid="{0D6DF7B4-6A90-46C1-80E6-796252080E32}" uniqueName="22" name="Fuel and light" queryTableFieldId="22"/>
    <tableColumn id="23" xr3:uid="{3E260CB6-985B-42B6-A3F4-EF869FC45C31}" uniqueName="23" name="Household goods and services" queryTableFieldId="23"/>
    <tableColumn id="24" xr3:uid="{D8D58DF3-1E63-46A8-B84A-EF121E154DA5}" uniqueName="24" name="Health" queryTableFieldId="24"/>
    <tableColumn id="25" xr3:uid="{FEC7EF3D-7E8C-4AD5-8B98-C1D2C30CCF40}" uniqueName="25" name="Transport and communication" queryTableFieldId="25"/>
    <tableColumn id="26" xr3:uid="{B7F3B7EC-EA8A-4707-80D9-8E179B6EE2AC}" uniqueName="26" name="Recreation and amusement" queryTableFieldId="26"/>
    <tableColumn id="27" xr3:uid="{3BF6848A-16AE-4C54-807B-CD5B0638D8E5}" uniqueName="27" name="Education" queryTableFieldId="27"/>
    <tableColumn id="28" xr3:uid="{B4A12AD7-7E6D-4C83-89B0-836285272853}" uniqueName="28" name="Personal care and effects" queryTableFieldId="28"/>
    <tableColumn id="29" xr3:uid="{0FC8A112-5A45-40AD-9B70-10758AB83592}" uniqueName="29" name="Miscellaneous" queryTableFieldId="29"/>
    <tableColumn id="30" xr3:uid="{778E1B9C-1A53-44A1-A5E0-AFC0B2752F73}" uniqueName="30" name="General index" queryTableFieldId="30"/>
    <tableColumn id="31" xr3:uid="{F156DF4F-55B6-4206-98ED-557EC8EBF83B}" uniqueName="31" name="Average food expense" queryTableFieldId="31" dataDxfId="13">
      <calculatedColumnFormula>AVERAGE(All_India_Index_Upto_April23__1___14[[#This Row],[Cereals and products]:[Pan, tobacco and intoxicants]])</calculatedColumnFormula>
    </tableColumn>
    <tableColumn id="32" xr3:uid="{70D5AC67-F035-4A41-93F9-F6DFAA192E35}" uniqueName="32" name="Average Housing Expense" queryTableFieldId="32" dataDxfId="12">
      <calculatedColumnFormula>AVERAGE(All_India_Index_Upto_April23__1___14[[#This Row],[Household goods and services]],All_India_Index_Upto_April23__1___14[[#This Row],[Housing]])</calculatedColumnFormula>
    </tableColumn>
    <tableColumn id="33" xr3:uid="{863EFDB4-B2A8-44FC-849C-E118F2B75FE1}" uniqueName="33" name="Average Other Expenses" queryTableFieldId="33" dataDxfId="11">
      <calculatedColumnFormula>AVERAGE(All_India_Index_Upto_April23__1___14[[#This Row],[Miscellaneous]],All_India_Index_Upto_April23__1___14[[#This Row],[Personal care and effects]],All_India_Index_Upto_April23__1___14[[#This Row],[Education]],All_India_Index_Upto_April23__1___14[[#This Row],[Recreation and amusement]])</calculatedColumnFormula>
    </tableColumn>
    <tableColumn id="35" xr3:uid="{B6F82C74-5808-420E-98E8-80BB4F39F04C}" uniqueName="35" name="Sum of food expenses" queryTableFieldId="35" dataDxfId="10">
      <calculatedColumnFormula>SUM(All_India_Index_Upto_April23__1___14[[#This Row],[Cereals and products]:[Pan, tobacco and intoxicants]])</calculatedColumnFormula>
    </tableColumn>
    <tableColumn id="36" xr3:uid="{4384DDA2-4C4E-4D20-A5E6-5E8F41D95174}" uniqueName="36" name="Sum of Housing Exp" queryTableFieldId="36" dataDxfId="9">
      <calculatedColumnFormula>SUM(All_India_Index_Upto_April23__1___14[[#This Row],[Household goods and services]],All_India_Index_Upto_April23__1___14[[#This Row],[Housing]])</calculatedColumnFormula>
    </tableColumn>
    <tableColumn id="37" xr3:uid="{9F7D14F7-0786-436F-A2F7-767D5F211AA1}" uniqueName="37" name="Sum of clothing" queryTableFieldId="37" dataDxfId="8">
      <calculatedColumnFormula>All_India_Index_Upto_April23__1___14[[#This Row],[Clothing]]+All_India_Index_Upto_April23__1___14[[#This Row],[Footwear]]</calculatedColumnFormula>
    </tableColumn>
    <tableColumn id="38" xr3:uid="{D4A64689-C3B6-44A3-81A5-B695426CF851}" uniqueName="38" name="Sum of others" queryTableFieldId="38" dataDxfId="7">
      <calculatedColumnFormula>All_India_Index_Upto_April23__1___14[[#This Row],[Miscellaneous]]+All_India_Index_Upto_April23__1___14[[#This Row],[Personal care and effects]]+All_India_Index_Upto_April23__1___14[[#This Row],[Education]]+All_India_Index_Upto_April23__1___14[[#This Row],[Recreation and amusement]]</calculatedColumnFormula>
    </tableColumn>
    <tableColumn id="34" xr3:uid="{46382488-D835-4665-B8E9-92C26AEA02D0}" uniqueName="34" name="Total Expenses " queryTableFieldId="34" dataDxfId="6">
      <calculatedColumnFormula>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95FEB-0F0C-4892-B207-009AACC2A9C3}" name="All_India_Index_Upto_April23__1___13" displayName="All_India_Index_Upto_April23__1___13" ref="A1:AG373" tableType="queryTable" totalsRowShown="0">
  <autoFilter ref="A1:AG373" xr:uid="{28295FEB-0F0C-4892-B207-009AACC2A9C3}">
    <filterColumn colId="1">
      <filters>
        <filter val="2022"/>
        <filter val="2023"/>
      </filters>
    </filterColumn>
  </autoFilter>
  <tableColumns count="33">
    <tableColumn id="1" xr3:uid="{197307C7-2F0E-42AC-A445-7BB667156315}" uniqueName="1" name="Sector" queryTableFieldId="1" dataDxfId="5"/>
    <tableColumn id="2" xr3:uid="{5E8B0925-B623-48BA-BB55-3716EFF99342}" uniqueName="2" name="Year" queryTableFieldId="2"/>
    <tableColumn id="3" xr3:uid="{9F486EDE-4315-4CF1-98C2-BEF52E0C3487}" uniqueName="3" name="Month" queryTableFieldId="3" dataDxfId="4"/>
    <tableColumn id="4" xr3:uid="{7CD6E352-E11E-4943-BB1D-1F271172D092}" uniqueName="4" name="Cereals and products" queryTableFieldId="4"/>
    <tableColumn id="5" xr3:uid="{D0A36292-8965-40E5-A1AC-0D4145BF9C39}" uniqueName="5" name="Meat and fish" queryTableFieldId="5"/>
    <tableColumn id="6" xr3:uid="{78AADFF8-70F9-4D3D-83E2-44E4B71BF0C6}" uniqueName="6" name="Egg" queryTableFieldId="6"/>
    <tableColumn id="7" xr3:uid="{3984075A-CC07-4186-ABF6-57C5E9E783A2}" uniqueName="7" name="Milk and products" queryTableFieldId="7"/>
    <tableColumn id="8" xr3:uid="{9D0DA34E-96E5-4ADD-A0C4-50270C8AF546}" uniqueName="8" name="Oils and fats" queryTableFieldId="8"/>
    <tableColumn id="9" xr3:uid="{B8C3004D-8DF5-4DAC-B06F-B1A92F9D72ED}" uniqueName="9" name="Fruits" queryTableFieldId="9"/>
    <tableColumn id="10" xr3:uid="{54DE5B84-79C6-4FEE-AE9E-23C77EAAEA84}" uniqueName="10" name="Vegetables" queryTableFieldId="10"/>
    <tableColumn id="11" xr3:uid="{68575D1B-6CC8-4300-BC5E-B8E522A9138D}" uniqueName="11" name="Pulses and products" queryTableFieldId="11"/>
    <tableColumn id="12" xr3:uid="{C69C9F1D-AC95-4A84-85F9-725D25B9E5F2}" uniqueName="12" name="Sugar and Confectionery" queryTableFieldId="12"/>
    <tableColumn id="13" xr3:uid="{63C5AB6C-6B44-471C-9766-476806A38356}" uniqueName="13" name="Spices" queryTableFieldId="13"/>
    <tableColumn id="14" xr3:uid="{EA3765F5-E954-4859-B47C-D8134F0B35CE}" uniqueName="14" name="Non-alcoholic beverages" queryTableFieldId="14"/>
    <tableColumn id="15" xr3:uid="{D5CC6468-6487-4662-B660-ADC6DB2F676F}" uniqueName="15" name="Prepared meals, snacks, sweets etc." queryTableFieldId="15"/>
    <tableColumn id="16" xr3:uid="{A14E1C39-D5C9-4C34-83D4-8CE088E49084}" uniqueName="16" name="Food and beverages" queryTableFieldId="16"/>
    <tableColumn id="17" xr3:uid="{DE4E512E-5E06-43EA-89D0-D6D9F6C7C16C}" uniqueName="17" name="Pan, tobacco and intoxicants" queryTableFieldId="17"/>
    <tableColumn id="18" xr3:uid="{D50A016E-FF12-4CE8-A3C3-D42AA923269E}" uniqueName="18" name="Clothing" queryTableFieldId="18"/>
    <tableColumn id="19" xr3:uid="{7A1F6957-E3D2-4107-AFA6-2C87B40E1096}" uniqueName="19" name="Footwear" queryTableFieldId="19"/>
    <tableColumn id="20" xr3:uid="{06A24C0C-E3E4-43B8-A266-AB51E452794E}" uniqueName="20" name="Clothing and footwear" queryTableFieldId="20"/>
    <tableColumn id="21" xr3:uid="{CDB85000-2EB4-4C2D-B793-70CAC9D90893}" uniqueName="21" name="Housing" queryTableFieldId="21" dataDxfId="3"/>
    <tableColumn id="22" xr3:uid="{6123FCD6-5B5B-46AC-8A8D-2C2EBBE219E1}" uniqueName="22" name="Fuel and light" queryTableFieldId="22"/>
    <tableColumn id="23" xr3:uid="{18DF1D8F-A8B5-4242-AE87-C5A6616A7D1D}" uniqueName="23" name="Household goods and services" queryTableFieldId="23"/>
    <tableColumn id="24" xr3:uid="{F2FF414E-D168-4345-AF3F-5A45EC01D1A2}" uniqueName="24" name="Health" queryTableFieldId="24"/>
    <tableColumn id="25" xr3:uid="{83159C2D-6718-4CDA-8101-7D1510FB7DE3}" uniqueName="25" name="Transport and communication" queryTableFieldId="25"/>
    <tableColumn id="26" xr3:uid="{586D1DE5-5B38-485A-872C-16583BB63B76}" uniqueName="26" name="Recreation and amusement" queryTableFieldId="26"/>
    <tableColumn id="27" xr3:uid="{008F4BB3-DE83-4546-9482-850C8E142DC8}" uniqueName="27" name="Education" queryTableFieldId="27"/>
    <tableColumn id="28" xr3:uid="{A64DAD09-4C52-48C6-8C99-89603AD8736B}" uniqueName="28" name="Personal care and effects" queryTableFieldId="28"/>
    <tableColumn id="29" xr3:uid="{A53E5CF4-257F-48D2-905D-F3D11F6C4398}" uniqueName="29" name="Miscellaneous" queryTableFieldId="29"/>
    <tableColumn id="30" xr3:uid="{86B7A11F-CE6C-4FE3-9F0A-5E504AE5BBB9}" uniqueName="30" name="General index" queryTableFieldId="30"/>
    <tableColumn id="31" xr3:uid="{B6EFE5AA-F3FE-4701-AC4F-C2FCC602D7FD}" uniqueName="31" name="Total food expense" queryTableFieldId="31" dataDxfId="2">
      <calculatedColumnFormula>AVERAGE(All_India_Index_Upto_April23__1___13[[#This Row],[Cereals and products]:[Pan, tobacco and intoxicants]])</calculatedColumnFormula>
    </tableColumn>
    <tableColumn id="32" xr3:uid="{723F0B78-0AEC-4625-BBC4-4D36DAB1E077}" uniqueName="32" name="Housing Expense" queryTableFieldId="32" dataDxfId="1">
      <calculatedColumnFormula>AVERAGE(All_India_Index_Upto_April23__1___13[[#This Row],[Household goods and services]],All_India_Index_Upto_April23__1___13[[#This Row],[Housing]])</calculatedColumnFormula>
    </tableColumn>
    <tableColumn id="33" xr3:uid="{CB55D841-C855-4990-A65F-4145C4CC163C}" uniqueName="33" name="Other Expenses" queryTableFieldId="33" dataDxfId="0">
      <calculatedColumnFormula>AVERAGE(All_India_Index_Upto_April23__1___13[[#This Row],[Miscellaneous]],All_India_Index_Upto_April23__1___13[[#This Row],[Personal care and effects]],All_India_Index_Upto_April23__1___13[[#This Row],[Education]],All_India_Index_Upto_April23__1___13[[#This Row],[Recreation and amusement]])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FDCA-ADF0-4567-9411-AE423F11F02E}">
  <dimension ref="A3:F65"/>
  <sheetViews>
    <sheetView workbookViewId="0">
      <selection activeCell="B4" sqref="B4"/>
    </sheetView>
  </sheetViews>
  <sheetFormatPr defaultRowHeight="14.4" x14ac:dyDescent="0.3"/>
  <cols>
    <col min="1" max="1" width="10.77734375" bestFit="1" customWidth="1"/>
    <col min="2" max="2" width="29.6640625" bestFit="1" customWidth="1"/>
    <col min="3" max="3" width="22.109375" bestFit="1" customWidth="1"/>
    <col min="4" max="6" width="16.109375" bestFit="1" customWidth="1"/>
    <col min="7" max="12" width="6.88671875" bestFit="1" customWidth="1"/>
    <col min="13" max="13" width="10.77734375" bestFit="1" customWidth="1"/>
  </cols>
  <sheetData>
    <row r="3" spans="1:4" x14ac:dyDescent="0.3">
      <c r="B3" s="14" t="s">
        <v>87</v>
      </c>
    </row>
    <row r="4" spans="1:4" x14ac:dyDescent="0.3">
      <c r="A4" s="14" t="s">
        <v>1</v>
      </c>
      <c r="B4" t="s">
        <v>93</v>
      </c>
      <c r="C4" t="s">
        <v>94</v>
      </c>
      <c r="D4" t="s">
        <v>95</v>
      </c>
    </row>
    <row r="5" spans="1:4" x14ac:dyDescent="0.3">
      <c r="A5">
        <v>2021</v>
      </c>
      <c r="B5" s="12">
        <v>2315.0638888888893</v>
      </c>
      <c r="C5" s="12">
        <v>158.70833333333329</v>
      </c>
      <c r="D5" s="12">
        <v>165.13333333333338</v>
      </c>
    </row>
    <row r="6" spans="1:4" x14ac:dyDescent="0.3">
      <c r="A6">
        <v>2022</v>
      </c>
      <c r="B6" s="12">
        <v>2442.1916666666657</v>
      </c>
      <c r="C6" s="12">
        <v>174.96944444444441</v>
      </c>
      <c r="D6" s="12">
        <v>175.35277777777776</v>
      </c>
    </row>
    <row r="7" spans="1:4" x14ac:dyDescent="0.3">
      <c r="A7" t="s">
        <v>73</v>
      </c>
      <c r="B7" s="12">
        <v>2378.6277777777777</v>
      </c>
      <c r="C7">
        <v>166.8388888888889</v>
      </c>
      <c r="D7">
        <v>170.24305555555563</v>
      </c>
    </row>
    <row r="18" spans="1:3" x14ac:dyDescent="0.3">
      <c r="A18" s="19" t="s">
        <v>1</v>
      </c>
      <c r="B18" s="15" t="s">
        <v>74</v>
      </c>
      <c r="C18" t="s">
        <v>92</v>
      </c>
    </row>
    <row r="19" spans="1:3" x14ac:dyDescent="0.3">
      <c r="A19">
        <v>2017</v>
      </c>
      <c r="B19" s="12">
        <v>133.38611111111112</v>
      </c>
    </row>
    <row r="20" spans="1:3" x14ac:dyDescent="0.3">
      <c r="A20">
        <v>2018</v>
      </c>
      <c r="B20" s="12">
        <v>138.66944444444442</v>
      </c>
      <c r="C20" s="13">
        <f>(B20-B19)/B19</f>
        <v>3.9609321310314437E-2</v>
      </c>
    </row>
    <row r="21" spans="1:3" x14ac:dyDescent="0.3">
      <c r="A21">
        <v>2019</v>
      </c>
      <c r="B21" s="12">
        <v>144.1272727272727</v>
      </c>
      <c r="C21" s="13">
        <f t="shared" ref="C21:C25" si="0">(B21-B20)/B20</f>
        <v>3.9358550145593613E-2</v>
      </c>
    </row>
    <row r="22" spans="1:3" x14ac:dyDescent="0.3">
      <c r="A22">
        <v>2020</v>
      </c>
      <c r="B22" s="12">
        <v>153.32999999999998</v>
      </c>
      <c r="C22" s="13">
        <f t="shared" si="0"/>
        <v>6.3851393969976147E-2</v>
      </c>
    </row>
    <row r="23" spans="1:3" x14ac:dyDescent="0.3">
      <c r="A23">
        <v>2021</v>
      </c>
      <c r="B23" s="12">
        <v>161.41666666666666</v>
      </c>
      <c r="C23" s="13">
        <f t="shared" si="0"/>
        <v>5.2740276962542715E-2</v>
      </c>
    </row>
    <row r="24" spans="1:3" x14ac:dyDescent="0.3">
      <c r="A24">
        <v>2022</v>
      </c>
      <c r="B24" s="12">
        <v>172.07500000000002</v>
      </c>
      <c r="C24" s="13">
        <f t="shared" si="0"/>
        <v>6.6029943211151437E-2</v>
      </c>
    </row>
    <row r="25" spans="1:3" x14ac:dyDescent="0.3">
      <c r="A25">
        <v>2023</v>
      </c>
      <c r="B25" s="12">
        <v>177.57333333333332</v>
      </c>
      <c r="C25" s="13">
        <f t="shared" si="0"/>
        <v>3.195312121652364E-2</v>
      </c>
    </row>
    <row r="31" spans="1:3" x14ac:dyDescent="0.3">
      <c r="A31" s="17"/>
      <c r="B31" s="17"/>
    </row>
    <row r="32" spans="1:3" x14ac:dyDescent="0.3">
      <c r="A32" s="15"/>
      <c r="B32" s="15"/>
    </row>
    <row r="33" spans="1:6" x14ac:dyDescent="0.3">
      <c r="B33" s="12"/>
    </row>
    <row r="34" spans="1:6" x14ac:dyDescent="0.3">
      <c r="B34" s="12"/>
    </row>
    <row r="35" spans="1:6" x14ac:dyDescent="0.3">
      <c r="B35" s="12"/>
    </row>
    <row r="36" spans="1:6" x14ac:dyDescent="0.3">
      <c r="B36" s="12"/>
    </row>
    <row r="37" spans="1:6" ht="12.6" customHeight="1" x14ac:dyDescent="0.3">
      <c r="B37" s="12"/>
    </row>
    <row r="38" spans="1:6" x14ac:dyDescent="0.3">
      <c r="B38" s="12"/>
    </row>
    <row r="39" spans="1:6" x14ac:dyDescent="0.3">
      <c r="B39" s="12"/>
    </row>
    <row r="40" spans="1:6" x14ac:dyDescent="0.3">
      <c r="A40" s="16"/>
      <c r="B40" s="16"/>
    </row>
    <row r="42" spans="1:6" x14ac:dyDescent="0.3">
      <c r="F42">
        <v>2015</v>
      </c>
    </row>
    <row r="52" spans="1:2" x14ac:dyDescent="0.3">
      <c r="A52" s="17"/>
      <c r="B52" s="17"/>
    </row>
    <row r="53" spans="1:2" x14ac:dyDescent="0.3">
      <c r="A53" s="15"/>
      <c r="B53" s="15"/>
    </row>
    <row r="54" spans="1:2" x14ac:dyDescent="0.3">
      <c r="B54" s="12"/>
    </row>
    <row r="55" spans="1:2" ht="16.2" customHeight="1" x14ac:dyDescent="0.3">
      <c r="B55" s="12"/>
    </row>
    <row r="56" spans="1:2" x14ac:dyDescent="0.3">
      <c r="B56" s="12"/>
    </row>
    <row r="57" spans="1:2" x14ac:dyDescent="0.3">
      <c r="B57" s="12"/>
    </row>
    <row r="58" spans="1:2" x14ac:dyDescent="0.3">
      <c r="B58" s="12"/>
    </row>
    <row r="59" spans="1:2" x14ac:dyDescent="0.3">
      <c r="B59" s="12"/>
    </row>
    <row r="60" spans="1:2" x14ac:dyDescent="0.3">
      <c r="B60" s="12"/>
    </row>
    <row r="61" spans="1:2" x14ac:dyDescent="0.3">
      <c r="B61" s="12"/>
    </row>
    <row r="62" spans="1:2" x14ac:dyDescent="0.3">
      <c r="B62" s="12"/>
    </row>
    <row r="63" spans="1:2" x14ac:dyDescent="0.3">
      <c r="B63" s="12"/>
    </row>
    <row r="64" spans="1:2" x14ac:dyDescent="0.3">
      <c r="B64" s="12"/>
    </row>
    <row r="65" spans="1:2" x14ac:dyDescent="0.3">
      <c r="A65" s="16"/>
      <c r="B65" s="16"/>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8779-AE24-4DCC-9847-19D00E1E315F}">
  <dimension ref="A1:AM373"/>
  <sheetViews>
    <sheetView topLeftCell="AC292" zoomScaleNormal="100" workbookViewId="0">
      <selection sqref="A1:AM373"/>
    </sheetView>
  </sheetViews>
  <sheetFormatPr defaultRowHeight="14.4" x14ac:dyDescent="0.3"/>
  <cols>
    <col min="1" max="1" width="11.21875" bestFit="1" customWidth="1"/>
    <col min="2" max="2" width="6.88671875" bestFit="1" customWidth="1"/>
    <col min="3" max="3" width="10"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 min="31" max="31" width="16.109375" customWidth="1"/>
    <col min="32" max="32" width="15.109375" customWidth="1"/>
    <col min="33" max="34" width="17.77734375" customWidth="1"/>
    <col min="38" max="38" width="13.5546875" customWidth="1"/>
  </cols>
  <sheetData>
    <row r="1" spans="1:39" x14ac:dyDescent="0.3">
      <c r="A1" t="s">
        <v>0</v>
      </c>
      <c r="B1" t="s">
        <v>1</v>
      </c>
      <c r="C1" t="s">
        <v>2</v>
      </c>
      <c r="D1" t="s">
        <v>116</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76</v>
      </c>
      <c r="AG1" t="s">
        <v>77</v>
      </c>
      <c r="AH1" t="s">
        <v>78</v>
      </c>
      <c r="AI1" t="s">
        <v>79</v>
      </c>
      <c r="AJ1" t="s">
        <v>81</v>
      </c>
      <c r="AK1" t="s">
        <v>80</v>
      </c>
      <c r="AL1" t="s">
        <v>82</v>
      </c>
      <c r="AM1" t="s">
        <v>75</v>
      </c>
    </row>
    <row r="2" spans="1:39" hidden="1" x14ac:dyDescent="0.3">
      <c r="A2" t="s">
        <v>30</v>
      </c>
      <c r="B2">
        <v>2013</v>
      </c>
      <c r="C2" t="s">
        <v>31</v>
      </c>
      <c r="D2" t="str">
        <f t="shared" ref="D2:D65" si="0">TEXT(DATE(B2, MONTH(1&amp;C2), 1), "mmm-yy")</f>
        <v>Jan-13</v>
      </c>
      <c r="E2">
        <v>107.5</v>
      </c>
      <c r="F2">
        <v>106.3</v>
      </c>
      <c r="G2">
        <v>108.1</v>
      </c>
      <c r="H2">
        <v>104.9</v>
      </c>
      <c r="I2">
        <v>106.1</v>
      </c>
      <c r="J2">
        <v>103.9</v>
      </c>
      <c r="K2">
        <v>101.9</v>
      </c>
      <c r="L2">
        <v>106.1</v>
      </c>
      <c r="M2">
        <v>106.8</v>
      </c>
      <c r="N2">
        <v>103.1</v>
      </c>
      <c r="O2">
        <v>104.8</v>
      </c>
      <c r="P2">
        <v>106.7</v>
      </c>
      <c r="Q2">
        <v>105.5</v>
      </c>
      <c r="R2">
        <v>105.1</v>
      </c>
      <c r="S2">
        <v>106.5</v>
      </c>
      <c r="T2">
        <v>105.8</v>
      </c>
      <c r="U2">
        <v>106.4</v>
      </c>
      <c r="V2" s="12">
        <f>'Handle Missing Value Sheet only'!$F$5</f>
        <v>139.27096774193564</v>
      </c>
      <c r="W2">
        <v>105.5</v>
      </c>
      <c r="X2">
        <v>104.8</v>
      </c>
      <c r="Y2">
        <v>104</v>
      </c>
      <c r="Z2">
        <v>103.3</v>
      </c>
      <c r="AA2">
        <v>103.4</v>
      </c>
      <c r="AB2">
        <v>103.8</v>
      </c>
      <c r="AC2">
        <v>104.7</v>
      </c>
      <c r="AD2">
        <v>104</v>
      </c>
      <c r="AE2">
        <v>105.1</v>
      </c>
      <c r="AF2" s="12">
        <f>AVERAGE(All_India_Index_Upto_April23__1___1[[#This Row],[Cereals and products]:[Pan, tobacco and intoxicants]])</f>
        <v>105.48571428571427</v>
      </c>
      <c r="AG2" s="12">
        <f>AVERAGE(All_India_Index_Upto_April23__1___1[[#This Row],[Household goods and services]],All_India_Index_Upto_April23__1___1[[#This Row],[Housing]])</f>
        <v>122.03548387096782</v>
      </c>
      <c r="AH2" s="12">
        <f>AVERAGE(All_India_Index_Upto_April23__1___1[[#This Row],[Miscellaneous]],All_India_Index_Upto_April23__1___1[[#This Row],[Personal care and effects]],All_India_Index_Upto_April23__1___1[[#This Row],[Education]],All_India_Index_Upto_April23__1___1[[#This Row],[Recreation and amusement]])</f>
        <v>103.97499999999999</v>
      </c>
      <c r="AI2" s="12">
        <f>SUM(All_India_Index_Upto_April23__1___1[[#This Row],[Cereals and products]:[Pan, tobacco and intoxicants]])</f>
        <v>1476.7999999999997</v>
      </c>
      <c r="AJ2" s="12">
        <f>SUM(All_India_Index_Upto_April23__1___1[[#This Row],[Household goods and services]],All_India_Index_Upto_April23__1___1[[#This Row],[Housing]])</f>
        <v>244.07096774193565</v>
      </c>
      <c r="AK2" s="12">
        <f>All_India_Index_Upto_April23__1___1[[#This Row],[Clothing]]+All_India_Index_Upto_April23__1___1[[#This Row],[Footwear]]</f>
        <v>212.3</v>
      </c>
      <c r="AL2" s="12">
        <f>All_India_Index_Upto_April23__1___1[[#This Row],[Miscellaneous]]+All_India_Index_Upto_April23__1___1[[#This Row],[Personal care and effects]]+All_India_Index_Upto_April23__1___1[[#This Row],[Education]]+All_India_Index_Upto_April23__1___1[[#This Row],[Recreation and amusement]]</f>
        <v>415.9</v>
      </c>
      <c r="AM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2661.8709677419356</v>
      </c>
    </row>
    <row r="3" spans="1:39" hidden="1" x14ac:dyDescent="0.3">
      <c r="A3" t="s">
        <v>32</v>
      </c>
      <c r="B3">
        <v>2013</v>
      </c>
      <c r="C3" t="s">
        <v>31</v>
      </c>
      <c r="D3" t="str">
        <f t="shared" si="0"/>
        <v>Jan-13</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c r="AF3" s="12">
        <f>AVERAGE(All_India_Index_Upto_April23__1___1[[#This Row],[Cereals and products]:[Pan, tobacco and intoxicants]])</f>
        <v>105.82857142857144</v>
      </c>
      <c r="AG3" s="12">
        <f>AVERAGE(All_India_Index_Upto_April23__1___1[[#This Row],[Household goods and services]],All_India_Index_Upto_April23__1___1[[#This Row],[Housing]])</f>
        <v>102.55</v>
      </c>
      <c r="AH3" s="12">
        <f>AVERAGE(All_India_Index_Upto_April23__1___1[[#This Row],[Miscellaneous]],All_India_Index_Upto_April23__1___1[[#This Row],[Personal care and effects]],All_India_Index_Upto_April23__1___1[[#This Row],[Education]],All_India_Index_Upto_April23__1___1[[#This Row],[Recreation and amusement]])</f>
        <v>103.6</v>
      </c>
      <c r="AI3" s="12">
        <f>SUM(All_India_Index_Upto_April23__1___1[[#This Row],[Cereals and products]:[Pan, tobacco and intoxicants]])</f>
        <v>1481.6000000000001</v>
      </c>
      <c r="AJ3" s="12">
        <f>SUM(All_India_Index_Upto_April23__1___1[[#This Row],[Household goods and services]],All_India_Index_Upto_April23__1___1[[#This Row],[Housing]])</f>
        <v>205.1</v>
      </c>
      <c r="AK3" s="12">
        <f>All_India_Index_Upto_April23__1___1[[#This Row],[Clothing]]+All_India_Index_Upto_April23__1___1[[#This Row],[Footwear]]</f>
        <v>210.9</v>
      </c>
      <c r="AL3" s="12">
        <f>All_India_Index_Upto_April23__1___1[[#This Row],[Miscellaneous]]+All_India_Index_Upto_April23__1___1[[#This Row],[Personal care and effects]]+All_India_Index_Upto_April23__1___1[[#This Row],[Education]]+All_India_Index_Upto_April23__1___1[[#This Row],[Recreation and amusement]]</f>
        <v>414.4</v>
      </c>
      <c r="AM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2624.7</v>
      </c>
    </row>
    <row r="4" spans="1:39" hidden="1" x14ac:dyDescent="0.3">
      <c r="A4" t="s">
        <v>33</v>
      </c>
      <c r="B4">
        <v>2013</v>
      </c>
      <c r="C4" t="s">
        <v>31</v>
      </c>
      <c r="D4" t="str">
        <f t="shared" si="0"/>
        <v>Jan-13</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c r="AF4" s="12">
        <f>AVERAGE(All_India_Index_Upto_April23__1___1[[#This Row],[Cereals and products]:[Pan, tobacco and intoxicants]])</f>
        <v>105.60000000000001</v>
      </c>
      <c r="AG4" s="12">
        <f>AVERAGE(All_India_Index_Upto_April23__1___1[[#This Row],[Household goods and services]],All_India_Index_Upto_April23__1___1[[#This Row],[Housing]])</f>
        <v>102.55</v>
      </c>
      <c r="AH4" s="12">
        <f>AVERAGE(All_India_Index_Upto_April23__1___1[[#This Row],[Miscellaneous]],All_India_Index_Upto_April23__1___1[[#This Row],[Personal care and effects]],All_India_Index_Upto_April23__1___1[[#This Row],[Education]],All_India_Index_Upto_April23__1___1[[#This Row],[Recreation and amusement]])</f>
        <v>103.77500000000001</v>
      </c>
      <c r="AI4" s="12">
        <f>SUM(All_India_Index_Upto_April23__1___1[[#This Row],[Cereals and products]:[Pan, tobacco and intoxicants]])</f>
        <v>1478.4</v>
      </c>
      <c r="AJ4" s="12">
        <f>SUM(All_India_Index_Upto_April23__1___1[[#This Row],[Household goods and services]],All_India_Index_Upto_April23__1___1[[#This Row],[Housing]])</f>
        <v>205.1</v>
      </c>
      <c r="AK4" s="12">
        <f>All_India_Index_Upto_April23__1___1[[#This Row],[Clothing]]+All_India_Index_Upto_April23__1___1[[#This Row],[Footwear]]</f>
        <v>211.8</v>
      </c>
      <c r="AL4" s="12">
        <f>All_India_Index_Upto_April23__1___1[[#This Row],[Miscellaneous]]+All_India_Index_Upto_April23__1___1[[#This Row],[Personal care and effects]]+All_India_Index_Upto_April23__1___1[[#This Row],[Education]]+All_India_Index_Upto_April23__1___1[[#This Row],[Recreation and amusement]]</f>
        <v>415.1</v>
      </c>
      <c r="AM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2623.1</v>
      </c>
    </row>
    <row r="5" spans="1:39" hidden="1" x14ac:dyDescent="0.3">
      <c r="A5" t="s">
        <v>30</v>
      </c>
      <c r="B5">
        <v>2013</v>
      </c>
      <c r="C5" t="s">
        <v>34</v>
      </c>
      <c r="D5" t="str">
        <f t="shared" si="0"/>
        <v>Feb-13</v>
      </c>
      <c r="E5">
        <v>109.2</v>
      </c>
      <c r="F5">
        <v>108.7</v>
      </c>
      <c r="G5">
        <v>110.2</v>
      </c>
      <c r="H5">
        <v>105.4</v>
      </c>
      <c r="I5">
        <v>106.7</v>
      </c>
      <c r="J5">
        <v>104</v>
      </c>
      <c r="K5">
        <v>102.4</v>
      </c>
      <c r="L5">
        <v>105.9</v>
      </c>
      <c r="M5">
        <v>105.7</v>
      </c>
      <c r="N5">
        <v>103.1</v>
      </c>
      <c r="O5">
        <v>105.1</v>
      </c>
      <c r="P5">
        <v>107.7</v>
      </c>
      <c r="Q5">
        <v>106.3</v>
      </c>
      <c r="R5">
        <v>105.6</v>
      </c>
      <c r="S5">
        <v>107.1</v>
      </c>
      <c r="T5">
        <v>106.3</v>
      </c>
      <c r="U5">
        <v>107</v>
      </c>
      <c r="V5" s="12">
        <f>'Handle Missing Value Sheet only'!$F$5</f>
        <v>139.27096774193564</v>
      </c>
      <c r="W5">
        <v>106.2</v>
      </c>
      <c r="X5">
        <v>105.2</v>
      </c>
      <c r="Y5">
        <v>104.4</v>
      </c>
      <c r="Z5">
        <v>103.9</v>
      </c>
      <c r="AA5">
        <v>104</v>
      </c>
      <c r="AB5">
        <v>104.1</v>
      </c>
      <c r="AC5">
        <v>104.6</v>
      </c>
      <c r="AD5">
        <v>104.4</v>
      </c>
      <c r="AE5">
        <v>105.8</v>
      </c>
      <c r="AF5" s="12">
        <f>AVERAGE(All_India_Index_Upto_April23__1___1[[#This Row],[Cereals and products]:[Pan, tobacco and intoxicants]])</f>
        <v>106.14285714285712</v>
      </c>
      <c r="AG5" s="12">
        <f>AVERAGE(All_India_Index_Upto_April23__1___1[[#This Row],[Household goods and services]],All_India_Index_Upto_April23__1___1[[#This Row],[Housing]])</f>
        <v>122.23548387096781</v>
      </c>
      <c r="AH5" s="12">
        <f>AVERAGE(All_India_Index_Upto_April23__1___1[[#This Row],[Miscellaneous]],All_India_Index_Upto_April23__1___1[[#This Row],[Personal care and effects]],All_India_Index_Upto_April23__1___1[[#This Row],[Education]],All_India_Index_Upto_April23__1___1[[#This Row],[Recreation and amusement]])</f>
        <v>104.27500000000001</v>
      </c>
      <c r="AI5" s="12">
        <f>SUM(All_India_Index_Upto_April23__1___1[[#This Row],[Cereals and products]:[Pan, tobacco and intoxicants]])</f>
        <v>1485.9999999999998</v>
      </c>
      <c r="AJ5" s="12">
        <f>SUM(All_India_Index_Upto_April23__1___1[[#This Row],[Household goods and services]],All_India_Index_Upto_April23__1___1[[#This Row],[Housing]])</f>
        <v>244.47096774193562</v>
      </c>
      <c r="AK5" s="12">
        <f>All_India_Index_Upto_April23__1___1[[#This Row],[Clothing]]+All_India_Index_Upto_April23__1___1[[#This Row],[Footwear]]</f>
        <v>213.39999999999998</v>
      </c>
      <c r="AL5" s="12">
        <f>All_India_Index_Upto_April23__1___1[[#This Row],[Miscellaneous]]+All_India_Index_Upto_April23__1___1[[#This Row],[Personal care and effects]]+All_India_Index_Upto_April23__1___1[[#This Row],[Education]]+All_India_Index_Upto_April23__1___1[[#This Row],[Recreation and amusement]]</f>
        <v>417.1</v>
      </c>
      <c r="AM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2675.4709677419355</v>
      </c>
    </row>
    <row r="6" spans="1:39" hidden="1" x14ac:dyDescent="0.3">
      <c r="A6" t="s">
        <v>32</v>
      </c>
      <c r="B6">
        <v>2013</v>
      </c>
      <c r="C6" t="s">
        <v>34</v>
      </c>
      <c r="D6" t="str">
        <f t="shared" si="0"/>
        <v>Feb-13</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c r="AF6" s="12">
        <f>AVERAGE(All_India_Index_Upto_April23__1___1[[#This Row],[Cereals and products]:[Pan, tobacco and intoxicants]])</f>
        <v>106.9</v>
      </c>
      <c r="AG6" s="12">
        <f>AVERAGE(All_India_Index_Upto_April23__1___1[[#This Row],[Household goods and services]],All_India_Index_Upto_April23__1___1[[#This Row],[Housing]])</f>
        <v>102.80000000000001</v>
      </c>
      <c r="AH6" s="12">
        <f>AVERAGE(All_India_Index_Upto_April23__1___1[[#This Row],[Miscellaneous]],All_India_Index_Upto_April23__1___1[[#This Row],[Personal care and effects]],All_India_Index_Upto_April23__1___1[[#This Row],[Education]],All_India_Index_Upto_April23__1___1[[#This Row],[Recreation and amusement]])</f>
        <v>103.9</v>
      </c>
      <c r="AI6" s="12">
        <f>SUM(All_India_Index_Upto_April23__1___1[[#This Row],[Cereals and products]:[Pan, tobacco and intoxicants]])</f>
        <v>1496.6000000000001</v>
      </c>
      <c r="AJ6" s="12">
        <f>SUM(All_India_Index_Upto_April23__1___1[[#This Row],[Household goods and services]],All_India_Index_Upto_April23__1___1[[#This Row],[Housing]])</f>
        <v>205.60000000000002</v>
      </c>
      <c r="AK6" s="12">
        <f>All_India_Index_Upto_April23__1___1[[#This Row],[Clothing]]+All_India_Index_Upto_April23__1___1[[#This Row],[Footwear]]</f>
        <v>212.1</v>
      </c>
      <c r="AL6" s="12">
        <f>All_India_Index_Upto_April23__1___1[[#This Row],[Miscellaneous]]+All_India_Index_Upto_April23__1___1[[#This Row],[Personal care and effects]]+All_India_Index_Upto_April23__1___1[[#This Row],[Education]]+All_India_Index_Upto_April23__1___1[[#This Row],[Recreation and amusement]]</f>
        <v>415.6</v>
      </c>
      <c r="AM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2644.7</v>
      </c>
    </row>
    <row r="7" spans="1:39" hidden="1" x14ac:dyDescent="0.3">
      <c r="A7" t="s">
        <v>33</v>
      </c>
      <c r="B7">
        <v>2013</v>
      </c>
      <c r="C7" t="s">
        <v>34</v>
      </c>
      <c r="D7" t="str">
        <f t="shared" si="0"/>
        <v>Feb-13</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c r="AF7" s="12">
        <f>AVERAGE(All_India_Index_Upto_April23__1___1[[#This Row],[Cereals and products]:[Pan, tobacco and intoxicants]])</f>
        <v>106.42142857142858</v>
      </c>
      <c r="AG7" s="12">
        <f>AVERAGE(All_India_Index_Upto_April23__1___1[[#This Row],[Household goods and services]],All_India_Index_Upto_April23__1___1[[#This Row],[Housing]])</f>
        <v>102.80000000000001</v>
      </c>
      <c r="AH7" s="12">
        <f>AVERAGE(All_India_Index_Upto_April23__1___1[[#This Row],[Miscellaneous]],All_India_Index_Upto_April23__1___1[[#This Row],[Personal care and effects]],All_India_Index_Upto_April23__1___1[[#This Row],[Education]],All_India_Index_Upto_April23__1___1[[#This Row],[Recreation and amusement]])</f>
        <v>104.1</v>
      </c>
      <c r="AI7" s="12">
        <f>SUM(All_India_Index_Upto_April23__1___1[[#This Row],[Cereals and products]:[Pan, tobacco and intoxicants]])</f>
        <v>1489.9</v>
      </c>
      <c r="AJ7" s="12">
        <f>SUM(All_India_Index_Upto_April23__1___1[[#This Row],[Household goods and services]],All_India_Index_Upto_April23__1___1[[#This Row],[Housing]])</f>
        <v>205.60000000000002</v>
      </c>
      <c r="AK7" s="12">
        <f>All_India_Index_Upto_April23__1___1[[#This Row],[Clothing]]+All_India_Index_Upto_April23__1___1[[#This Row],[Footwear]]</f>
        <v>212.9</v>
      </c>
      <c r="AL7" s="12">
        <f>All_India_Index_Upto_April23__1___1[[#This Row],[Miscellaneous]]+All_India_Index_Upto_April23__1___1[[#This Row],[Personal care and effects]]+All_India_Index_Upto_April23__1___1[[#This Row],[Education]]+All_India_Index_Upto_April23__1___1[[#This Row],[Recreation and amusement]]</f>
        <v>416.4</v>
      </c>
      <c r="AM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2639.5</v>
      </c>
    </row>
    <row r="8" spans="1:39" hidden="1" x14ac:dyDescent="0.3">
      <c r="A8" t="s">
        <v>30</v>
      </c>
      <c r="B8">
        <v>2013</v>
      </c>
      <c r="C8" t="s">
        <v>35</v>
      </c>
      <c r="D8" t="str">
        <f t="shared" si="0"/>
        <v>Mar-13</v>
      </c>
      <c r="E8">
        <v>110.2</v>
      </c>
      <c r="F8">
        <v>108.8</v>
      </c>
      <c r="G8">
        <v>109.9</v>
      </c>
      <c r="H8">
        <v>105.6</v>
      </c>
      <c r="I8">
        <v>106.2</v>
      </c>
      <c r="J8">
        <v>105.7</v>
      </c>
      <c r="K8">
        <v>101.4</v>
      </c>
      <c r="L8">
        <v>105.7</v>
      </c>
      <c r="M8">
        <v>105</v>
      </c>
      <c r="N8">
        <v>103.3</v>
      </c>
      <c r="O8">
        <v>105.6</v>
      </c>
      <c r="P8">
        <v>108.2</v>
      </c>
      <c r="Q8">
        <v>106.6</v>
      </c>
      <c r="R8">
        <v>106.5</v>
      </c>
      <c r="S8">
        <v>107.6</v>
      </c>
      <c r="T8">
        <v>106.8</v>
      </c>
      <c r="U8">
        <v>107.5</v>
      </c>
      <c r="V8" s="12">
        <f>'Handle Missing Value Sheet only'!$F$5</f>
        <v>139.27096774193564</v>
      </c>
      <c r="W8">
        <v>106.1</v>
      </c>
      <c r="X8">
        <v>105.6</v>
      </c>
      <c r="Y8">
        <v>104.7</v>
      </c>
      <c r="Z8">
        <v>104.6</v>
      </c>
      <c r="AA8">
        <v>104</v>
      </c>
      <c r="AB8">
        <v>104.3</v>
      </c>
      <c r="AC8">
        <v>104.3</v>
      </c>
      <c r="AD8">
        <v>104.6</v>
      </c>
      <c r="AE8">
        <v>106</v>
      </c>
      <c r="AF8" s="12">
        <f>AVERAGE(All_India_Index_Upto_April23__1___1[[#This Row],[Cereals and products]:[Pan, tobacco and intoxicants]])</f>
        <v>106.33571428571429</v>
      </c>
      <c r="AG8" s="12">
        <f>AVERAGE(All_India_Index_Upto_April23__1___1[[#This Row],[Household goods and services]],All_India_Index_Upto_April23__1___1[[#This Row],[Housing]])</f>
        <v>122.43548387096781</v>
      </c>
      <c r="AH8" s="12">
        <f>AVERAGE(All_India_Index_Upto_April23__1___1[[#This Row],[Miscellaneous]],All_India_Index_Upto_April23__1___1[[#This Row],[Personal care and effects]],All_India_Index_Upto_April23__1___1[[#This Row],[Education]],All_India_Index_Upto_April23__1___1[[#This Row],[Recreation and amusement]])</f>
        <v>104.3</v>
      </c>
      <c r="AI8" s="12">
        <f>SUM(All_India_Index_Upto_April23__1___1[[#This Row],[Cereals and products]:[Pan, tobacco and intoxicants]])</f>
        <v>1488.7</v>
      </c>
      <c r="AJ8" s="12">
        <f>SUM(All_India_Index_Upto_April23__1___1[[#This Row],[Household goods and services]],All_India_Index_Upto_April23__1___1[[#This Row],[Housing]])</f>
        <v>244.87096774193563</v>
      </c>
      <c r="AK8" s="12">
        <f>All_India_Index_Upto_April23__1___1[[#This Row],[Clothing]]+All_India_Index_Upto_April23__1___1[[#This Row],[Footwear]]</f>
        <v>214.39999999999998</v>
      </c>
      <c r="AL8" s="12">
        <f>All_India_Index_Upto_April23__1___1[[#This Row],[Miscellaneous]]+All_India_Index_Upto_April23__1___1[[#This Row],[Personal care and effects]]+All_India_Index_Upto_April23__1___1[[#This Row],[Education]]+All_India_Index_Upto_April23__1___1[[#This Row],[Recreation and amusement]]</f>
        <v>417.2</v>
      </c>
      <c r="AM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2680.5709677419354</v>
      </c>
    </row>
    <row r="9" spans="1:39" hidden="1" x14ac:dyDescent="0.3">
      <c r="A9" t="s">
        <v>32</v>
      </c>
      <c r="B9">
        <v>2013</v>
      </c>
      <c r="C9" t="s">
        <v>35</v>
      </c>
      <c r="D9" t="str">
        <f t="shared" si="0"/>
        <v>Mar-13</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c r="AF9" s="12">
        <f>AVERAGE(All_India_Index_Upto_April23__1___1[[#This Row],[Cereals and products]:[Pan, tobacco and intoxicants]])</f>
        <v>106.68571428571428</v>
      </c>
      <c r="AG9" s="12">
        <f>AVERAGE(All_India_Index_Upto_April23__1___1[[#This Row],[Household goods and services]],All_India_Index_Upto_April23__1___1[[#This Row],[Housing]])</f>
        <v>103.05000000000001</v>
      </c>
      <c r="AH9" s="12">
        <f>AVERAGE(All_India_Index_Upto_April23__1___1[[#This Row],[Miscellaneous]],All_India_Index_Upto_April23__1___1[[#This Row],[Personal care and effects]],All_India_Index_Upto_April23__1___1[[#This Row],[Education]],All_India_Index_Upto_April23__1___1[[#This Row],[Recreation and amusement]])</f>
        <v>104.10000000000001</v>
      </c>
      <c r="AI9" s="12">
        <f>SUM(All_India_Index_Upto_April23__1___1[[#This Row],[Cereals and products]:[Pan, tobacco and intoxicants]])</f>
        <v>1493.6</v>
      </c>
      <c r="AJ9" s="12">
        <f>SUM(All_India_Index_Upto_April23__1___1[[#This Row],[Household goods and services]],All_India_Index_Upto_April23__1___1[[#This Row],[Housing]])</f>
        <v>206.10000000000002</v>
      </c>
      <c r="AK9" s="12">
        <f>All_India_Index_Upto_April23__1___1[[#This Row],[Clothing]]+All_India_Index_Upto_April23__1___1[[#This Row],[Footwear]]</f>
        <v>213.2</v>
      </c>
      <c r="AL9" s="12">
        <f>All_India_Index_Upto_April23__1___1[[#This Row],[Miscellaneous]]+All_India_Index_Upto_April23__1___1[[#This Row],[Personal care and effects]]+All_India_Index_Upto_April23__1___1[[#This Row],[Education]]+All_India_Index_Upto_April23__1___1[[#This Row],[Recreation and amusement]]</f>
        <v>416.40000000000003</v>
      </c>
      <c r="AM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2646</v>
      </c>
    </row>
    <row r="10" spans="1:39" hidden="1" x14ac:dyDescent="0.3">
      <c r="A10" t="s">
        <v>33</v>
      </c>
      <c r="B10">
        <v>2013</v>
      </c>
      <c r="C10" t="s">
        <v>35</v>
      </c>
      <c r="D10" t="str">
        <f t="shared" si="0"/>
        <v>Mar-13</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c r="AF10" s="12">
        <f>AVERAGE(All_India_Index_Upto_April23__1___1[[#This Row],[Cereals and products]:[Pan, tobacco and intoxicants]])</f>
        <v>106.47142857142858</v>
      </c>
      <c r="AG10" s="12">
        <f>AVERAGE(All_India_Index_Upto_April23__1___1[[#This Row],[Household goods and services]],All_India_Index_Upto_April23__1___1[[#This Row],[Housing]])</f>
        <v>103</v>
      </c>
      <c r="AH10" s="12">
        <f>AVERAGE(All_India_Index_Upto_April23__1___1[[#This Row],[Miscellaneous]],All_India_Index_Upto_April23__1___1[[#This Row],[Personal care and effects]],All_India_Index_Upto_April23__1___1[[#This Row],[Education]],All_India_Index_Upto_April23__1___1[[#This Row],[Recreation and amusement]])</f>
        <v>104.175</v>
      </c>
      <c r="AI10" s="12">
        <f>SUM(All_India_Index_Upto_April23__1___1[[#This Row],[Cereals and products]:[Pan, tobacco and intoxicants]])</f>
        <v>1490.6000000000001</v>
      </c>
      <c r="AJ10" s="12">
        <f>SUM(All_India_Index_Upto_April23__1___1[[#This Row],[Household goods and services]],All_India_Index_Upto_April23__1___1[[#This Row],[Housing]])</f>
        <v>206</v>
      </c>
      <c r="AK10" s="12">
        <f>All_India_Index_Upto_April23__1___1[[#This Row],[Clothing]]+All_India_Index_Upto_April23__1___1[[#This Row],[Footwear]]</f>
        <v>213.9</v>
      </c>
      <c r="AL10" s="12">
        <f>All_India_Index_Upto_April23__1___1[[#This Row],[Miscellaneous]]+All_India_Index_Upto_April23__1___1[[#This Row],[Personal care and effects]]+All_India_Index_Upto_April23__1___1[[#This Row],[Education]]+All_India_Index_Upto_April23__1___1[[#This Row],[Recreation and amusement]]</f>
        <v>416.7</v>
      </c>
      <c r="AM1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2643.3</v>
      </c>
    </row>
    <row r="11" spans="1:39" hidden="1" x14ac:dyDescent="0.3">
      <c r="A11" t="s">
        <v>30</v>
      </c>
      <c r="B11">
        <v>2013</v>
      </c>
      <c r="C11" t="s">
        <v>36</v>
      </c>
      <c r="D11" t="str">
        <f t="shared" si="0"/>
        <v>Apr-13</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s="12">
        <f>'Handle Missing Value Sheet only'!$F$5</f>
        <v>139.27096774193564</v>
      </c>
      <c r="W11">
        <v>106.5</v>
      </c>
      <c r="X11">
        <v>106.1</v>
      </c>
      <c r="Y11">
        <v>105.1</v>
      </c>
      <c r="Z11">
        <v>104.4</v>
      </c>
      <c r="AA11">
        <v>104.5</v>
      </c>
      <c r="AB11">
        <v>104.8</v>
      </c>
      <c r="AC11">
        <v>102.7</v>
      </c>
      <c r="AD11">
        <v>104.6</v>
      </c>
      <c r="AE11">
        <v>106.4</v>
      </c>
      <c r="AF11" s="12">
        <f>AVERAGE(All_India_Index_Upto_April23__1___1[[#This Row],[Cereals and products]:[Pan, tobacco and intoxicants]])</f>
        <v>106.63571428571427</v>
      </c>
      <c r="AG11" s="12">
        <f>AVERAGE(All_India_Index_Upto_April23__1___1[[#This Row],[Household goods and services]],All_India_Index_Upto_April23__1___1[[#This Row],[Housing]])</f>
        <v>122.68548387096781</v>
      </c>
      <c r="AH11" s="12">
        <f>AVERAGE(All_India_Index_Upto_April23__1___1[[#This Row],[Miscellaneous]],All_India_Index_Upto_April23__1___1[[#This Row],[Personal care and effects]],All_India_Index_Upto_April23__1___1[[#This Row],[Education]],All_India_Index_Upto_April23__1___1[[#This Row],[Recreation and amusement]])</f>
        <v>104.15</v>
      </c>
      <c r="AI11" s="12">
        <f>SUM(All_India_Index_Upto_April23__1___1[[#This Row],[Cereals and products]:[Pan, tobacco and intoxicants]])</f>
        <v>1492.8999999999999</v>
      </c>
      <c r="AJ11" s="12">
        <f>SUM(All_India_Index_Upto_April23__1___1[[#This Row],[Household goods and services]],All_India_Index_Upto_April23__1___1[[#This Row],[Housing]])</f>
        <v>245.37096774193563</v>
      </c>
      <c r="AK11" s="12">
        <f>All_India_Index_Upto_April23__1___1[[#This Row],[Clothing]]+All_India_Index_Upto_April23__1___1[[#This Row],[Footwear]]</f>
        <v>215.5</v>
      </c>
      <c r="AL11" s="12">
        <f>All_India_Index_Upto_April23__1___1[[#This Row],[Miscellaneous]]+All_India_Index_Upto_April23__1___1[[#This Row],[Personal care and effects]]+All_India_Index_Upto_April23__1___1[[#This Row],[Education]]+All_India_Index_Upto_April23__1___1[[#This Row],[Recreation and amusement]]</f>
        <v>416.6</v>
      </c>
      <c r="AM1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2686.3709677419356</v>
      </c>
    </row>
    <row r="12" spans="1:39" hidden="1" x14ac:dyDescent="0.3">
      <c r="A12" t="s">
        <v>32</v>
      </c>
      <c r="B12">
        <v>2013</v>
      </c>
      <c r="C12" t="s">
        <v>36</v>
      </c>
      <c r="D12" t="str">
        <f t="shared" si="0"/>
        <v>Apr-13</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c r="AF12" s="12">
        <f>AVERAGE(All_India_Index_Upto_April23__1___1[[#This Row],[Cereals and products]:[Pan, tobacco and intoxicants]])</f>
        <v>107.58571428571427</v>
      </c>
      <c r="AG12" s="12">
        <f>AVERAGE(All_India_Index_Upto_April23__1___1[[#This Row],[Household goods and services]],All_India_Index_Upto_April23__1___1[[#This Row],[Housing]])</f>
        <v>103.5</v>
      </c>
      <c r="AH12" s="12">
        <f>AVERAGE(All_India_Index_Upto_April23__1___1[[#This Row],[Miscellaneous]],All_India_Index_Upto_April23__1___1[[#This Row],[Personal care and effects]],All_India_Index_Upto_April23__1___1[[#This Row],[Education]],All_India_Index_Upto_April23__1___1[[#This Row],[Recreation and amusement]])</f>
        <v>104.375</v>
      </c>
      <c r="AI12" s="12">
        <f>SUM(All_India_Index_Upto_April23__1___1[[#This Row],[Cereals and products]:[Pan, tobacco and intoxicants]])</f>
        <v>1506.1999999999998</v>
      </c>
      <c r="AJ12" s="12">
        <f>SUM(All_India_Index_Upto_April23__1___1[[#This Row],[Household goods and services]],All_India_Index_Upto_April23__1___1[[#This Row],[Housing]])</f>
        <v>207</v>
      </c>
      <c r="AK12" s="12">
        <f>All_India_Index_Upto_April23__1___1[[#This Row],[Clothing]]+All_India_Index_Upto_April23__1___1[[#This Row],[Footwear]]</f>
        <v>214.3</v>
      </c>
      <c r="AL12" s="12">
        <f>All_India_Index_Upto_April23__1___1[[#This Row],[Miscellaneous]]+All_India_Index_Upto_April23__1___1[[#This Row],[Personal care and effects]]+All_India_Index_Upto_April23__1___1[[#This Row],[Education]]+All_India_Index_Upto_April23__1___1[[#This Row],[Recreation and amusement]]</f>
        <v>417.5</v>
      </c>
      <c r="AM1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2662.1</v>
      </c>
    </row>
    <row r="13" spans="1:39" hidden="1" x14ac:dyDescent="0.3">
      <c r="A13" t="s">
        <v>33</v>
      </c>
      <c r="B13">
        <v>2013</v>
      </c>
      <c r="C13" t="s">
        <v>36</v>
      </c>
      <c r="D13" t="str">
        <f t="shared" si="0"/>
        <v>Apr-13</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c r="AF13" s="12">
        <f>AVERAGE(All_India_Index_Upto_April23__1___1[[#This Row],[Cereals and products]:[Pan, tobacco and intoxicants]])</f>
        <v>106.97857142857143</v>
      </c>
      <c r="AG13" s="12">
        <f>AVERAGE(All_India_Index_Upto_April23__1___1[[#This Row],[Household goods and services]],All_India_Index_Upto_April23__1___1[[#This Row],[Housing]])</f>
        <v>103.4</v>
      </c>
      <c r="AH13" s="12">
        <f>AVERAGE(All_India_Index_Upto_April23__1___1[[#This Row],[Miscellaneous]],All_India_Index_Upto_April23__1___1[[#This Row],[Personal care and effects]],All_India_Index_Upto_April23__1___1[[#This Row],[Education]],All_India_Index_Upto_April23__1___1[[#This Row],[Recreation and amusement]])</f>
        <v>104.22499999999999</v>
      </c>
      <c r="AI13" s="12">
        <f>SUM(All_India_Index_Upto_April23__1___1[[#This Row],[Cereals and products]:[Pan, tobacco and intoxicants]])</f>
        <v>1497.7</v>
      </c>
      <c r="AJ13" s="12">
        <f>SUM(All_India_Index_Upto_April23__1___1[[#This Row],[Household goods and services]],All_India_Index_Upto_April23__1___1[[#This Row],[Housing]])</f>
        <v>206.8</v>
      </c>
      <c r="AK13" s="12">
        <f>All_India_Index_Upto_April23__1___1[[#This Row],[Clothing]]+All_India_Index_Upto_April23__1___1[[#This Row],[Footwear]]</f>
        <v>215</v>
      </c>
      <c r="AL13" s="12">
        <f>All_India_Index_Upto_April23__1___1[[#This Row],[Miscellaneous]]+All_India_Index_Upto_April23__1___1[[#This Row],[Personal care and effects]]+All_India_Index_Upto_April23__1___1[[#This Row],[Education]]+All_India_Index_Upto_April23__1___1[[#This Row],[Recreation and amusement]]</f>
        <v>416.9</v>
      </c>
      <c r="AM1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2652.9</v>
      </c>
    </row>
    <row r="14" spans="1:39" hidden="1" x14ac:dyDescent="0.3">
      <c r="A14" t="s">
        <v>30</v>
      </c>
      <c r="B14">
        <v>2013</v>
      </c>
      <c r="C14" t="s">
        <v>37</v>
      </c>
      <c r="D14" t="str">
        <f t="shared" si="0"/>
        <v>May-13</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s="12">
        <f>'Handle Missing Value Sheet only'!$F$5</f>
        <v>139.27096774193564</v>
      </c>
      <c r="W14">
        <v>107.5</v>
      </c>
      <c r="X14">
        <v>106.8</v>
      </c>
      <c r="Y14">
        <v>105.7</v>
      </c>
      <c r="Z14">
        <v>104.1</v>
      </c>
      <c r="AA14">
        <v>105</v>
      </c>
      <c r="AB14">
        <v>105.5</v>
      </c>
      <c r="AC14">
        <v>102.1</v>
      </c>
      <c r="AD14">
        <v>104.8</v>
      </c>
      <c r="AE14">
        <v>107.2</v>
      </c>
      <c r="AF14" s="12">
        <f>AVERAGE(All_India_Index_Upto_April23__1___1[[#This Row],[Cereals and products]:[Pan, tobacco and intoxicants]])</f>
        <v>107.29285714285713</v>
      </c>
      <c r="AG14" s="12">
        <f>AVERAGE(All_India_Index_Upto_April23__1___1[[#This Row],[Household goods and services]],All_India_Index_Upto_April23__1___1[[#This Row],[Housing]])</f>
        <v>123.03548387096782</v>
      </c>
      <c r="AH14" s="12">
        <f>AVERAGE(All_India_Index_Upto_April23__1___1[[#This Row],[Miscellaneous]],All_India_Index_Upto_April23__1___1[[#This Row],[Personal care and effects]],All_India_Index_Upto_April23__1___1[[#This Row],[Education]],All_India_Index_Upto_April23__1___1[[#This Row],[Recreation and amusement]])</f>
        <v>104.35</v>
      </c>
      <c r="AI14" s="12">
        <f>SUM(All_India_Index_Upto_April23__1___1[[#This Row],[Cereals and products]:[Pan, tobacco and intoxicants]])</f>
        <v>1502.1</v>
      </c>
      <c r="AJ14" s="12">
        <f>SUM(All_India_Index_Upto_April23__1___1[[#This Row],[Household goods and services]],All_India_Index_Upto_April23__1___1[[#This Row],[Housing]])</f>
        <v>246.07096774193565</v>
      </c>
      <c r="AK14" s="12">
        <f>All_India_Index_Upto_April23__1___1[[#This Row],[Clothing]]+All_India_Index_Upto_April23__1___1[[#This Row],[Footwear]]</f>
        <v>216.7</v>
      </c>
      <c r="AL14" s="12">
        <f>All_India_Index_Upto_April23__1___1[[#This Row],[Miscellaneous]]+All_India_Index_Upto_April23__1___1[[#This Row],[Personal care and effects]]+All_India_Index_Upto_April23__1___1[[#This Row],[Education]]+All_India_Index_Upto_April23__1___1[[#This Row],[Recreation and amusement]]</f>
        <v>417.4</v>
      </c>
      <c r="AM1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2699.570967741935</v>
      </c>
    </row>
    <row r="15" spans="1:39" hidden="1" x14ac:dyDescent="0.3">
      <c r="A15" t="s">
        <v>32</v>
      </c>
      <c r="B15">
        <v>2013</v>
      </c>
      <c r="C15" t="s">
        <v>37</v>
      </c>
      <c r="D15" t="str">
        <f t="shared" si="0"/>
        <v>May-13</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c r="AF15" s="12">
        <f>AVERAGE(All_India_Index_Upto_April23__1___1[[#This Row],[Cereals and products]:[Pan, tobacco and intoxicants]])</f>
        <v>109.07142857142856</v>
      </c>
      <c r="AG15" s="12">
        <f>AVERAGE(All_India_Index_Upto_April23__1___1[[#This Row],[Household goods and services]],All_India_Index_Upto_April23__1___1[[#This Row],[Housing]])</f>
        <v>103.8</v>
      </c>
      <c r="AH15" s="12">
        <f>AVERAGE(All_India_Index_Upto_April23__1___1[[#This Row],[Miscellaneous]],All_India_Index_Upto_April23__1___1[[#This Row],[Personal care and effects]],All_India_Index_Upto_April23__1___1[[#This Row],[Education]],All_India_Index_Upto_April23__1___1[[#This Row],[Recreation and amusement]])</f>
        <v>104.44999999999999</v>
      </c>
      <c r="AI15" s="12">
        <f>SUM(All_India_Index_Upto_April23__1___1[[#This Row],[Cereals and products]:[Pan, tobacco and intoxicants]])</f>
        <v>1526.9999999999998</v>
      </c>
      <c r="AJ15" s="12">
        <f>SUM(All_India_Index_Upto_April23__1___1[[#This Row],[Household goods and services]],All_India_Index_Upto_April23__1___1[[#This Row],[Housing]])</f>
        <v>207.6</v>
      </c>
      <c r="AK15" s="12">
        <f>All_India_Index_Upto_April23__1___1[[#This Row],[Clothing]]+All_India_Index_Upto_April23__1___1[[#This Row],[Footwear]]</f>
        <v>215.2</v>
      </c>
      <c r="AL15" s="12">
        <f>All_India_Index_Upto_April23__1___1[[#This Row],[Miscellaneous]]+All_India_Index_Upto_April23__1___1[[#This Row],[Personal care and effects]]+All_India_Index_Upto_April23__1___1[[#This Row],[Education]]+All_India_Index_Upto_April23__1___1[[#This Row],[Recreation and amusement]]</f>
        <v>417.79999999999995</v>
      </c>
      <c r="AM1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2684.8999999999996</v>
      </c>
    </row>
    <row r="16" spans="1:39" hidden="1" x14ac:dyDescent="0.3">
      <c r="A16" t="s">
        <v>33</v>
      </c>
      <c r="B16">
        <v>2013</v>
      </c>
      <c r="C16" t="s">
        <v>37</v>
      </c>
      <c r="D16" t="str">
        <f t="shared" si="0"/>
        <v>May-13</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c r="AF16" s="12">
        <f>AVERAGE(All_India_Index_Upto_April23__1___1[[#This Row],[Cereals and products]:[Pan, tobacco and intoxicants]])</f>
        <v>107.9142857142857</v>
      </c>
      <c r="AG16" s="12">
        <f>AVERAGE(All_India_Index_Upto_April23__1___1[[#This Row],[Household goods and services]],All_India_Index_Upto_April23__1___1[[#This Row],[Housing]])</f>
        <v>103.7</v>
      </c>
      <c r="AH16" s="12">
        <f>AVERAGE(All_India_Index_Upto_April23__1___1[[#This Row],[Miscellaneous]],All_India_Index_Upto_April23__1___1[[#This Row],[Personal care and effects]],All_India_Index_Upto_April23__1___1[[#This Row],[Education]],All_India_Index_Upto_April23__1___1[[#This Row],[Recreation and amusement]])</f>
        <v>104.375</v>
      </c>
      <c r="AI16" s="12">
        <f>SUM(All_India_Index_Upto_April23__1___1[[#This Row],[Cereals and products]:[Pan, tobacco and intoxicants]])</f>
        <v>1510.7999999999997</v>
      </c>
      <c r="AJ16" s="12">
        <f>SUM(All_India_Index_Upto_April23__1___1[[#This Row],[Household goods and services]],All_India_Index_Upto_April23__1___1[[#This Row],[Housing]])</f>
        <v>207.4</v>
      </c>
      <c r="AK16" s="12">
        <f>All_India_Index_Upto_April23__1___1[[#This Row],[Clothing]]+All_India_Index_Upto_April23__1___1[[#This Row],[Footwear]]</f>
        <v>216.10000000000002</v>
      </c>
      <c r="AL16" s="12">
        <f>All_India_Index_Upto_April23__1___1[[#This Row],[Miscellaneous]]+All_India_Index_Upto_April23__1___1[[#This Row],[Personal care and effects]]+All_India_Index_Upto_April23__1___1[[#This Row],[Education]]+All_India_Index_Upto_April23__1___1[[#This Row],[Recreation and amusement]]</f>
        <v>417.5</v>
      </c>
      <c r="AM1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2669.1</v>
      </c>
    </row>
    <row r="17" spans="1:39" hidden="1" x14ac:dyDescent="0.3">
      <c r="A17" t="s">
        <v>30</v>
      </c>
      <c r="B17">
        <v>2013</v>
      </c>
      <c r="C17" t="s">
        <v>38</v>
      </c>
      <c r="D17" t="str">
        <f t="shared" si="0"/>
        <v>Jun-13</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s="12">
        <f>'Handle Missing Value Sheet only'!$F$5</f>
        <v>139.27096774193564</v>
      </c>
      <c r="W17">
        <v>108.5</v>
      </c>
      <c r="X17">
        <v>107.5</v>
      </c>
      <c r="Y17">
        <v>106.3</v>
      </c>
      <c r="Z17">
        <v>105</v>
      </c>
      <c r="AA17">
        <v>105.6</v>
      </c>
      <c r="AB17">
        <v>106.5</v>
      </c>
      <c r="AC17">
        <v>102.5</v>
      </c>
      <c r="AD17">
        <v>105.5</v>
      </c>
      <c r="AE17">
        <v>108.9</v>
      </c>
      <c r="AF17" s="12">
        <f>AVERAGE(All_India_Index_Upto_April23__1___1[[#This Row],[Cereals and products]:[Pan, tobacco and intoxicants]])</f>
        <v>109.21428571428571</v>
      </c>
      <c r="AG17" s="12">
        <f>AVERAGE(All_India_Index_Upto_April23__1___1[[#This Row],[Household goods and services]],All_India_Index_Upto_April23__1___1[[#This Row],[Housing]])</f>
        <v>123.38548387096782</v>
      </c>
      <c r="AH17" s="12">
        <f>AVERAGE(All_India_Index_Upto_April23__1___1[[#This Row],[Miscellaneous]],All_India_Index_Upto_April23__1___1[[#This Row],[Personal care and effects]],All_India_Index_Upto_April23__1___1[[#This Row],[Education]],All_India_Index_Upto_April23__1___1[[#This Row],[Recreation and amusement]])</f>
        <v>105.02500000000001</v>
      </c>
      <c r="AI17" s="12">
        <f>SUM(All_India_Index_Upto_April23__1___1[[#This Row],[Cereals and products]:[Pan, tobacco and intoxicants]])</f>
        <v>1529</v>
      </c>
      <c r="AJ17" s="12">
        <f>SUM(All_India_Index_Upto_April23__1___1[[#This Row],[Household goods and services]],All_India_Index_Upto_April23__1___1[[#This Row],[Housing]])</f>
        <v>246.77096774193564</v>
      </c>
      <c r="AK17" s="12">
        <f>All_India_Index_Upto_April23__1___1[[#This Row],[Clothing]]+All_India_Index_Upto_April23__1___1[[#This Row],[Footwear]]</f>
        <v>218.5</v>
      </c>
      <c r="AL17" s="12">
        <f>All_India_Index_Upto_April23__1___1[[#This Row],[Miscellaneous]]+All_India_Index_Upto_April23__1___1[[#This Row],[Personal care and effects]]+All_India_Index_Upto_April23__1___1[[#This Row],[Education]]+All_India_Index_Upto_April23__1___1[[#This Row],[Recreation and amusement]]</f>
        <v>420.1</v>
      </c>
      <c r="AM1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2734.1709677419358</v>
      </c>
    </row>
    <row r="18" spans="1:39" hidden="1" x14ac:dyDescent="0.3">
      <c r="A18" t="s">
        <v>32</v>
      </c>
      <c r="B18">
        <v>2013</v>
      </c>
      <c r="C18" t="s">
        <v>38</v>
      </c>
      <c r="D18" t="str">
        <f t="shared" si="0"/>
        <v>Jun-13</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c r="AF18" s="12">
        <f>AVERAGE(All_India_Index_Upto_April23__1___1[[#This Row],[Cereals and products]:[Pan, tobacco and intoxicants]])</f>
        <v>112.53571428571431</v>
      </c>
      <c r="AG18" s="12">
        <f>AVERAGE(All_India_Index_Upto_April23__1___1[[#This Row],[Household goods and services]],All_India_Index_Upto_April23__1___1[[#This Row],[Housing]])</f>
        <v>107.15</v>
      </c>
      <c r="AH18" s="12">
        <f>AVERAGE(All_India_Index_Upto_April23__1___1[[#This Row],[Miscellaneous]],All_India_Index_Upto_April23__1___1[[#This Row],[Personal care and effects]],All_India_Index_Upto_April23__1___1[[#This Row],[Education]],All_India_Index_Upto_April23__1___1[[#This Row],[Recreation and amusement]])</f>
        <v>105.675</v>
      </c>
      <c r="AI18" s="12">
        <f>SUM(All_India_Index_Upto_April23__1___1[[#This Row],[Cereals and products]:[Pan, tobacco and intoxicants]])</f>
        <v>1575.5000000000002</v>
      </c>
      <c r="AJ18" s="12">
        <f>SUM(All_India_Index_Upto_April23__1___1[[#This Row],[Household goods and services]],All_India_Index_Upto_April23__1___1[[#This Row],[Housing]])</f>
        <v>214.3</v>
      </c>
      <c r="AK18" s="12">
        <f>All_India_Index_Upto_April23__1___1[[#This Row],[Clothing]]+All_India_Index_Upto_April23__1___1[[#This Row],[Footwear]]</f>
        <v>216.4</v>
      </c>
      <c r="AL18" s="12">
        <f>All_India_Index_Upto_April23__1___1[[#This Row],[Miscellaneous]]+All_India_Index_Upto_April23__1___1[[#This Row],[Personal care and effects]]+All_India_Index_Upto_April23__1___1[[#This Row],[Education]]+All_India_Index_Upto_April23__1___1[[#This Row],[Recreation and amusement]]</f>
        <v>422.7</v>
      </c>
      <c r="AM1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2748.6000000000004</v>
      </c>
    </row>
    <row r="19" spans="1:39" hidden="1" x14ac:dyDescent="0.3">
      <c r="A19" t="s">
        <v>33</v>
      </c>
      <c r="B19">
        <v>2013</v>
      </c>
      <c r="C19" t="s">
        <v>38</v>
      </c>
      <c r="D19" t="str">
        <f t="shared" si="0"/>
        <v>Jun-13</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c r="AF19" s="12">
        <f>AVERAGE(All_India_Index_Upto_April23__1___1[[#This Row],[Cereals and products]:[Pan, tobacco and intoxicants]])</f>
        <v>110.39285714285714</v>
      </c>
      <c r="AG19" s="12">
        <f>AVERAGE(All_India_Index_Upto_April23__1___1[[#This Row],[Household goods and services]],All_India_Index_Upto_April23__1___1[[#This Row],[Housing]])</f>
        <v>107.1</v>
      </c>
      <c r="AH19" s="12">
        <f>AVERAGE(All_India_Index_Upto_April23__1___1[[#This Row],[Miscellaneous]],All_India_Index_Upto_April23__1___1[[#This Row],[Personal care and effects]],All_India_Index_Upto_April23__1___1[[#This Row],[Education]],All_India_Index_Upto_April23__1___1[[#This Row],[Recreation and amusement]])</f>
        <v>105.35</v>
      </c>
      <c r="AI19" s="12">
        <f>SUM(All_India_Index_Upto_April23__1___1[[#This Row],[Cereals and products]:[Pan, tobacco and intoxicants]])</f>
        <v>1545.5</v>
      </c>
      <c r="AJ19" s="12">
        <f>SUM(All_India_Index_Upto_April23__1___1[[#This Row],[Household goods and services]],All_India_Index_Upto_April23__1___1[[#This Row],[Housing]])</f>
        <v>214.2</v>
      </c>
      <c r="AK19" s="12">
        <f>All_India_Index_Upto_April23__1___1[[#This Row],[Clothing]]+All_India_Index_Upto_April23__1___1[[#This Row],[Footwear]]</f>
        <v>217.6</v>
      </c>
      <c r="AL19" s="12">
        <f>All_India_Index_Upto_April23__1___1[[#This Row],[Miscellaneous]]+All_India_Index_Upto_April23__1___1[[#This Row],[Personal care and effects]]+All_India_Index_Upto_April23__1___1[[#This Row],[Education]]+All_India_Index_Upto_April23__1___1[[#This Row],[Recreation and amusement]]</f>
        <v>421.4</v>
      </c>
      <c r="AM1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2718.5</v>
      </c>
    </row>
    <row r="20" spans="1:39" hidden="1" x14ac:dyDescent="0.3">
      <c r="A20" t="s">
        <v>30</v>
      </c>
      <c r="B20">
        <v>2013</v>
      </c>
      <c r="C20" t="s">
        <v>39</v>
      </c>
      <c r="D20" t="str">
        <f t="shared" si="0"/>
        <v>Jul-13</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s="12">
        <f>'Handle Missing Value Sheet only'!$F$5</f>
        <v>139.27096774193564</v>
      </c>
      <c r="W20">
        <v>109.5</v>
      </c>
      <c r="X20">
        <v>108.3</v>
      </c>
      <c r="Y20">
        <v>106.9</v>
      </c>
      <c r="Z20">
        <v>106.8</v>
      </c>
      <c r="AA20">
        <v>106.4</v>
      </c>
      <c r="AB20">
        <v>107.8</v>
      </c>
      <c r="AC20">
        <v>102.5</v>
      </c>
      <c r="AD20">
        <v>106.5</v>
      </c>
      <c r="AE20">
        <v>110.7</v>
      </c>
      <c r="AF20" s="12">
        <f>AVERAGE(All_India_Index_Upto_April23__1___1[[#This Row],[Cereals and products]:[Pan, tobacco and intoxicants]])</f>
        <v>111.12142857142854</v>
      </c>
      <c r="AG20" s="12">
        <f>AVERAGE(All_India_Index_Upto_April23__1___1[[#This Row],[Household goods and services]],All_India_Index_Upto_April23__1___1[[#This Row],[Housing]])</f>
        <v>123.78548387096782</v>
      </c>
      <c r="AH20" s="12">
        <f>AVERAGE(All_India_Index_Upto_April23__1___1[[#This Row],[Miscellaneous]],All_India_Index_Upto_April23__1___1[[#This Row],[Personal care and effects]],All_India_Index_Upto_April23__1___1[[#This Row],[Education]],All_India_Index_Upto_April23__1___1[[#This Row],[Recreation and amusement]])</f>
        <v>105.80000000000001</v>
      </c>
      <c r="AI20" s="12">
        <f>SUM(All_India_Index_Upto_April23__1___1[[#This Row],[Cereals and products]:[Pan, tobacco and intoxicants]])</f>
        <v>1555.6999999999996</v>
      </c>
      <c r="AJ20" s="12">
        <f>SUM(All_India_Index_Upto_April23__1___1[[#This Row],[Household goods and services]],All_India_Index_Upto_April23__1___1[[#This Row],[Housing]])</f>
        <v>247.57096774193565</v>
      </c>
      <c r="AK20" s="12">
        <f>All_India_Index_Upto_April23__1___1[[#This Row],[Clothing]]+All_India_Index_Upto_April23__1___1[[#This Row],[Footwear]]</f>
        <v>220</v>
      </c>
      <c r="AL20" s="12">
        <f>All_India_Index_Upto_April23__1___1[[#This Row],[Miscellaneous]]+All_India_Index_Upto_April23__1___1[[#This Row],[Personal care and effects]]+All_India_Index_Upto_April23__1___1[[#This Row],[Education]]+All_India_Index_Upto_April23__1___1[[#This Row],[Recreation and amusement]]</f>
        <v>423.20000000000005</v>
      </c>
      <c r="AM2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2769.6709677419353</v>
      </c>
    </row>
    <row r="21" spans="1:39" hidden="1" x14ac:dyDescent="0.3">
      <c r="A21" t="s">
        <v>32</v>
      </c>
      <c r="B21">
        <v>2013</v>
      </c>
      <c r="C21" t="s">
        <v>39</v>
      </c>
      <c r="D21" t="str">
        <f t="shared" si="0"/>
        <v>Jul-13</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c r="AF21" s="12">
        <f>AVERAGE(All_India_Index_Upto_April23__1___1[[#This Row],[Cereals and products]:[Pan, tobacco and intoxicants]])</f>
        <v>114.36428571428573</v>
      </c>
      <c r="AG21" s="12">
        <f>AVERAGE(All_India_Index_Upto_April23__1___1[[#This Row],[Household goods and services]],All_India_Index_Upto_April23__1___1[[#This Row],[Housing]])</f>
        <v>107.9</v>
      </c>
      <c r="AH21" s="12">
        <f>AVERAGE(All_India_Index_Upto_April23__1___1[[#This Row],[Miscellaneous]],All_India_Index_Upto_April23__1___1[[#This Row],[Personal care and effects]],All_India_Index_Upto_April23__1___1[[#This Row],[Education]],All_India_Index_Upto_April23__1___1[[#This Row],[Recreation and amusement]])</f>
        <v>106.625</v>
      </c>
      <c r="AI21" s="12">
        <f>SUM(All_India_Index_Upto_April23__1___1[[#This Row],[Cereals and products]:[Pan, tobacco and intoxicants]])</f>
        <v>1601.1000000000001</v>
      </c>
      <c r="AJ21" s="12">
        <f>SUM(All_India_Index_Upto_April23__1___1[[#This Row],[Household goods and services]],All_India_Index_Upto_April23__1___1[[#This Row],[Housing]])</f>
        <v>215.8</v>
      </c>
      <c r="AK21" s="12">
        <f>All_India_Index_Upto_April23__1___1[[#This Row],[Clothing]]+All_India_Index_Upto_April23__1___1[[#This Row],[Footwear]]</f>
        <v>217.6</v>
      </c>
      <c r="AL21" s="12">
        <f>All_India_Index_Upto_April23__1___1[[#This Row],[Miscellaneous]]+All_India_Index_Upto_April23__1___1[[#This Row],[Personal care and effects]]+All_India_Index_Upto_April23__1___1[[#This Row],[Education]]+All_India_Index_Upto_April23__1___1[[#This Row],[Recreation and amusement]]</f>
        <v>426.5</v>
      </c>
      <c r="AM2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2784</v>
      </c>
    </row>
    <row r="22" spans="1:39" hidden="1" x14ac:dyDescent="0.3">
      <c r="A22" t="s">
        <v>33</v>
      </c>
      <c r="B22">
        <v>2013</v>
      </c>
      <c r="C22" t="s">
        <v>39</v>
      </c>
      <c r="D22" t="str">
        <f t="shared" si="0"/>
        <v>Jul-13</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c r="AF22" s="12">
        <f>AVERAGE(All_India_Index_Upto_April23__1___1[[#This Row],[Cereals and products]:[Pan, tobacco and intoxicants]])</f>
        <v>112.26428571428571</v>
      </c>
      <c r="AG22" s="12">
        <f>AVERAGE(All_India_Index_Upto_April23__1___1[[#This Row],[Household goods and services]],All_India_Index_Upto_April23__1___1[[#This Row],[Housing]])</f>
        <v>107.95</v>
      </c>
      <c r="AH22" s="12">
        <f>AVERAGE(All_India_Index_Upto_April23__1___1[[#This Row],[Miscellaneous]],All_India_Index_Upto_April23__1___1[[#This Row],[Personal care and effects]],All_India_Index_Upto_April23__1___1[[#This Row],[Education]],All_India_Index_Upto_April23__1___1[[#This Row],[Recreation and amusement]])</f>
        <v>106.22499999999999</v>
      </c>
      <c r="AI22" s="12">
        <f>SUM(All_India_Index_Upto_April23__1___1[[#This Row],[Cereals and products]:[Pan, tobacco and intoxicants]])</f>
        <v>1571.6999999999998</v>
      </c>
      <c r="AJ22" s="12">
        <f>SUM(All_India_Index_Upto_April23__1___1[[#This Row],[Household goods and services]],All_India_Index_Upto_April23__1___1[[#This Row],[Housing]])</f>
        <v>215.9</v>
      </c>
      <c r="AK22" s="12">
        <f>All_India_Index_Upto_April23__1___1[[#This Row],[Clothing]]+All_India_Index_Upto_April23__1___1[[#This Row],[Footwear]]</f>
        <v>219</v>
      </c>
      <c r="AL22" s="12">
        <f>All_India_Index_Upto_April23__1___1[[#This Row],[Miscellaneous]]+All_India_Index_Upto_April23__1___1[[#This Row],[Personal care and effects]]+All_India_Index_Upto_April23__1___1[[#This Row],[Education]]+All_India_Index_Upto_April23__1___1[[#This Row],[Recreation and amusement]]</f>
        <v>424.9</v>
      </c>
      <c r="AM2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2754.7999999999997</v>
      </c>
    </row>
    <row r="23" spans="1:39" hidden="1" x14ac:dyDescent="0.3">
      <c r="A23" t="s">
        <v>30</v>
      </c>
      <c r="B23">
        <v>2013</v>
      </c>
      <c r="C23" t="s">
        <v>40</v>
      </c>
      <c r="D23" t="str">
        <f t="shared" si="0"/>
        <v>Aug-13</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s="12">
        <f>'Handle Missing Value Sheet only'!$F$5</f>
        <v>139.27096774193564</v>
      </c>
      <c r="W23">
        <v>109.9</v>
      </c>
      <c r="X23">
        <v>108.7</v>
      </c>
      <c r="Y23">
        <v>107.5</v>
      </c>
      <c r="Z23">
        <v>107.8</v>
      </c>
      <c r="AA23">
        <v>106.8</v>
      </c>
      <c r="AB23">
        <v>108.7</v>
      </c>
      <c r="AC23">
        <v>105</v>
      </c>
      <c r="AD23">
        <v>107.5</v>
      </c>
      <c r="AE23">
        <v>112.1</v>
      </c>
      <c r="AF23" s="12">
        <f>AVERAGE(All_India_Index_Upto_April23__1___1[[#This Row],[Cereals and products]:[Pan, tobacco and intoxicants]])</f>
        <v>112.37142857142858</v>
      </c>
      <c r="AG23" s="12">
        <f>AVERAGE(All_India_Index_Upto_April23__1___1[[#This Row],[Household goods and services]],All_India_Index_Upto_April23__1___1[[#This Row],[Housing]])</f>
        <v>123.98548387096781</v>
      </c>
      <c r="AH23" s="12">
        <f>AVERAGE(All_India_Index_Upto_April23__1___1[[#This Row],[Miscellaneous]],All_India_Index_Upto_April23__1___1[[#This Row],[Personal care and effects]],All_India_Index_Upto_April23__1___1[[#This Row],[Education]],All_India_Index_Upto_April23__1___1[[#This Row],[Recreation and amusement]])</f>
        <v>107</v>
      </c>
      <c r="AI23" s="12">
        <f>SUM(All_India_Index_Upto_April23__1___1[[#This Row],[Cereals and products]:[Pan, tobacco and intoxicants]])</f>
        <v>1573.2</v>
      </c>
      <c r="AJ23" s="12">
        <f>SUM(All_India_Index_Upto_April23__1___1[[#This Row],[Household goods and services]],All_India_Index_Upto_April23__1___1[[#This Row],[Housing]])</f>
        <v>247.97096774193562</v>
      </c>
      <c r="AK23" s="12">
        <f>All_India_Index_Upto_April23__1___1[[#This Row],[Clothing]]+All_India_Index_Upto_April23__1___1[[#This Row],[Footwear]]</f>
        <v>221.5</v>
      </c>
      <c r="AL23" s="12">
        <f>All_India_Index_Upto_April23__1___1[[#This Row],[Miscellaneous]]+All_India_Index_Upto_April23__1___1[[#This Row],[Personal care and effects]]+All_India_Index_Upto_April23__1___1[[#This Row],[Education]]+All_India_Index_Upto_April23__1___1[[#This Row],[Recreation and amusement]]</f>
        <v>428</v>
      </c>
      <c r="AM2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2795.8709677419361</v>
      </c>
    </row>
    <row r="24" spans="1:39" hidden="1" x14ac:dyDescent="0.3">
      <c r="A24" t="s">
        <v>32</v>
      </c>
      <c r="B24">
        <v>2013</v>
      </c>
      <c r="C24" t="s">
        <v>40</v>
      </c>
      <c r="D24" t="str">
        <f t="shared" si="0"/>
        <v>Aug-13</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c r="AF24" s="12">
        <f>AVERAGE(All_India_Index_Upto_April23__1___1[[#This Row],[Cereals and products]:[Pan, tobacco and intoxicants]])</f>
        <v>115.60714285714288</v>
      </c>
      <c r="AG24" s="12">
        <f>AVERAGE(All_India_Index_Upto_April23__1___1[[#This Row],[Household goods and services]],All_India_Index_Upto_April23__1___1[[#This Row],[Housing]])</f>
        <v>108.80000000000001</v>
      </c>
      <c r="AH24" s="12">
        <f>AVERAGE(All_India_Index_Upto_April23__1___1[[#This Row],[Miscellaneous]],All_India_Index_Upto_April23__1___1[[#This Row],[Personal care and effects]],All_India_Index_Upto_April23__1___1[[#This Row],[Education]],All_India_Index_Upto_April23__1___1[[#This Row],[Recreation and amusement]])</f>
        <v>107.9</v>
      </c>
      <c r="AI24" s="12">
        <f>SUM(All_India_Index_Upto_April23__1___1[[#This Row],[Cereals and products]:[Pan, tobacco and intoxicants]])</f>
        <v>1618.5000000000002</v>
      </c>
      <c r="AJ24" s="12">
        <f>SUM(All_India_Index_Upto_April23__1___1[[#This Row],[Household goods and services]],All_India_Index_Upto_April23__1___1[[#This Row],[Housing]])</f>
        <v>217.60000000000002</v>
      </c>
      <c r="AK24" s="12">
        <f>All_India_Index_Upto_April23__1___1[[#This Row],[Clothing]]+All_India_Index_Upto_April23__1___1[[#This Row],[Footwear]]</f>
        <v>218.89999999999998</v>
      </c>
      <c r="AL24" s="12">
        <f>All_India_Index_Upto_April23__1___1[[#This Row],[Miscellaneous]]+All_India_Index_Upto_April23__1___1[[#This Row],[Personal care and effects]]+All_India_Index_Upto_April23__1___1[[#This Row],[Education]]+All_India_Index_Upto_April23__1___1[[#This Row],[Recreation and amusement]]</f>
        <v>431.6</v>
      </c>
      <c r="AM2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2811.6000000000004</v>
      </c>
    </row>
    <row r="25" spans="1:39" hidden="1" x14ac:dyDescent="0.3">
      <c r="A25" t="s">
        <v>33</v>
      </c>
      <c r="B25">
        <v>2013</v>
      </c>
      <c r="C25" t="s">
        <v>40</v>
      </c>
      <c r="D25" t="str">
        <f t="shared" si="0"/>
        <v>Aug-13</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c r="AF25" s="12">
        <f>AVERAGE(All_India_Index_Upto_April23__1___1[[#This Row],[Cereals and products]:[Pan, tobacco and intoxicants]])</f>
        <v>113.47142857142858</v>
      </c>
      <c r="AG25" s="12">
        <f>AVERAGE(All_India_Index_Upto_April23__1___1[[#This Row],[Household goods and services]],All_India_Index_Upto_April23__1___1[[#This Row],[Housing]])</f>
        <v>108.80000000000001</v>
      </c>
      <c r="AH25" s="12">
        <f>AVERAGE(All_India_Index_Upto_April23__1___1[[#This Row],[Miscellaneous]],All_India_Index_Upto_April23__1___1[[#This Row],[Personal care and effects]],All_India_Index_Upto_April23__1___1[[#This Row],[Education]],All_India_Index_Upto_April23__1___1[[#This Row],[Recreation and amusement]])</f>
        <v>107.45000000000002</v>
      </c>
      <c r="AI25" s="12">
        <f>SUM(All_India_Index_Upto_April23__1___1[[#This Row],[Cereals and products]:[Pan, tobacco and intoxicants]])</f>
        <v>1588.6000000000001</v>
      </c>
      <c r="AJ25" s="12">
        <f>SUM(All_India_Index_Upto_April23__1___1[[#This Row],[Household goods and services]],All_India_Index_Upto_April23__1___1[[#This Row],[Housing]])</f>
        <v>217.60000000000002</v>
      </c>
      <c r="AK25" s="12">
        <f>All_India_Index_Upto_April23__1___1[[#This Row],[Clothing]]+All_India_Index_Upto_April23__1___1[[#This Row],[Footwear]]</f>
        <v>220.4</v>
      </c>
      <c r="AL25" s="12">
        <f>All_India_Index_Upto_April23__1___1[[#This Row],[Miscellaneous]]+All_India_Index_Upto_April23__1___1[[#This Row],[Personal care and effects]]+All_India_Index_Upto_April23__1___1[[#This Row],[Education]]+All_India_Index_Upto_April23__1___1[[#This Row],[Recreation and amusement]]</f>
        <v>429.80000000000007</v>
      </c>
      <c r="AM2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2781.6</v>
      </c>
    </row>
    <row r="26" spans="1:39" hidden="1" x14ac:dyDescent="0.3">
      <c r="A26" t="s">
        <v>30</v>
      </c>
      <c r="B26">
        <v>2013</v>
      </c>
      <c r="C26" t="s">
        <v>41</v>
      </c>
      <c r="D26" t="str">
        <f t="shared" si="0"/>
        <v>Sep-13</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s="12">
        <f>'Handle Missing Value Sheet only'!$F$5</f>
        <v>139.27096774193564</v>
      </c>
      <c r="W26">
        <v>111.1</v>
      </c>
      <c r="X26">
        <v>109.6</v>
      </c>
      <c r="Y26">
        <v>108.3</v>
      </c>
      <c r="Z26">
        <v>109.3</v>
      </c>
      <c r="AA26">
        <v>107.7</v>
      </c>
      <c r="AB26">
        <v>109.8</v>
      </c>
      <c r="AC26">
        <v>106.7</v>
      </c>
      <c r="AD26">
        <v>108.7</v>
      </c>
      <c r="AE26">
        <v>114.2</v>
      </c>
      <c r="AF26" s="12">
        <f>AVERAGE(All_India_Index_Upto_April23__1___1[[#This Row],[Cereals and products]:[Pan, tobacco and intoxicants]])</f>
        <v>114.30000000000003</v>
      </c>
      <c r="AG26" s="12">
        <f>AVERAGE(All_India_Index_Upto_April23__1___1[[#This Row],[Household goods and services]],All_India_Index_Upto_April23__1___1[[#This Row],[Housing]])</f>
        <v>124.43548387096781</v>
      </c>
      <c r="AH26" s="12">
        <f>AVERAGE(All_India_Index_Upto_April23__1___1[[#This Row],[Miscellaneous]],All_India_Index_Upto_April23__1___1[[#This Row],[Personal care and effects]],All_India_Index_Upto_April23__1___1[[#This Row],[Education]],All_India_Index_Upto_April23__1___1[[#This Row],[Recreation and amusement]])</f>
        <v>108.22499999999999</v>
      </c>
      <c r="AI26" s="12">
        <f>SUM(All_India_Index_Upto_April23__1___1[[#This Row],[Cereals and products]:[Pan, tobacco and intoxicants]])</f>
        <v>1600.2000000000003</v>
      </c>
      <c r="AJ26" s="12">
        <f>SUM(All_India_Index_Upto_April23__1___1[[#This Row],[Household goods and services]],All_India_Index_Upto_April23__1___1[[#This Row],[Housing]])</f>
        <v>248.87096774193563</v>
      </c>
      <c r="AK26" s="12">
        <f>All_India_Index_Upto_April23__1___1[[#This Row],[Clothing]]+All_India_Index_Upto_April23__1___1[[#This Row],[Footwear]]</f>
        <v>224.10000000000002</v>
      </c>
      <c r="AL26" s="12">
        <f>All_India_Index_Upto_April23__1___1[[#This Row],[Miscellaneous]]+All_India_Index_Upto_April23__1___1[[#This Row],[Personal care and effects]]+All_India_Index_Upto_April23__1___1[[#This Row],[Education]]+All_India_Index_Upto_April23__1___1[[#This Row],[Recreation and amusement]]</f>
        <v>432.9</v>
      </c>
      <c r="AM2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2834.7709677419361</v>
      </c>
    </row>
    <row r="27" spans="1:39" hidden="1" x14ac:dyDescent="0.3">
      <c r="A27" t="s">
        <v>32</v>
      </c>
      <c r="B27">
        <v>2013</v>
      </c>
      <c r="C27" t="s">
        <v>41</v>
      </c>
      <c r="D27" t="str">
        <f t="shared" si="0"/>
        <v>Sep-13</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c r="AF27" s="12">
        <f>AVERAGE(All_India_Index_Upto_April23__1___1[[#This Row],[Cereals and products]:[Pan, tobacco and intoxicants]])</f>
        <v>115.23571428571429</v>
      </c>
      <c r="AG27" s="12">
        <f>AVERAGE(All_India_Index_Upto_April23__1___1[[#This Row],[Household goods and services]],All_India_Index_Upto_April23__1___1[[#This Row],[Housing]])</f>
        <v>109.65</v>
      </c>
      <c r="AH27" s="12">
        <f>AVERAGE(All_India_Index_Upto_April23__1___1[[#This Row],[Miscellaneous]],All_India_Index_Upto_April23__1___1[[#This Row],[Personal care and effects]],All_India_Index_Upto_April23__1___1[[#This Row],[Education]],All_India_Index_Upto_April23__1___1[[#This Row],[Recreation and amusement]])</f>
        <v>108.72499999999999</v>
      </c>
      <c r="AI27" s="12">
        <f>SUM(All_India_Index_Upto_April23__1___1[[#This Row],[Cereals and products]:[Pan, tobacco and intoxicants]])</f>
        <v>1613.3000000000002</v>
      </c>
      <c r="AJ27" s="12">
        <f>SUM(All_India_Index_Upto_April23__1___1[[#This Row],[Household goods and services]],All_India_Index_Upto_April23__1___1[[#This Row],[Housing]])</f>
        <v>219.3</v>
      </c>
      <c r="AK27" s="12">
        <f>All_India_Index_Upto_April23__1___1[[#This Row],[Clothing]]+All_India_Index_Upto_April23__1___1[[#This Row],[Footwear]]</f>
        <v>220.4</v>
      </c>
      <c r="AL27" s="12">
        <f>All_India_Index_Upto_April23__1___1[[#This Row],[Miscellaneous]]+All_India_Index_Upto_April23__1___1[[#This Row],[Personal care and effects]]+All_India_Index_Upto_April23__1___1[[#This Row],[Education]]+All_India_Index_Upto_April23__1___1[[#This Row],[Recreation and amusement]]</f>
        <v>434.9</v>
      </c>
      <c r="AM2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2815.7000000000003</v>
      </c>
    </row>
    <row r="28" spans="1:39" hidden="1" x14ac:dyDescent="0.3">
      <c r="A28" t="s">
        <v>33</v>
      </c>
      <c r="B28">
        <v>2013</v>
      </c>
      <c r="C28" t="s">
        <v>41</v>
      </c>
      <c r="D28" t="str">
        <f t="shared" si="0"/>
        <v>Sep-13</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c r="AF28" s="12">
        <f>AVERAGE(All_India_Index_Upto_April23__1___1[[#This Row],[Cereals and products]:[Pan, tobacco and intoxicants]])</f>
        <v>114.54999999999998</v>
      </c>
      <c r="AG28" s="12">
        <f>AVERAGE(All_India_Index_Upto_April23__1___1[[#This Row],[Household goods and services]],All_India_Index_Upto_April23__1___1[[#This Row],[Housing]])</f>
        <v>109.65</v>
      </c>
      <c r="AH28" s="12">
        <f>AVERAGE(All_India_Index_Upto_April23__1___1[[#This Row],[Miscellaneous]],All_India_Index_Upto_April23__1___1[[#This Row],[Personal care and effects]],All_India_Index_Upto_April23__1___1[[#This Row],[Education]],All_India_Index_Upto_April23__1___1[[#This Row],[Recreation and amusement]])</f>
        <v>108.47499999999999</v>
      </c>
      <c r="AI28" s="12">
        <f>SUM(All_India_Index_Upto_April23__1___1[[#This Row],[Cereals and products]:[Pan, tobacco and intoxicants]])</f>
        <v>1603.6999999999998</v>
      </c>
      <c r="AJ28" s="12">
        <f>SUM(All_India_Index_Upto_April23__1___1[[#This Row],[Household goods and services]],All_India_Index_Upto_April23__1___1[[#This Row],[Housing]])</f>
        <v>219.3</v>
      </c>
      <c r="AK28" s="12">
        <f>All_India_Index_Upto_April23__1___1[[#This Row],[Clothing]]+All_India_Index_Upto_April23__1___1[[#This Row],[Footwear]]</f>
        <v>222.60000000000002</v>
      </c>
      <c r="AL28" s="12">
        <f>All_India_Index_Upto_April23__1___1[[#This Row],[Miscellaneous]]+All_India_Index_Upto_April23__1___1[[#This Row],[Personal care and effects]]+All_India_Index_Upto_April23__1___1[[#This Row],[Education]]+All_India_Index_Upto_April23__1___1[[#This Row],[Recreation and amusement]]</f>
        <v>433.9</v>
      </c>
      <c r="AM2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2808</v>
      </c>
    </row>
    <row r="29" spans="1:39" hidden="1" x14ac:dyDescent="0.3">
      <c r="A29" t="s">
        <v>30</v>
      </c>
      <c r="B29">
        <v>2013</v>
      </c>
      <c r="C29" t="s">
        <v>42</v>
      </c>
      <c r="D29" t="str">
        <f t="shared" si="0"/>
        <v>Oct-13</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s="12">
        <f>'Handle Missing Value Sheet only'!$F$5</f>
        <v>139.27096774193564</v>
      </c>
      <c r="W29">
        <v>111.6</v>
      </c>
      <c r="X29">
        <v>110.4</v>
      </c>
      <c r="Y29">
        <v>108.9</v>
      </c>
      <c r="Z29">
        <v>109.3</v>
      </c>
      <c r="AA29">
        <v>108.3</v>
      </c>
      <c r="AB29">
        <v>110.2</v>
      </c>
      <c r="AC29">
        <v>107.5</v>
      </c>
      <c r="AD29">
        <v>109.1</v>
      </c>
      <c r="AE29">
        <v>115.5</v>
      </c>
      <c r="AF29" s="12">
        <f>AVERAGE(All_India_Index_Upto_April23__1___1[[#This Row],[Cereals and products]:[Pan, tobacco and intoxicants]])</f>
        <v>115.72857142857143</v>
      </c>
      <c r="AG29" s="12">
        <f>AVERAGE(All_India_Index_Upto_April23__1___1[[#This Row],[Household goods and services]],All_India_Index_Upto_April23__1___1[[#This Row],[Housing]])</f>
        <v>124.83548387096782</v>
      </c>
      <c r="AH29" s="12">
        <f>AVERAGE(All_India_Index_Upto_April23__1___1[[#This Row],[Miscellaneous]],All_India_Index_Upto_April23__1___1[[#This Row],[Personal care and effects]],All_India_Index_Upto_April23__1___1[[#This Row],[Education]],All_India_Index_Upto_April23__1___1[[#This Row],[Recreation and amusement]])</f>
        <v>108.77500000000001</v>
      </c>
      <c r="AI29" s="12">
        <f>SUM(All_India_Index_Upto_April23__1___1[[#This Row],[Cereals and products]:[Pan, tobacco and intoxicants]])</f>
        <v>1620.2</v>
      </c>
      <c r="AJ29" s="12">
        <f>SUM(All_India_Index_Upto_April23__1___1[[#This Row],[Household goods and services]],All_India_Index_Upto_April23__1___1[[#This Row],[Housing]])</f>
        <v>249.67096774193564</v>
      </c>
      <c r="AK29" s="12">
        <f>All_India_Index_Upto_April23__1___1[[#This Row],[Clothing]]+All_India_Index_Upto_April23__1___1[[#This Row],[Footwear]]</f>
        <v>225.89999999999998</v>
      </c>
      <c r="AL29" s="12">
        <f>All_India_Index_Upto_April23__1___1[[#This Row],[Miscellaneous]]+All_India_Index_Upto_April23__1___1[[#This Row],[Personal care and effects]]+All_India_Index_Upto_April23__1___1[[#This Row],[Education]]+All_India_Index_Upto_April23__1___1[[#This Row],[Recreation and amusement]]</f>
        <v>435.1</v>
      </c>
      <c r="AM2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2860.6709677419358</v>
      </c>
    </row>
    <row r="30" spans="1:39" hidden="1" x14ac:dyDescent="0.3">
      <c r="A30" t="s">
        <v>32</v>
      </c>
      <c r="B30">
        <v>2013</v>
      </c>
      <c r="C30" t="s">
        <v>42</v>
      </c>
      <c r="D30" t="str">
        <f t="shared" si="0"/>
        <v>Oct-13</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c r="AF30" s="12">
        <f>AVERAGE(All_India_Index_Upto_April23__1___1[[#This Row],[Cereals and products]:[Pan, tobacco and intoxicants]])</f>
        <v>116.47857142857141</v>
      </c>
      <c r="AG30" s="12">
        <f>AVERAGE(All_India_Index_Upto_April23__1___1[[#This Row],[Household goods and services]],All_India_Index_Upto_April23__1___1[[#This Row],[Housing]])</f>
        <v>110.35</v>
      </c>
      <c r="AH30" s="12">
        <f>AVERAGE(All_India_Index_Upto_April23__1___1[[#This Row],[Miscellaneous]],All_India_Index_Upto_April23__1___1[[#This Row],[Personal care and effects]],All_India_Index_Upto_April23__1___1[[#This Row],[Education]],All_India_Index_Upto_April23__1___1[[#This Row],[Recreation and amusement]])</f>
        <v>109</v>
      </c>
      <c r="AI30" s="12">
        <f>SUM(All_India_Index_Upto_April23__1___1[[#This Row],[Cereals and products]:[Pan, tobacco and intoxicants]])</f>
        <v>1630.6999999999998</v>
      </c>
      <c r="AJ30" s="12">
        <f>SUM(All_India_Index_Upto_April23__1___1[[#This Row],[Household goods and services]],All_India_Index_Upto_April23__1___1[[#This Row],[Housing]])</f>
        <v>220.7</v>
      </c>
      <c r="AK30" s="12">
        <f>All_India_Index_Upto_April23__1___1[[#This Row],[Clothing]]+All_India_Index_Upto_April23__1___1[[#This Row],[Footwear]]</f>
        <v>222.2</v>
      </c>
      <c r="AL30" s="12">
        <f>All_India_Index_Upto_April23__1___1[[#This Row],[Miscellaneous]]+All_India_Index_Upto_April23__1___1[[#This Row],[Personal care and effects]]+All_India_Index_Upto_April23__1___1[[#This Row],[Education]]+All_India_Index_Upto_April23__1___1[[#This Row],[Recreation and amusement]]</f>
        <v>436</v>
      </c>
      <c r="AM3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2837.1999999999994</v>
      </c>
    </row>
    <row r="31" spans="1:39" hidden="1" x14ac:dyDescent="0.3">
      <c r="A31" t="s">
        <v>33</v>
      </c>
      <c r="B31">
        <v>2013</v>
      </c>
      <c r="C31" t="s">
        <v>42</v>
      </c>
      <c r="D31" t="str">
        <f t="shared" si="0"/>
        <v>Oct-13</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c r="AF31" s="12">
        <f>AVERAGE(All_India_Index_Upto_April23__1___1[[#This Row],[Cereals and products]:[Pan, tobacco and intoxicants]])</f>
        <v>115.90714285714287</v>
      </c>
      <c r="AG31" s="12">
        <f>AVERAGE(All_India_Index_Upto_April23__1___1[[#This Row],[Household goods and services]],All_India_Index_Upto_April23__1___1[[#This Row],[Housing]])</f>
        <v>110.4</v>
      </c>
      <c r="AH31" s="12">
        <f>AVERAGE(All_India_Index_Upto_April23__1___1[[#This Row],[Miscellaneous]],All_India_Index_Upto_April23__1___1[[#This Row],[Personal care and effects]],All_India_Index_Upto_April23__1___1[[#This Row],[Education]],All_India_Index_Upto_April23__1___1[[#This Row],[Recreation and amusement]])</f>
        <v>108.875</v>
      </c>
      <c r="AI31" s="12">
        <f>SUM(All_India_Index_Upto_April23__1___1[[#This Row],[Cereals and products]:[Pan, tobacco and intoxicants]])</f>
        <v>1622.7000000000003</v>
      </c>
      <c r="AJ31" s="12">
        <f>SUM(All_India_Index_Upto_April23__1___1[[#This Row],[Household goods and services]],All_India_Index_Upto_April23__1___1[[#This Row],[Housing]])</f>
        <v>220.8</v>
      </c>
      <c r="AK31" s="12">
        <f>All_India_Index_Upto_April23__1___1[[#This Row],[Clothing]]+All_India_Index_Upto_April23__1___1[[#This Row],[Footwear]]</f>
        <v>224.4</v>
      </c>
      <c r="AL31" s="12">
        <f>All_India_Index_Upto_April23__1___1[[#This Row],[Miscellaneous]]+All_India_Index_Upto_April23__1___1[[#This Row],[Personal care and effects]]+All_India_Index_Upto_April23__1___1[[#This Row],[Education]]+All_India_Index_Upto_April23__1___1[[#This Row],[Recreation and amusement]]</f>
        <v>435.5</v>
      </c>
      <c r="AM3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2832.4000000000005</v>
      </c>
    </row>
    <row r="32" spans="1:39" hidden="1" x14ac:dyDescent="0.3">
      <c r="A32" t="s">
        <v>30</v>
      </c>
      <c r="B32">
        <v>2013</v>
      </c>
      <c r="C32" t="s">
        <v>43</v>
      </c>
      <c r="D32" t="str">
        <f t="shared" si="0"/>
        <v>Nov-13</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s="12">
        <f>'Handle Missing Value Sheet only'!$F$5</f>
        <v>139.27096774193564</v>
      </c>
      <c r="W32">
        <v>112.6</v>
      </c>
      <c r="X32">
        <v>111.3</v>
      </c>
      <c r="Y32">
        <v>109.7</v>
      </c>
      <c r="Z32">
        <v>109.6</v>
      </c>
      <c r="AA32">
        <v>108.7</v>
      </c>
      <c r="AB32">
        <v>111</v>
      </c>
      <c r="AC32">
        <v>108.2</v>
      </c>
      <c r="AD32">
        <v>109.8</v>
      </c>
      <c r="AE32">
        <v>117.4</v>
      </c>
      <c r="AF32" s="12">
        <f>AVERAGE(All_India_Index_Upto_April23__1___1[[#This Row],[Cereals and products]:[Pan, tobacco and intoxicants]])</f>
        <v>117.82857142857142</v>
      </c>
      <c r="AG32" s="12">
        <f>AVERAGE(All_India_Index_Upto_April23__1___1[[#This Row],[Household goods and services]],All_India_Index_Upto_April23__1___1[[#This Row],[Housing]])</f>
        <v>125.28548387096782</v>
      </c>
      <c r="AH32" s="12">
        <f>AVERAGE(All_India_Index_Upto_April23__1___1[[#This Row],[Miscellaneous]],All_India_Index_Upto_April23__1___1[[#This Row],[Personal care and effects]],All_India_Index_Upto_April23__1___1[[#This Row],[Education]],All_India_Index_Upto_April23__1___1[[#This Row],[Recreation and amusement]])</f>
        <v>109.425</v>
      </c>
      <c r="AI32" s="12">
        <f>SUM(All_India_Index_Upto_April23__1___1[[#This Row],[Cereals and products]:[Pan, tobacco and intoxicants]])</f>
        <v>1649.6</v>
      </c>
      <c r="AJ32" s="12">
        <f>SUM(All_India_Index_Upto_April23__1___1[[#This Row],[Household goods and services]],All_India_Index_Upto_April23__1___1[[#This Row],[Housing]])</f>
        <v>250.57096774193565</v>
      </c>
      <c r="AK32" s="12">
        <f>All_India_Index_Upto_April23__1___1[[#This Row],[Clothing]]+All_India_Index_Upto_April23__1___1[[#This Row],[Footwear]]</f>
        <v>227.7</v>
      </c>
      <c r="AL32" s="12">
        <f>All_India_Index_Upto_April23__1___1[[#This Row],[Miscellaneous]]+All_India_Index_Upto_April23__1___1[[#This Row],[Personal care and effects]]+All_India_Index_Upto_April23__1___1[[#This Row],[Education]]+All_India_Index_Upto_April23__1___1[[#This Row],[Recreation and amusement]]</f>
        <v>437.7</v>
      </c>
      <c r="AM3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2897.4709677419351</v>
      </c>
    </row>
    <row r="33" spans="1:39" hidden="1" x14ac:dyDescent="0.3">
      <c r="A33" t="s">
        <v>32</v>
      </c>
      <c r="B33">
        <v>2013</v>
      </c>
      <c r="C33" t="s">
        <v>44</v>
      </c>
      <c r="D33" t="str">
        <f t="shared" si="0"/>
        <v>Nov-13</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c r="AF33" s="12">
        <f>AVERAGE(All_India_Index_Upto_April23__1___1[[#This Row],[Cereals and products]:[Pan, tobacco and intoxicants]])</f>
        <v>118.47857142857141</v>
      </c>
      <c r="AG33" s="12">
        <f>AVERAGE(All_India_Index_Upto_April23__1___1[[#This Row],[Household goods and services]],All_India_Index_Upto_April23__1___1[[#This Row],[Housing]])</f>
        <v>111</v>
      </c>
      <c r="AH33" s="12">
        <f>AVERAGE(All_India_Index_Upto_April23__1___1[[#This Row],[Miscellaneous]],All_India_Index_Upto_April23__1___1[[#This Row],[Personal care and effects]],All_India_Index_Upto_April23__1___1[[#This Row],[Education]],All_India_Index_Upto_April23__1___1[[#This Row],[Recreation and amusement]])</f>
        <v>109.325</v>
      </c>
      <c r="AI33" s="12">
        <f>SUM(All_India_Index_Upto_April23__1___1[[#This Row],[Cereals and products]:[Pan, tobacco and intoxicants]])</f>
        <v>1658.6999999999998</v>
      </c>
      <c r="AJ33" s="12">
        <f>SUM(All_India_Index_Upto_April23__1___1[[#This Row],[Household goods and services]],All_India_Index_Upto_April23__1___1[[#This Row],[Housing]])</f>
        <v>222</v>
      </c>
      <c r="AK33" s="12">
        <f>All_India_Index_Upto_April23__1___1[[#This Row],[Clothing]]+All_India_Index_Upto_April23__1___1[[#This Row],[Footwear]]</f>
        <v>223.8</v>
      </c>
      <c r="AL33" s="12">
        <f>All_India_Index_Upto_April23__1___1[[#This Row],[Miscellaneous]]+All_India_Index_Upto_April23__1___1[[#This Row],[Personal care and effects]]+All_India_Index_Upto_April23__1___1[[#This Row],[Education]]+All_India_Index_Upto_April23__1___1[[#This Row],[Recreation and amusement]]</f>
        <v>437.3</v>
      </c>
      <c r="AM3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2869.8999999999996</v>
      </c>
    </row>
    <row r="34" spans="1:39" hidden="1" x14ac:dyDescent="0.3">
      <c r="A34" t="s">
        <v>33</v>
      </c>
      <c r="B34">
        <v>2013</v>
      </c>
      <c r="C34" t="s">
        <v>44</v>
      </c>
      <c r="D34" t="str">
        <f t="shared" si="0"/>
        <v>Nov-13</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c r="AF34" s="12">
        <f>AVERAGE(All_India_Index_Upto_April23__1___1[[#This Row],[Cereals and products]:[Pan, tobacco and intoxicants]])</f>
        <v>117.99285714285713</v>
      </c>
      <c r="AG34" s="12">
        <f>AVERAGE(All_India_Index_Upto_April23__1___1[[#This Row],[Household goods and services]],All_India_Index_Upto_April23__1___1[[#This Row],[Housing]])</f>
        <v>111.1</v>
      </c>
      <c r="AH34" s="12">
        <f>AVERAGE(All_India_Index_Upto_April23__1___1[[#This Row],[Miscellaneous]],All_India_Index_Upto_April23__1___1[[#This Row],[Personal care and effects]],All_India_Index_Upto_April23__1___1[[#This Row],[Education]],All_India_Index_Upto_April23__1___1[[#This Row],[Recreation and amusement]])</f>
        <v>109.4</v>
      </c>
      <c r="AI34" s="12">
        <f>SUM(All_India_Index_Upto_April23__1___1[[#This Row],[Cereals and products]:[Pan, tobacco and intoxicants]])</f>
        <v>1651.8999999999999</v>
      </c>
      <c r="AJ34" s="12">
        <f>SUM(All_India_Index_Upto_April23__1___1[[#This Row],[Household goods and services]],All_India_Index_Upto_April23__1___1[[#This Row],[Housing]])</f>
        <v>222.2</v>
      </c>
      <c r="AK34" s="12">
        <f>All_India_Index_Upto_April23__1___1[[#This Row],[Clothing]]+All_India_Index_Upto_April23__1___1[[#This Row],[Footwear]]</f>
        <v>226.10000000000002</v>
      </c>
      <c r="AL34" s="12">
        <f>All_India_Index_Upto_April23__1___1[[#This Row],[Miscellaneous]]+All_India_Index_Upto_April23__1___1[[#This Row],[Personal care and effects]]+All_India_Index_Upto_April23__1___1[[#This Row],[Education]]+All_India_Index_Upto_April23__1___1[[#This Row],[Recreation and amusement]]</f>
        <v>437.6</v>
      </c>
      <c r="AM3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2868.2000000000003</v>
      </c>
    </row>
    <row r="35" spans="1:39" hidden="1" x14ac:dyDescent="0.3">
      <c r="A35" t="s">
        <v>30</v>
      </c>
      <c r="B35">
        <v>2013</v>
      </c>
      <c r="C35" t="s">
        <v>45</v>
      </c>
      <c r="D35" t="str">
        <f t="shared" si="0"/>
        <v>Dec-13</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s="12">
        <f>'Handle Missing Value Sheet only'!$F$5</f>
        <v>139.27096774193564</v>
      </c>
      <c r="W35">
        <v>112.8</v>
      </c>
      <c r="X35">
        <v>112.1</v>
      </c>
      <c r="Y35">
        <v>110.1</v>
      </c>
      <c r="Z35">
        <v>109.9</v>
      </c>
      <c r="AA35">
        <v>109.2</v>
      </c>
      <c r="AB35">
        <v>111.6</v>
      </c>
      <c r="AC35">
        <v>108.1</v>
      </c>
      <c r="AD35">
        <v>110.1</v>
      </c>
      <c r="AE35">
        <v>115.5</v>
      </c>
      <c r="AF35" s="12">
        <f>AVERAGE(All_India_Index_Upto_April23__1___1[[#This Row],[Cereals and products]:[Pan, tobacco and intoxicants]])</f>
        <v>115.89999999999999</v>
      </c>
      <c r="AG35" s="12">
        <f>AVERAGE(All_India_Index_Upto_April23__1___1[[#This Row],[Household goods and services]],All_India_Index_Upto_April23__1___1[[#This Row],[Housing]])</f>
        <v>125.68548387096781</v>
      </c>
      <c r="AH35" s="12">
        <f>AVERAGE(All_India_Index_Upto_April23__1___1[[#This Row],[Miscellaneous]],All_India_Index_Upto_April23__1___1[[#This Row],[Personal care and effects]],All_India_Index_Upto_April23__1___1[[#This Row],[Education]],All_India_Index_Upto_April23__1___1[[#This Row],[Recreation and amusement]])</f>
        <v>109.74999999999999</v>
      </c>
      <c r="AI35" s="12">
        <f>SUM(All_India_Index_Upto_April23__1___1[[#This Row],[Cereals and products]:[Pan, tobacco and intoxicants]])</f>
        <v>1622.6</v>
      </c>
      <c r="AJ35" s="12">
        <f>SUM(All_India_Index_Upto_April23__1___1[[#This Row],[Household goods and services]],All_India_Index_Upto_April23__1___1[[#This Row],[Housing]])</f>
        <v>251.37096774193563</v>
      </c>
      <c r="AK35" s="12">
        <f>All_India_Index_Upto_April23__1___1[[#This Row],[Clothing]]+All_India_Index_Upto_April23__1___1[[#This Row],[Footwear]]</f>
        <v>229.8</v>
      </c>
      <c r="AL35" s="12">
        <f>All_India_Index_Upto_April23__1___1[[#This Row],[Miscellaneous]]+All_India_Index_Upto_April23__1___1[[#This Row],[Personal care and effects]]+All_India_Index_Upto_April23__1___1[[#This Row],[Education]]+All_India_Index_Upto_April23__1___1[[#This Row],[Recreation and amusement]]</f>
        <v>438.99999999999994</v>
      </c>
      <c r="AM3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2875.5709677419354</v>
      </c>
    </row>
    <row r="36" spans="1:39" hidden="1" x14ac:dyDescent="0.3">
      <c r="A36" t="s">
        <v>32</v>
      </c>
      <c r="B36">
        <v>2013</v>
      </c>
      <c r="C36" t="s">
        <v>45</v>
      </c>
      <c r="D36" t="str">
        <f t="shared" si="0"/>
        <v>Dec-13</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c r="AF36" s="12">
        <f>AVERAGE(All_India_Index_Upto_April23__1___1[[#This Row],[Cereals and products]:[Pan, tobacco and intoxicants]])</f>
        <v>115.67142857142858</v>
      </c>
      <c r="AG36" s="12">
        <f>AVERAGE(All_India_Index_Upto_April23__1___1[[#This Row],[Household goods and services]],All_India_Index_Upto_April23__1___1[[#This Row],[Housing]])</f>
        <v>111</v>
      </c>
      <c r="AH36" s="12">
        <f>AVERAGE(All_India_Index_Upto_April23__1___1[[#This Row],[Miscellaneous]],All_India_Index_Upto_April23__1___1[[#This Row],[Personal care and effects]],All_India_Index_Upto_April23__1___1[[#This Row],[Education]],All_India_Index_Upto_April23__1___1[[#This Row],[Recreation and amusement]])</f>
        <v>109.44999999999999</v>
      </c>
      <c r="AI36" s="12">
        <f>SUM(All_India_Index_Upto_April23__1___1[[#This Row],[Cereals and products]:[Pan, tobacco and intoxicants]])</f>
        <v>1619.4</v>
      </c>
      <c r="AJ36" s="12">
        <f>SUM(All_India_Index_Upto_April23__1___1[[#This Row],[Household goods and services]],All_India_Index_Upto_April23__1___1[[#This Row],[Housing]])</f>
        <v>222</v>
      </c>
      <c r="AK36" s="12">
        <f>All_India_Index_Upto_April23__1___1[[#This Row],[Clothing]]+All_India_Index_Upto_April23__1___1[[#This Row],[Footwear]]</f>
        <v>225.10000000000002</v>
      </c>
      <c r="AL36" s="12">
        <f>All_India_Index_Upto_April23__1___1[[#This Row],[Miscellaneous]]+All_India_Index_Upto_April23__1___1[[#This Row],[Personal care and effects]]+All_India_Index_Upto_April23__1___1[[#This Row],[Education]]+All_India_Index_Upto_April23__1___1[[#This Row],[Recreation and amusement]]</f>
        <v>437.79999999999995</v>
      </c>
      <c r="AM3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2833.4</v>
      </c>
    </row>
    <row r="37" spans="1:39" hidden="1" x14ac:dyDescent="0.3">
      <c r="A37" t="s">
        <v>33</v>
      </c>
      <c r="B37">
        <v>2013</v>
      </c>
      <c r="C37" t="s">
        <v>45</v>
      </c>
      <c r="D37" t="str">
        <f t="shared" si="0"/>
        <v>Dec-13</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c r="AF37" s="12">
        <f>AVERAGE(All_India_Index_Upto_April23__1___1[[#This Row],[Cereals and products]:[Pan, tobacco and intoxicants]])</f>
        <v>115.80714285714286</v>
      </c>
      <c r="AG37" s="12">
        <f>AVERAGE(All_India_Index_Upto_April23__1___1[[#This Row],[Household goods and services]],All_India_Index_Upto_April23__1___1[[#This Row],[Housing]])</f>
        <v>111.2</v>
      </c>
      <c r="AH37" s="12">
        <f>AVERAGE(All_India_Index_Upto_April23__1___1[[#This Row],[Miscellaneous]],All_India_Index_Upto_April23__1___1[[#This Row],[Personal care and effects]],All_India_Index_Upto_April23__1___1[[#This Row],[Education]],All_India_Index_Upto_April23__1___1[[#This Row],[Recreation and amusement]])</f>
        <v>109.6</v>
      </c>
      <c r="AI37" s="12">
        <f>SUM(All_India_Index_Upto_April23__1___1[[#This Row],[Cereals and products]:[Pan, tobacco and intoxicants]])</f>
        <v>1621.3000000000002</v>
      </c>
      <c r="AJ37" s="12">
        <f>SUM(All_India_Index_Upto_April23__1___1[[#This Row],[Household goods and services]],All_India_Index_Upto_April23__1___1[[#This Row],[Housing]])</f>
        <v>222.4</v>
      </c>
      <c r="AK37" s="12">
        <f>All_India_Index_Upto_April23__1___1[[#This Row],[Clothing]]+All_India_Index_Upto_April23__1___1[[#This Row],[Footwear]]</f>
        <v>227.9</v>
      </c>
      <c r="AL37" s="12">
        <f>All_India_Index_Upto_April23__1___1[[#This Row],[Miscellaneous]]+All_India_Index_Upto_April23__1___1[[#This Row],[Personal care and effects]]+All_India_Index_Upto_April23__1___1[[#This Row],[Education]]+All_India_Index_Upto_April23__1___1[[#This Row],[Recreation and amusement]]</f>
        <v>438.4</v>
      </c>
      <c r="AM3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2841.4</v>
      </c>
    </row>
    <row r="38" spans="1:39" hidden="1" x14ac:dyDescent="0.3">
      <c r="A38" t="s">
        <v>30</v>
      </c>
      <c r="B38">
        <v>2014</v>
      </c>
      <c r="C38" t="s">
        <v>31</v>
      </c>
      <c r="D38" t="str">
        <f t="shared" si="0"/>
        <v>Jan-14</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s="12">
        <f>'Handle Missing Value Sheet only'!$F$5</f>
        <v>139.27096774193564</v>
      </c>
      <c r="W38">
        <v>113</v>
      </c>
      <c r="X38">
        <v>112.6</v>
      </c>
      <c r="Y38">
        <v>110.6</v>
      </c>
      <c r="Z38">
        <v>110.5</v>
      </c>
      <c r="AA38">
        <v>109.6</v>
      </c>
      <c r="AB38">
        <v>111.8</v>
      </c>
      <c r="AC38">
        <v>108.3</v>
      </c>
      <c r="AD38">
        <v>110.6</v>
      </c>
      <c r="AE38">
        <v>114.2</v>
      </c>
      <c r="AF38" s="12">
        <f>AVERAGE(All_India_Index_Upto_April23__1___1[[#This Row],[Cereals and products]:[Pan, tobacco and intoxicants]])</f>
        <v>114.32857142857144</v>
      </c>
      <c r="AG38" s="12">
        <f>AVERAGE(All_India_Index_Upto_April23__1___1[[#This Row],[Household goods and services]],All_India_Index_Upto_April23__1___1[[#This Row],[Housing]])</f>
        <v>125.93548387096781</v>
      </c>
      <c r="AH38" s="12">
        <f>AVERAGE(All_India_Index_Upto_April23__1___1[[#This Row],[Miscellaneous]],All_India_Index_Upto_April23__1___1[[#This Row],[Personal care and effects]],All_India_Index_Upto_April23__1___1[[#This Row],[Education]],All_India_Index_Upto_April23__1___1[[#This Row],[Recreation and amusement]])</f>
        <v>110.07499999999999</v>
      </c>
      <c r="AI38" s="12">
        <f>SUM(All_India_Index_Upto_April23__1___1[[#This Row],[Cereals and products]:[Pan, tobacco and intoxicants]])</f>
        <v>1600.6000000000001</v>
      </c>
      <c r="AJ38" s="12">
        <f>SUM(All_India_Index_Upto_April23__1___1[[#This Row],[Household goods and services]],All_India_Index_Upto_April23__1___1[[#This Row],[Housing]])</f>
        <v>251.87096774193563</v>
      </c>
      <c r="AK38" s="12">
        <f>All_India_Index_Upto_April23__1___1[[#This Row],[Clothing]]+All_India_Index_Upto_April23__1___1[[#This Row],[Footwear]]</f>
        <v>231</v>
      </c>
      <c r="AL38" s="12">
        <f>All_India_Index_Upto_April23__1___1[[#This Row],[Miscellaneous]]+All_India_Index_Upto_April23__1___1[[#This Row],[Personal care and effects]]+All_India_Index_Upto_April23__1___1[[#This Row],[Education]]+All_India_Index_Upto_April23__1___1[[#This Row],[Recreation and amusement]]</f>
        <v>440.29999999999995</v>
      </c>
      <c r="AM3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2857.8709677419356</v>
      </c>
    </row>
    <row r="39" spans="1:39" hidden="1" x14ac:dyDescent="0.3">
      <c r="A39" t="s">
        <v>32</v>
      </c>
      <c r="B39">
        <v>2014</v>
      </c>
      <c r="C39" t="s">
        <v>31</v>
      </c>
      <c r="D39" t="str">
        <f t="shared" si="0"/>
        <v>Jan-14</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c r="AF39" s="12">
        <f>AVERAGE(All_India_Index_Upto_April23__1___1[[#This Row],[Cereals and products]:[Pan, tobacco and intoxicants]])</f>
        <v>114.28571428571429</v>
      </c>
      <c r="AG39" s="12">
        <f>AVERAGE(All_India_Index_Upto_April23__1___1[[#This Row],[Household goods and services]],All_India_Index_Upto_April23__1___1[[#This Row],[Housing]])</f>
        <v>111.75</v>
      </c>
      <c r="AH39" s="12">
        <f>AVERAGE(All_India_Index_Upto_April23__1___1[[#This Row],[Miscellaneous]],All_India_Index_Upto_April23__1___1[[#This Row],[Personal care and effects]],All_India_Index_Upto_April23__1___1[[#This Row],[Education]],All_India_Index_Upto_April23__1___1[[#This Row],[Recreation and amusement]])</f>
        <v>109.95</v>
      </c>
      <c r="AI39" s="12">
        <f>SUM(All_India_Index_Upto_April23__1___1[[#This Row],[Cereals and products]:[Pan, tobacco and intoxicants]])</f>
        <v>1600</v>
      </c>
      <c r="AJ39" s="12">
        <f>SUM(All_India_Index_Upto_April23__1___1[[#This Row],[Household goods and services]],All_India_Index_Upto_April23__1___1[[#This Row],[Housing]])</f>
        <v>223.5</v>
      </c>
      <c r="AK39" s="12">
        <f>All_India_Index_Upto_April23__1___1[[#This Row],[Clothing]]+All_India_Index_Upto_April23__1___1[[#This Row],[Footwear]]</f>
        <v>226.1</v>
      </c>
      <c r="AL39" s="12">
        <f>All_India_Index_Upto_April23__1___1[[#This Row],[Miscellaneous]]+All_India_Index_Upto_April23__1___1[[#This Row],[Personal care and effects]]+All_India_Index_Upto_April23__1___1[[#This Row],[Education]]+All_India_Index_Upto_April23__1___1[[#This Row],[Recreation and amusement]]</f>
        <v>439.8</v>
      </c>
      <c r="AM3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2820.9</v>
      </c>
    </row>
    <row r="40" spans="1:39" hidden="1" x14ac:dyDescent="0.3">
      <c r="A40" t="s">
        <v>33</v>
      </c>
      <c r="B40">
        <v>2014</v>
      </c>
      <c r="C40" t="s">
        <v>31</v>
      </c>
      <c r="D40" t="str">
        <f t="shared" si="0"/>
        <v>Jan-14</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c r="AF40" s="12">
        <f>AVERAGE(All_India_Index_Upto_April23__1___1[[#This Row],[Cereals and products]:[Pan, tobacco and intoxicants]])</f>
        <v>114.30714285714284</v>
      </c>
      <c r="AG40" s="12">
        <f>AVERAGE(All_India_Index_Upto_April23__1___1[[#This Row],[Household goods and services]],All_India_Index_Upto_April23__1___1[[#This Row],[Housing]])</f>
        <v>111.94999999999999</v>
      </c>
      <c r="AH40" s="12">
        <f>AVERAGE(All_India_Index_Upto_April23__1___1[[#This Row],[Miscellaneous]],All_India_Index_Upto_April23__1___1[[#This Row],[Personal care and effects]],All_India_Index_Upto_April23__1___1[[#This Row],[Education]],All_India_Index_Upto_April23__1___1[[#This Row],[Recreation and amusement]])</f>
        <v>110.02499999999999</v>
      </c>
      <c r="AI40" s="12">
        <f>SUM(All_India_Index_Upto_April23__1___1[[#This Row],[Cereals and products]:[Pan, tobacco and intoxicants]])</f>
        <v>1600.2999999999997</v>
      </c>
      <c r="AJ40" s="12">
        <f>SUM(All_India_Index_Upto_April23__1___1[[#This Row],[Household goods and services]],All_India_Index_Upto_April23__1___1[[#This Row],[Housing]])</f>
        <v>223.89999999999998</v>
      </c>
      <c r="AK40" s="12">
        <f>All_India_Index_Upto_April23__1___1[[#This Row],[Clothing]]+All_India_Index_Upto_April23__1___1[[#This Row],[Footwear]]</f>
        <v>229</v>
      </c>
      <c r="AL40" s="12">
        <f>All_India_Index_Upto_April23__1___1[[#This Row],[Miscellaneous]]+All_India_Index_Upto_April23__1___1[[#This Row],[Personal care and effects]]+All_India_Index_Upto_April23__1___1[[#This Row],[Education]]+All_India_Index_Upto_April23__1___1[[#This Row],[Recreation and amusement]]</f>
        <v>440.09999999999997</v>
      </c>
      <c r="AM4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2826.4999999999995</v>
      </c>
    </row>
    <row r="41" spans="1:39" hidden="1" x14ac:dyDescent="0.3">
      <c r="A41" t="s">
        <v>30</v>
      </c>
      <c r="B41">
        <v>2014</v>
      </c>
      <c r="C41" t="s">
        <v>34</v>
      </c>
      <c r="D41" t="str">
        <f t="shared" si="0"/>
        <v>Feb-14</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s="12">
        <f>'Handle Missing Value Sheet only'!$F$5</f>
        <v>139.27096774193564</v>
      </c>
      <c r="W41">
        <v>113.2</v>
      </c>
      <c r="X41">
        <v>112.9</v>
      </c>
      <c r="Y41">
        <v>110.9</v>
      </c>
      <c r="Z41">
        <v>110.8</v>
      </c>
      <c r="AA41">
        <v>109.9</v>
      </c>
      <c r="AB41">
        <v>112</v>
      </c>
      <c r="AC41">
        <v>108.7</v>
      </c>
      <c r="AD41">
        <v>110.9</v>
      </c>
      <c r="AE41">
        <v>114</v>
      </c>
      <c r="AF41" s="12">
        <f>AVERAGE(All_India_Index_Upto_April23__1___1[[#This Row],[Cereals and products]:[Pan, tobacco and intoxicants]])</f>
        <v>114.02857142857144</v>
      </c>
      <c r="AG41" s="12">
        <f>AVERAGE(All_India_Index_Upto_April23__1___1[[#This Row],[Household goods and services]],All_India_Index_Upto_April23__1___1[[#This Row],[Housing]])</f>
        <v>126.08548387096782</v>
      </c>
      <c r="AH41" s="12">
        <f>AVERAGE(All_India_Index_Upto_April23__1___1[[#This Row],[Miscellaneous]],All_India_Index_Upto_April23__1___1[[#This Row],[Personal care and effects]],All_India_Index_Upto_April23__1___1[[#This Row],[Education]],All_India_Index_Upto_April23__1___1[[#This Row],[Recreation and amusement]])</f>
        <v>110.375</v>
      </c>
      <c r="AI41" s="12">
        <f>SUM(All_India_Index_Upto_April23__1___1[[#This Row],[Cereals and products]:[Pan, tobacco and intoxicants]])</f>
        <v>1596.4</v>
      </c>
      <c r="AJ41" s="12">
        <f>SUM(All_India_Index_Upto_April23__1___1[[#This Row],[Household goods and services]],All_India_Index_Upto_April23__1___1[[#This Row],[Housing]])</f>
        <v>252.17096774193564</v>
      </c>
      <c r="AK41" s="12">
        <f>All_India_Index_Upto_April23__1___1[[#This Row],[Clothing]]+All_India_Index_Upto_April23__1___1[[#This Row],[Footwear]]</f>
        <v>231.6</v>
      </c>
      <c r="AL41" s="12">
        <f>All_India_Index_Upto_April23__1___1[[#This Row],[Miscellaneous]]+All_India_Index_Upto_April23__1___1[[#This Row],[Personal care and effects]]+All_India_Index_Upto_April23__1___1[[#This Row],[Education]]+All_India_Index_Upto_April23__1___1[[#This Row],[Recreation and amusement]]</f>
        <v>441.5</v>
      </c>
      <c r="AM4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2856.5709677419359</v>
      </c>
    </row>
    <row r="42" spans="1:39" hidden="1" x14ac:dyDescent="0.3">
      <c r="A42" t="s">
        <v>32</v>
      </c>
      <c r="B42">
        <v>2014</v>
      </c>
      <c r="C42" t="s">
        <v>34</v>
      </c>
      <c r="D42" t="str">
        <f t="shared" si="0"/>
        <v>Feb-14</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c r="AF42" s="12">
        <f>AVERAGE(All_India_Index_Upto_April23__1___1[[#This Row],[Cereals and products]:[Pan, tobacco and intoxicants]])</f>
        <v>113.72857142857143</v>
      </c>
      <c r="AG42" s="12">
        <f>AVERAGE(All_India_Index_Upto_April23__1___1[[#This Row],[Household goods and services]],All_India_Index_Upto_April23__1___1[[#This Row],[Housing]])</f>
        <v>112.55</v>
      </c>
      <c r="AH42" s="12">
        <f>AVERAGE(All_India_Index_Upto_April23__1___1[[#This Row],[Miscellaneous]],All_India_Index_Upto_April23__1___1[[#This Row],[Personal care and effects]],All_India_Index_Upto_April23__1___1[[#This Row],[Education]],All_India_Index_Upto_April23__1___1[[#This Row],[Recreation and amusement]])</f>
        <v>110.39999999999999</v>
      </c>
      <c r="AI42" s="12">
        <f>SUM(All_India_Index_Upto_April23__1___1[[#This Row],[Cereals and products]:[Pan, tobacco and intoxicants]])</f>
        <v>1592.2</v>
      </c>
      <c r="AJ42" s="12">
        <f>SUM(All_India_Index_Upto_April23__1___1[[#This Row],[Household goods and services]],All_India_Index_Upto_April23__1___1[[#This Row],[Housing]])</f>
        <v>225.1</v>
      </c>
      <c r="AK42" s="12">
        <f>All_India_Index_Upto_April23__1___1[[#This Row],[Clothing]]+All_India_Index_Upto_April23__1___1[[#This Row],[Footwear]]</f>
        <v>227</v>
      </c>
      <c r="AL42" s="12">
        <f>All_India_Index_Upto_April23__1___1[[#This Row],[Miscellaneous]]+All_India_Index_Upto_April23__1___1[[#This Row],[Personal care and effects]]+All_India_Index_Upto_April23__1___1[[#This Row],[Education]]+All_India_Index_Upto_April23__1___1[[#This Row],[Recreation and amusement]]</f>
        <v>441.59999999999997</v>
      </c>
      <c r="AM4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2818.7000000000003</v>
      </c>
    </row>
    <row r="43" spans="1:39" hidden="1" x14ac:dyDescent="0.3">
      <c r="A43" t="s">
        <v>33</v>
      </c>
      <c r="B43">
        <v>2014</v>
      </c>
      <c r="C43" t="s">
        <v>34</v>
      </c>
      <c r="D43" t="str">
        <f t="shared" si="0"/>
        <v>Feb-14</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c r="AF43" s="12">
        <f>AVERAGE(All_India_Index_Upto_April23__1___1[[#This Row],[Cereals and products]:[Pan, tobacco and intoxicants]])</f>
        <v>113.91428571428571</v>
      </c>
      <c r="AG43" s="12">
        <f>AVERAGE(All_India_Index_Upto_April23__1___1[[#This Row],[Household goods and services]],All_India_Index_Upto_April23__1___1[[#This Row],[Housing]])</f>
        <v>112.65</v>
      </c>
      <c r="AH43" s="12">
        <f>AVERAGE(All_India_Index_Upto_April23__1___1[[#This Row],[Miscellaneous]],All_India_Index_Upto_April23__1___1[[#This Row],[Personal care and effects]],All_India_Index_Upto_April23__1___1[[#This Row],[Education]],All_India_Index_Upto_April23__1___1[[#This Row],[Recreation and amusement]])</f>
        <v>110.375</v>
      </c>
      <c r="AI43" s="12">
        <f>SUM(All_India_Index_Upto_April23__1___1[[#This Row],[Cereals and products]:[Pan, tobacco and intoxicants]])</f>
        <v>1594.8</v>
      </c>
      <c r="AJ43" s="12">
        <f>SUM(All_India_Index_Upto_April23__1___1[[#This Row],[Household goods and services]],All_India_Index_Upto_April23__1___1[[#This Row],[Housing]])</f>
        <v>225.3</v>
      </c>
      <c r="AK43" s="12">
        <f>All_India_Index_Upto_April23__1___1[[#This Row],[Clothing]]+All_India_Index_Upto_April23__1___1[[#This Row],[Footwear]]</f>
        <v>229.7</v>
      </c>
      <c r="AL43" s="12">
        <f>All_India_Index_Upto_April23__1___1[[#This Row],[Miscellaneous]]+All_India_Index_Upto_April23__1___1[[#This Row],[Personal care and effects]]+All_India_Index_Upto_April23__1___1[[#This Row],[Education]]+All_India_Index_Upto_April23__1___1[[#This Row],[Recreation and amusement]]</f>
        <v>441.5</v>
      </c>
      <c r="AM4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2825.5</v>
      </c>
    </row>
    <row r="44" spans="1:39" hidden="1" x14ac:dyDescent="0.3">
      <c r="A44" t="s">
        <v>30</v>
      </c>
      <c r="B44">
        <v>2014</v>
      </c>
      <c r="C44" t="s">
        <v>35</v>
      </c>
      <c r="D44" t="str">
        <f t="shared" si="0"/>
        <v>Mar-14</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s="12">
        <f>'Handle Missing Value Sheet only'!$F$5</f>
        <v>139.27096774193564</v>
      </c>
      <c r="W44">
        <v>113.4</v>
      </c>
      <c r="X44">
        <v>113.4</v>
      </c>
      <c r="Y44">
        <v>111.4</v>
      </c>
      <c r="Z44">
        <v>111.2</v>
      </c>
      <c r="AA44">
        <v>110.2</v>
      </c>
      <c r="AB44">
        <v>112.4</v>
      </c>
      <c r="AC44">
        <v>108.9</v>
      </c>
      <c r="AD44">
        <v>111.3</v>
      </c>
      <c r="AE44">
        <v>114.6</v>
      </c>
      <c r="AF44" s="12">
        <f>AVERAGE(All_India_Index_Upto_April23__1___1[[#This Row],[Cereals and products]:[Pan, tobacco and intoxicants]])</f>
        <v>114.71428571428571</v>
      </c>
      <c r="AG44" s="12">
        <f>AVERAGE(All_India_Index_Upto_April23__1___1[[#This Row],[Household goods and services]],All_India_Index_Upto_April23__1___1[[#This Row],[Housing]])</f>
        <v>126.33548387096782</v>
      </c>
      <c r="AH44" s="12">
        <f>AVERAGE(All_India_Index_Upto_April23__1___1[[#This Row],[Miscellaneous]],All_India_Index_Upto_April23__1___1[[#This Row],[Personal care and effects]],All_India_Index_Upto_April23__1___1[[#This Row],[Education]],All_India_Index_Upto_April23__1___1[[#This Row],[Recreation and amusement]])</f>
        <v>110.7</v>
      </c>
      <c r="AI44" s="12">
        <f>SUM(All_India_Index_Upto_April23__1___1[[#This Row],[Cereals and products]:[Pan, tobacco and intoxicants]])</f>
        <v>1606</v>
      </c>
      <c r="AJ44" s="12">
        <f>SUM(All_India_Index_Upto_April23__1___1[[#This Row],[Household goods and services]],All_India_Index_Upto_April23__1___1[[#This Row],[Housing]])</f>
        <v>252.67096774193564</v>
      </c>
      <c r="AK44" s="12">
        <f>All_India_Index_Upto_April23__1___1[[#This Row],[Clothing]]+All_India_Index_Upto_April23__1___1[[#This Row],[Footwear]]</f>
        <v>232.4</v>
      </c>
      <c r="AL44" s="12">
        <f>All_India_Index_Upto_April23__1___1[[#This Row],[Miscellaneous]]+All_India_Index_Upto_April23__1___1[[#This Row],[Personal care and effects]]+All_India_Index_Upto_April23__1___1[[#This Row],[Education]]+All_India_Index_Upto_April23__1___1[[#This Row],[Recreation and amusement]]</f>
        <v>442.8</v>
      </c>
      <c r="AM4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2869.8709677419356</v>
      </c>
    </row>
    <row r="45" spans="1:39" hidden="1" x14ac:dyDescent="0.3">
      <c r="A45" t="s">
        <v>32</v>
      </c>
      <c r="B45">
        <v>2014</v>
      </c>
      <c r="C45" t="s">
        <v>35</v>
      </c>
      <c r="D45" t="str">
        <f t="shared" si="0"/>
        <v>Mar-14</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c r="AF45" s="12">
        <f>AVERAGE(All_India_Index_Upto_April23__1___1[[#This Row],[Cereals and products]:[Pan, tobacco and intoxicants]])</f>
        <v>114.26428571428572</v>
      </c>
      <c r="AG45" s="12">
        <f>AVERAGE(All_India_Index_Upto_April23__1___1[[#This Row],[Household goods and services]],All_India_Index_Upto_April23__1___1[[#This Row],[Housing]])</f>
        <v>113.1</v>
      </c>
      <c r="AH45" s="12">
        <f>AVERAGE(All_India_Index_Upto_April23__1___1[[#This Row],[Miscellaneous]],All_India_Index_Upto_April23__1___1[[#This Row],[Personal care and effects]],All_India_Index_Upto_April23__1___1[[#This Row],[Education]],All_India_Index_Upto_April23__1___1[[#This Row],[Recreation and amusement]])</f>
        <v>110.82500000000002</v>
      </c>
      <c r="AI45" s="12">
        <f>SUM(All_India_Index_Upto_April23__1___1[[#This Row],[Cereals and products]:[Pan, tobacco and intoxicants]])</f>
        <v>1599.7</v>
      </c>
      <c r="AJ45" s="12">
        <f>SUM(All_India_Index_Upto_April23__1___1[[#This Row],[Household goods and services]],All_India_Index_Upto_April23__1___1[[#This Row],[Housing]])</f>
        <v>226.2</v>
      </c>
      <c r="AK45" s="12">
        <f>All_India_Index_Upto_April23__1___1[[#This Row],[Clothing]]+All_India_Index_Upto_April23__1___1[[#This Row],[Footwear]]</f>
        <v>227.89999999999998</v>
      </c>
      <c r="AL45" s="12">
        <f>All_India_Index_Upto_April23__1___1[[#This Row],[Miscellaneous]]+All_India_Index_Upto_April23__1___1[[#This Row],[Personal care and effects]]+All_India_Index_Upto_April23__1___1[[#This Row],[Education]]+All_India_Index_Upto_April23__1___1[[#This Row],[Recreation and amusement]]</f>
        <v>443.30000000000007</v>
      </c>
      <c r="AM4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2830.4000000000005</v>
      </c>
    </row>
    <row r="46" spans="1:39" hidden="1" x14ac:dyDescent="0.3">
      <c r="A46" t="s">
        <v>33</v>
      </c>
      <c r="B46">
        <v>2014</v>
      </c>
      <c r="C46" t="s">
        <v>46</v>
      </c>
      <c r="D46" t="e">
        <f t="shared" si="0"/>
        <v>#VALUE!</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c r="AF46" s="12">
        <f>AVERAGE(All_India_Index_Upto_April23__1___1[[#This Row],[Cereals and products]:[Pan, tobacco and intoxicants]])</f>
        <v>114.53571428571426</v>
      </c>
      <c r="AG46" s="12">
        <f>AVERAGE(All_India_Index_Upto_April23__1___1[[#This Row],[Household goods and services]],All_India_Index_Upto_April23__1___1[[#This Row],[Housing]])</f>
        <v>113.2</v>
      </c>
      <c r="AH46" s="12">
        <f>AVERAGE(All_India_Index_Upto_April23__1___1[[#This Row],[Miscellaneous]],All_India_Index_Upto_April23__1___1[[#This Row],[Personal care and effects]],All_India_Index_Upto_April23__1___1[[#This Row],[Education]],All_India_Index_Upto_April23__1___1[[#This Row],[Recreation and amusement]])</f>
        <v>110.72499999999999</v>
      </c>
      <c r="AI46" s="12">
        <f>SUM(All_India_Index_Upto_April23__1___1[[#This Row],[Cereals and products]:[Pan, tobacco and intoxicants]])</f>
        <v>1603.4999999999998</v>
      </c>
      <c r="AJ46" s="12">
        <f>SUM(All_India_Index_Upto_April23__1___1[[#This Row],[Household goods and services]],All_India_Index_Upto_April23__1___1[[#This Row],[Housing]])</f>
        <v>226.4</v>
      </c>
      <c r="AK46" s="12">
        <f>All_India_Index_Upto_April23__1___1[[#This Row],[Clothing]]+All_India_Index_Upto_April23__1___1[[#This Row],[Footwear]]</f>
        <v>230.5</v>
      </c>
      <c r="AL46" s="12">
        <f>All_India_Index_Upto_April23__1___1[[#This Row],[Miscellaneous]]+All_India_Index_Upto_April23__1___1[[#This Row],[Personal care and effects]]+All_India_Index_Upto_April23__1___1[[#This Row],[Education]]+All_India_Index_Upto_April23__1___1[[#This Row],[Recreation and amusement]]</f>
        <v>442.9</v>
      </c>
      <c r="AM4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2838.3999999999996</v>
      </c>
    </row>
    <row r="47" spans="1:39" hidden="1" x14ac:dyDescent="0.3">
      <c r="A47" t="s">
        <v>30</v>
      </c>
      <c r="B47">
        <v>2014</v>
      </c>
      <c r="C47" t="s">
        <v>36</v>
      </c>
      <c r="D47" t="str">
        <f t="shared" si="0"/>
        <v>Apr-14</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s="12">
        <f>'Handle Missing Value Sheet only'!$F$5</f>
        <v>139.27096774193564</v>
      </c>
      <c r="W47">
        <v>113.4</v>
      </c>
      <c r="X47">
        <v>113.7</v>
      </c>
      <c r="Y47">
        <v>111.8</v>
      </c>
      <c r="Z47">
        <v>111.2</v>
      </c>
      <c r="AA47">
        <v>110.5</v>
      </c>
      <c r="AB47">
        <v>113</v>
      </c>
      <c r="AC47">
        <v>108.9</v>
      </c>
      <c r="AD47">
        <v>111.5</v>
      </c>
      <c r="AE47">
        <v>115.4</v>
      </c>
      <c r="AF47" s="12">
        <f>AVERAGE(All_India_Index_Upto_April23__1___1[[#This Row],[Cereals and products]:[Pan, tobacco and intoxicants]])</f>
        <v>115.67857142857144</v>
      </c>
      <c r="AG47" s="12">
        <f>AVERAGE(All_India_Index_Upto_April23__1___1[[#This Row],[Household goods and services]],All_India_Index_Upto_April23__1___1[[#This Row],[Housing]])</f>
        <v>126.48548387096781</v>
      </c>
      <c r="AH47" s="12">
        <f>AVERAGE(All_India_Index_Upto_April23__1___1[[#This Row],[Miscellaneous]],All_India_Index_Upto_April23__1___1[[#This Row],[Personal care and effects]],All_India_Index_Upto_April23__1___1[[#This Row],[Education]],All_India_Index_Upto_April23__1___1[[#This Row],[Recreation and amusement]])</f>
        <v>110.97499999999999</v>
      </c>
      <c r="AI47" s="12">
        <f>SUM(All_India_Index_Upto_April23__1___1[[#This Row],[Cereals and products]:[Pan, tobacco and intoxicants]])</f>
        <v>1619.5000000000002</v>
      </c>
      <c r="AJ47" s="12">
        <f>SUM(All_India_Index_Upto_April23__1___1[[#This Row],[Household goods and services]],All_India_Index_Upto_April23__1___1[[#This Row],[Housing]])</f>
        <v>252.97096774193562</v>
      </c>
      <c r="AK47" s="12">
        <f>All_India_Index_Upto_April23__1___1[[#This Row],[Clothing]]+All_India_Index_Upto_April23__1___1[[#This Row],[Footwear]]</f>
        <v>234.2</v>
      </c>
      <c r="AL47" s="12">
        <f>All_India_Index_Upto_April23__1___1[[#This Row],[Miscellaneous]]+All_India_Index_Upto_April23__1___1[[#This Row],[Personal care and effects]]+All_India_Index_Upto_April23__1___1[[#This Row],[Education]]+All_India_Index_Upto_April23__1___1[[#This Row],[Recreation and amusement]]</f>
        <v>443.9</v>
      </c>
      <c r="AM4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2886.970967741936</v>
      </c>
    </row>
    <row r="48" spans="1:39" hidden="1" x14ac:dyDescent="0.3">
      <c r="A48" t="s">
        <v>32</v>
      </c>
      <c r="B48">
        <v>2014</v>
      </c>
      <c r="C48" t="s">
        <v>36</v>
      </c>
      <c r="D48" t="str">
        <f t="shared" si="0"/>
        <v>Apr-14</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c r="AF48" s="12">
        <f>AVERAGE(All_India_Index_Upto_April23__1___1[[#This Row],[Cereals and products]:[Pan, tobacco and intoxicants]])</f>
        <v>115.82857142857144</v>
      </c>
      <c r="AG48" s="12">
        <f>AVERAGE(All_India_Index_Upto_April23__1___1[[#This Row],[Household goods and services]],All_India_Index_Upto_April23__1___1[[#This Row],[Housing]])</f>
        <v>113.65</v>
      </c>
      <c r="AH48" s="12">
        <f>AVERAGE(All_India_Index_Upto_April23__1___1[[#This Row],[Miscellaneous]],All_India_Index_Upto_April23__1___1[[#This Row],[Personal care and effects]],All_India_Index_Upto_April23__1___1[[#This Row],[Education]],All_India_Index_Upto_April23__1___1[[#This Row],[Recreation and amusement]])</f>
        <v>111.05</v>
      </c>
      <c r="AI48" s="12">
        <f>SUM(All_India_Index_Upto_April23__1___1[[#This Row],[Cereals and products]:[Pan, tobacco and intoxicants]])</f>
        <v>1621.6000000000001</v>
      </c>
      <c r="AJ48" s="12">
        <f>SUM(All_India_Index_Upto_April23__1___1[[#This Row],[Household goods and services]],All_India_Index_Upto_April23__1___1[[#This Row],[Housing]])</f>
        <v>227.3</v>
      </c>
      <c r="AK48" s="12">
        <f>All_India_Index_Upto_April23__1___1[[#This Row],[Clothing]]+All_India_Index_Upto_April23__1___1[[#This Row],[Footwear]]</f>
        <v>228.8</v>
      </c>
      <c r="AL48" s="12">
        <f>All_India_Index_Upto_April23__1___1[[#This Row],[Miscellaneous]]+All_India_Index_Upto_April23__1___1[[#This Row],[Personal care and effects]]+All_India_Index_Upto_April23__1___1[[#This Row],[Education]]+All_India_Index_Upto_April23__1___1[[#This Row],[Recreation and amusement]]</f>
        <v>444.2</v>
      </c>
      <c r="AM4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2855</v>
      </c>
    </row>
    <row r="49" spans="1:39" hidden="1" x14ac:dyDescent="0.3">
      <c r="A49" t="s">
        <v>33</v>
      </c>
      <c r="B49">
        <v>2014</v>
      </c>
      <c r="C49" t="s">
        <v>36</v>
      </c>
      <c r="D49" t="str">
        <f t="shared" si="0"/>
        <v>Apr-14</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c r="AF49" s="12">
        <f>AVERAGE(All_India_Index_Upto_April23__1___1[[#This Row],[Cereals and products]:[Pan, tobacco and intoxicants]])</f>
        <v>115.72142857142856</v>
      </c>
      <c r="AG49" s="12">
        <f>AVERAGE(All_India_Index_Upto_April23__1___1[[#This Row],[Household goods and services]],All_India_Index_Upto_April23__1___1[[#This Row],[Housing]])</f>
        <v>113.75</v>
      </c>
      <c r="AH49" s="12">
        <f>AVERAGE(All_India_Index_Upto_April23__1___1[[#This Row],[Miscellaneous]],All_India_Index_Upto_April23__1___1[[#This Row],[Personal care and effects]],All_India_Index_Upto_April23__1___1[[#This Row],[Education]],All_India_Index_Upto_April23__1___1[[#This Row],[Recreation and amusement]])</f>
        <v>111.02500000000001</v>
      </c>
      <c r="AI49" s="12">
        <f>SUM(All_India_Index_Upto_April23__1___1[[#This Row],[Cereals and products]:[Pan, tobacco and intoxicants]])</f>
        <v>1620.1</v>
      </c>
      <c r="AJ49" s="12">
        <f>SUM(All_India_Index_Upto_April23__1___1[[#This Row],[Household goods and services]],All_India_Index_Upto_April23__1___1[[#This Row],[Housing]])</f>
        <v>227.5</v>
      </c>
      <c r="AK49" s="12">
        <f>All_India_Index_Upto_April23__1___1[[#This Row],[Clothing]]+All_India_Index_Upto_April23__1___1[[#This Row],[Footwear]]</f>
        <v>232</v>
      </c>
      <c r="AL49" s="12">
        <f>All_India_Index_Upto_April23__1___1[[#This Row],[Miscellaneous]]+All_India_Index_Upto_April23__1___1[[#This Row],[Personal care and effects]]+All_India_Index_Upto_April23__1___1[[#This Row],[Education]]+All_India_Index_Upto_April23__1___1[[#This Row],[Recreation and amusement]]</f>
        <v>444.1</v>
      </c>
      <c r="AM4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2858.8999999999996</v>
      </c>
    </row>
    <row r="50" spans="1:39" hidden="1" x14ac:dyDescent="0.3">
      <c r="A50" t="s">
        <v>30</v>
      </c>
      <c r="B50">
        <v>2014</v>
      </c>
      <c r="C50" t="s">
        <v>37</v>
      </c>
      <c r="D50" t="str">
        <f t="shared" si="0"/>
        <v>May-14</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s="12">
        <f>'Handle Missing Value Sheet only'!$F$5</f>
        <v>139.27096774193564</v>
      </c>
      <c r="W50">
        <v>113.4</v>
      </c>
      <c r="X50">
        <v>114.1</v>
      </c>
      <c r="Y50">
        <v>112.1</v>
      </c>
      <c r="Z50">
        <v>111.4</v>
      </c>
      <c r="AA50">
        <v>110.9</v>
      </c>
      <c r="AB50">
        <v>113.1</v>
      </c>
      <c r="AC50">
        <v>108.9</v>
      </c>
      <c r="AD50">
        <v>111.8</v>
      </c>
      <c r="AE50">
        <v>116</v>
      </c>
      <c r="AF50" s="12">
        <f>AVERAGE(All_India_Index_Upto_April23__1___1[[#This Row],[Cereals and products]:[Pan, tobacco and intoxicants]])</f>
        <v>116.44285714285714</v>
      </c>
      <c r="AG50" s="12">
        <f>AVERAGE(All_India_Index_Upto_April23__1___1[[#This Row],[Household goods and services]],All_India_Index_Upto_April23__1___1[[#This Row],[Housing]])</f>
        <v>126.68548387096781</v>
      </c>
      <c r="AH50" s="12">
        <f>AVERAGE(All_India_Index_Upto_April23__1___1[[#This Row],[Miscellaneous]],All_India_Index_Upto_April23__1___1[[#This Row],[Personal care and effects]],All_India_Index_Upto_April23__1___1[[#This Row],[Education]],All_India_Index_Upto_April23__1___1[[#This Row],[Recreation and amusement]])</f>
        <v>111.17499999999998</v>
      </c>
      <c r="AI50" s="12">
        <f>SUM(All_India_Index_Upto_April23__1___1[[#This Row],[Cereals and products]:[Pan, tobacco and intoxicants]])</f>
        <v>1630.1999999999998</v>
      </c>
      <c r="AJ50" s="12">
        <f>SUM(All_India_Index_Upto_April23__1___1[[#This Row],[Household goods and services]],All_India_Index_Upto_April23__1___1[[#This Row],[Housing]])</f>
        <v>253.37096774193563</v>
      </c>
      <c r="AK50" s="12">
        <f>All_India_Index_Upto_April23__1___1[[#This Row],[Clothing]]+All_India_Index_Upto_April23__1___1[[#This Row],[Footwear]]</f>
        <v>235.5</v>
      </c>
      <c r="AL50" s="12">
        <f>All_India_Index_Upto_April23__1___1[[#This Row],[Miscellaneous]]+All_India_Index_Upto_April23__1___1[[#This Row],[Personal care and effects]]+All_India_Index_Upto_April23__1___1[[#This Row],[Education]]+All_India_Index_Upto_April23__1___1[[#This Row],[Recreation and amusement]]</f>
        <v>444.69999999999993</v>
      </c>
      <c r="AM5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2900.6709677419353</v>
      </c>
    </row>
    <row r="51" spans="1:39" hidden="1" x14ac:dyDescent="0.3">
      <c r="A51" t="s">
        <v>32</v>
      </c>
      <c r="B51">
        <v>2014</v>
      </c>
      <c r="C51" t="s">
        <v>37</v>
      </c>
      <c r="D51" t="str">
        <f t="shared" si="0"/>
        <v>May-14</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c r="AF51" s="12">
        <f>AVERAGE(All_India_Index_Upto_April23__1___1[[#This Row],[Cereals and products]:[Pan, tobacco and intoxicants]])</f>
        <v>117.4</v>
      </c>
      <c r="AG51" s="12">
        <f>AVERAGE(All_India_Index_Upto_April23__1___1[[#This Row],[Household goods and services]],All_India_Index_Upto_April23__1___1[[#This Row],[Housing]])</f>
        <v>114.19999999999999</v>
      </c>
      <c r="AH51" s="12">
        <f>AVERAGE(All_India_Index_Upto_April23__1___1[[#This Row],[Miscellaneous]],All_India_Index_Upto_April23__1___1[[#This Row],[Personal care and effects]],All_India_Index_Upto_April23__1___1[[#This Row],[Education]],All_India_Index_Upto_April23__1___1[[#This Row],[Recreation and amusement]])</f>
        <v>111.35</v>
      </c>
      <c r="AI51" s="12">
        <f>SUM(All_India_Index_Upto_April23__1___1[[#This Row],[Cereals and products]:[Pan, tobacco and intoxicants]])</f>
        <v>1643.6000000000001</v>
      </c>
      <c r="AJ51" s="12">
        <f>SUM(All_India_Index_Upto_April23__1___1[[#This Row],[Household goods and services]],All_India_Index_Upto_April23__1___1[[#This Row],[Housing]])</f>
        <v>228.39999999999998</v>
      </c>
      <c r="AK51" s="12">
        <f>All_India_Index_Upto_April23__1___1[[#This Row],[Clothing]]+All_India_Index_Upto_April23__1___1[[#This Row],[Footwear]]</f>
        <v>229.7</v>
      </c>
      <c r="AL51" s="12">
        <f>All_India_Index_Upto_April23__1___1[[#This Row],[Miscellaneous]]+All_India_Index_Upto_April23__1___1[[#This Row],[Personal care and effects]]+All_India_Index_Upto_April23__1___1[[#This Row],[Education]]+All_India_Index_Upto_April23__1___1[[#This Row],[Recreation and amusement]]</f>
        <v>445.4</v>
      </c>
      <c r="AM5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2880.7</v>
      </c>
    </row>
    <row r="52" spans="1:39" hidden="1" x14ac:dyDescent="0.3">
      <c r="A52" t="s">
        <v>33</v>
      </c>
      <c r="B52">
        <v>2014</v>
      </c>
      <c r="C52" t="s">
        <v>37</v>
      </c>
      <c r="D52" t="str">
        <f t="shared" si="0"/>
        <v>May-14</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c r="AF52" s="12">
        <f>AVERAGE(All_India_Index_Upto_April23__1___1[[#This Row],[Cereals and products]:[Pan, tobacco and intoxicants]])</f>
        <v>116.80714285714289</v>
      </c>
      <c r="AG52" s="12">
        <f>AVERAGE(All_India_Index_Upto_April23__1___1[[#This Row],[Household goods and services]],All_India_Index_Upto_April23__1___1[[#This Row],[Housing]])</f>
        <v>114.19999999999999</v>
      </c>
      <c r="AH52" s="12">
        <f>AVERAGE(All_India_Index_Upto_April23__1___1[[#This Row],[Miscellaneous]],All_India_Index_Upto_April23__1___1[[#This Row],[Personal care and effects]],All_India_Index_Upto_April23__1___1[[#This Row],[Education]],All_India_Index_Upto_April23__1___1[[#This Row],[Recreation and amusement]])</f>
        <v>111.27499999999999</v>
      </c>
      <c r="AI52" s="12">
        <f>SUM(All_India_Index_Upto_April23__1___1[[#This Row],[Cereals and products]:[Pan, tobacco and intoxicants]])</f>
        <v>1635.3000000000004</v>
      </c>
      <c r="AJ52" s="12">
        <f>SUM(All_India_Index_Upto_April23__1___1[[#This Row],[Household goods and services]],All_India_Index_Upto_April23__1___1[[#This Row],[Housing]])</f>
        <v>228.39999999999998</v>
      </c>
      <c r="AK52" s="12">
        <f>All_India_Index_Upto_April23__1___1[[#This Row],[Clothing]]+All_India_Index_Upto_April23__1___1[[#This Row],[Footwear]]</f>
        <v>233.2</v>
      </c>
      <c r="AL52" s="12">
        <f>All_India_Index_Upto_April23__1___1[[#This Row],[Miscellaneous]]+All_India_Index_Upto_April23__1___1[[#This Row],[Personal care and effects]]+All_India_Index_Upto_April23__1___1[[#This Row],[Education]]+All_India_Index_Upto_April23__1___1[[#This Row],[Recreation and amusement]]</f>
        <v>445.09999999999997</v>
      </c>
      <c r="AM5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2877.6000000000008</v>
      </c>
    </row>
    <row r="53" spans="1:39" hidden="1" x14ac:dyDescent="0.3">
      <c r="A53" t="s">
        <v>30</v>
      </c>
      <c r="B53">
        <v>2014</v>
      </c>
      <c r="C53" t="s">
        <v>38</v>
      </c>
      <c r="D53" t="str">
        <f t="shared" si="0"/>
        <v>Jun-14</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s="12">
        <f>'Handle Missing Value Sheet only'!$F$5</f>
        <v>139.27096774193564</v>
      </c>
      <c r="W53">
        <v>114.4</v>
      </c>
      <c r="X53">
        <v>114.9</v>
      </c>
      <c r="Y53">
        <v>112.8</v>
      </c>
      <c r="Z53">
        <v>112.2</v>
      </c>
      <c r="AA53">
        <v>111.4</v>
      </c>
      <c r="AB53">
        <v>114.3</v>
      </c>
      <c r="AC53">
        <v>108</v>
      </c>
      <c r="AD53">
        <v>112.3</v>
      </c>
      <c r="AE53">
        <v>117</v>
      </c>
      <c r="AF53" s="12">
        <f>AVERAGE(All_India_Index_Upto_April23__1___1[[#This Row],[Cereals and products]:[Pan, tobacco and intoxicants]])</f>
        <v>117.35714285714285</v>
      </c>
      <c r="AG53" s="12">
        <f>AVERAGE(All_India_Index_Upto_April23__1___1[[#This Row],[Household goods and services]],All_India_Index_Upto_April23__1___1[[#This Row],[Housing]])</f>
        <v>127.08548387096782</v>
      </c>
      <c r="AH53" s="12">
        <f>AVERAGE(All_India_Index_Upto_April23__1___1[[#This Row],[Miscellaneous]],All_India_Index_Upto_April23__1___1[[#This Row],[Personal care and effects]],All_India_Index_Upto_April23__1___1[[#This Row],[Education]],All_India_Index_Upto_April23__1___1[[#This Row],[Recreation and amusement]])</f>
        <v>111.5</v>
      </c>
      <c r="AI53" s="12">
        <f>SUM(All_India_Index_Upto_April23__1___1[[#This Row],[Cereals and products]:[Pan, tobacco and intoxicants]])</f>
        <v>1642.9999999999998</v>
      </c>
      <c r="AJ53" s="12">
        <f>SUM(All_India_Index_Upto_April23__1___1[[#This Row],[Household goods and services]],All_India_Index_Upto_April23__1___1[[#This Row],[Housing]])</f>
        <v>254.17096774193564</v>
      </c>
      <c r="AK53" s="12">
        <f>All_India_Index_Upto_April23__1___1[[#This Row],[Clothing]]+All_India_Index_Upto_April23__1___1[[#This Row],[Footwear]]</f>
        <v>237</v>
      </c>
      <c r="AL53" s="12">
        <f>All_India_Index_Upto_April23__1___1[[#This Row],[Miscellaneous]]+All_India_Index_Upto_April23__1___1[[#This Row],[Personal care and effects]]+All_India_Index_Upto_April23__1___1[[#This Row],[Education]]+All_India_Index_Upto_April23__1___1[[#This Row],[Recreation and amusement]]</f>
        <v>446</v>
      </c>
      <c r="AM5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2919.5709677419354</v>
      </c>
    </row>
    <row r="54" spans="1:39" hidden="1" x14ac:dyDescent="0.3">
      <c r="A54" t="s">
        <v>32</v>
      </c>
      <c r="B54">
        <v>2014</v>
      </c>
      <c r="C54" t="s">
        <v>38</v>
      </c>
      <c r="D54" t="str">
        <f t="shared" si="0"/>
        <v>Jun-14</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c r="AF54" s="12">
        <f>AVERAGE(All_India_Index_Upto_April23__1___1[[#This Row],[Cereals and products]:[Pan, tobacco and intoxicants]])</f>
        <v>119</v>
      </c>
      <c r="AG54" s="12">
        <f>AVERAGE(All_India_Index_Upto_April23__1___1[[#This Row],[Household goods and services]],All_India_Index_Upto_April23__1___1[[#This Row],[Housing]])</f>
        <v>114.1</v>
      </c>
      <c r="AH54" s="12">
        <f>AVERAGE(All_India_Index_Upto_April23__1___1[[#This Row],[Miscellaneous]],All_India_Index_Upto_April23__1___1[[#This Row],[Personal care and effects]],All_India_Index_Upto_April23__1___1[[#This Row],[Education]],All_India_Index_Upto_April23__1___1[[#This Row],[Recreation and amusement]])</f>
        <v>111.95</v>
      </c>
      <c r="AI54" s="12">
        <f>SUM(All_India_Index_Upto_April23__1___1[[#This Row],[Cereals and products]:[Pan, tobacco and intoxicants]])</f>
        <v>1666</v>
      </c>
      <c r="AJ54" s="12">
        <f>SUM(All_India_Index_Upto_April23__1___1[[#This Row],[Household goods and services]],All_India_Index_Upto_April23__1___1[[#This Row],[Housing]])</f>
        <v>228.2</v>
      </c>
      <c r="AK54" s="12">
        <f>All_India_Index_Upto_April23__1___1[[#This Row],[Clothing]]+All_India_Index_Upto_April23__1___1[[#This Row],[Footwear]]</f>
        <v>230.60000000000002</v>
      </c>
      <c r="AL54" s="12">
        <f>All_India_Index_Upto_April23__1___1[[#This Row],[Miscellaneous]]+All_India_Index_Upto_April23__1___1[[#This Row],[Personal care and effects]]+All_India_Index_Upto_April23__1___1[[#This Row],[Education]]+All_India_Index_Upto_April23__1___1[[#This Row],[Recreation and amusement]]</f>
        <v>447.8</v>
      </c>
      <c r="AM5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2906.7000000000003</v>
      </c>
    </row>
    <row r="55" spans="1:39" hidden="1" x14ac:dyDescent="0.3">
      <c r="A55" t="s">
        <v>33</v>
      </c>
      <c r="B55">
        <v>2014</v>
      </c>
      <c r="C55" t="s">
        <v>38</v>
      </c>
      <c r="D55" t="str">
        <f t="shared" si="0"/>
        <v>Jun-14</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c r="AF55" s="12">
        <f>AVERAGE(All_India_Index_Upto_April23__1___1[[#This Row],[Cereals and products]:[Pan, tobacco and intoxicants]])</f>
        <v>117.96428571428574</v>
      </c>
      <c r="AG55" s="12">
        <f>AVERAGE(All_India_Index_Upto_April23__1___1[[#This Row],[Household goods and services]],All_India_Index_Upto_April23__1___1[[#This Row],[Housing]])</f>
        <v>114.25</v>
      </c>
      <c r="AH55" s="12">
        <f>AVERAGE(All_India_Index_Upto_April23__1___1[[#This Row],[Miscellaneous]],All_India_Index_Upto_April23__1___1[[#This Row],[Personal care and effects]],All_India_Index_Upto_April23__1___1[[#This Row],[Education]],All_India_Index_Upto_April23__1___1[[#This Row],[Recreation and amusement]])</f>
        <v>111.75</v>
      </c>
      <c r="AI55" s="12">
        <f>SUM(All_India_Index_Upto_April23__1___1[[#This Row],[Cereals and products]:[Pan, tobacco and intoxicants]])</f>
        <v>1651.5000000000002</v>
      </c>
      <c r="AJ55" s="12">
        <f>SUM(All_India_Index_Upto_April23__1___1[[#This Row],[Household goods and services]],All_India_Index_Upto_April23__1___1[[#This Row],[Housing]])</f>
        <v>228.5</v>
      </c>
      <c r="AK55" s="12">
        <f>All_India_Index_Upto_April23__1___1[[#This Row],[Clothing]]+All_India_Index_Upto_April23__1___1[[#This Row],[Footwear]]</f>
        <v>234.39999999999998</v>
      </c>
      <c r="AL55" s="12">
        <f>All_India_Index_Upto_April23__1___1[[#This Row],[Miscellaneous]]+All_India_Index_Upto_April23__1___1[[#This Row],[Personal care and effects]]+All_India_Index_Upto_April23__1___1[[#This Row],[Education]]+All_India_Index_Upto_April23__1___1[[#This Row],[Recreation and amusement]]</f>
        <v>447</v>
      </c>
      <c r="AM5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2898.7000000000003</v>
      </c>
    </row>
    <row r="56" spans="1:39" hidden="1" x14ac:dyDescent="0.3">
      <c r="A56" t="s">
        <v>30</v>
      </c>
      <c r="B56">
        <v>2014</v>
      </c>
      <c r="C56" t="s">
        <v>39</v>
      </c>
      <c r="D56" t="str">
        <f t="shared" si="0"/>
        <v>Jul-14</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s="12">
        <f>'Handle Missing Value Sheet only'!$F$5</f>
        <v>139.27096774193564</v>
      </c>
      <c r="W56">
        <v>115.3</v>
      </c>
      <c r="X56">
        <v>115.4</v>
      </c>
      <c r="Y56">
        <v>113.4</v>
      </c>
      <c r="Z56">
        <v>113.2</v>
      </c>
      <c r="AA56">
        <v>111.8</v>
      </c>
      <c r="AB56">
        <v>115.5</v>
      </c>
      <c r="AC56">
        <v>108.8</v>
      </c>
      <c r="AD56">
        <v>113.1</v>
      </c>
      <c r="AE56">
        <v>119.5</v>
      </c>
      <c r="AF56" s="12">
        <f>AVERAGE(All_India_Index_Upto_April23__1___1[[#This Row],[Cereals and products]:[Pan, tobacco and intoxicants]])</f>
        <v>120.08571428571429</v>
      </c>
      <c r="AG56" s="12">
        <f>AVERAGE(All_India_Index_Upto_April23__1___1[[#This Row],[Household goods and services]],All_India_Index_Upto_April23__1___1[[#This Row],[Housing]])</f>
        <v>127.33548387096782</v>
      </c>
      <c r="AH56" s="12">
        <f>AVERAGE(All_India_Index_Upto_April23__1___1[[#This Row],[Miscellaneous]],All_India_Index_Upto_April23__1___1[[#This Row],[Personal care and effects]],All_India_Index_Upto_April23__1___1[[#This Row],[Education]],All_India_Index_Upto_April23__1___1[[#This Row],[Recreation and amusement]])</f>
        <v>112.3</v>
      </c>
      <c r="AI56" s="12">
        <f>SUM(All_India_Index_Upto_April23__1___1[[#This Row],[Cereals and products]:[Pan, tobacco and intoxicants]])</f>
        <v>1681.2</v>
      </c>
      <c r="AJ56" s="12">
        <f>SUM(All_India_Index_Upto_April23__1___1[[#This Row],[Household goods and services]],All_India_Index_Upto_April23__1___1[[#This Row],[Housing]])</f>
        <v>254.67096774193564</v>
      </c>
      <c r="AK56" s="12">
        <f>All_India_Index_Upto_April23__1___1[[#This Row],[Clothing]]+All_India_Index_Upto_April23__1___1[[#This Row],[Footwear]]</f>
        <v>239</v>
      </c>
      <c r="AL56" s="12">
        <f>All_India_Index_Upto_April23__1___1[[#This Row],[Miscellaneous]]+All_India_Index_Upto_April23__1___1[[#This Row],[Personal care and effects]]+All_India_Index_Upto_April23__1___1[[#This Row],[Education]]+All_India_Index_Upto_April23__1___1[[#This Row],[Recreation and amusement]]</f>
        <v>449.2</v>
      </c>
      <c r="AM5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2965.970967741936</v>
      </c>
    </row>
    <row r="57" spans="1:39" hidden="1" x14ac:dyDescent="0.3">
      <c r="A57" t="s">
        <v>32</v>
      </c>
      <c r="B57">
        <v>2014</v>
      </c>
      <c r="C57" t="s">
        <v>39</v>
      </c>
      <c r="D57" t="str">
        <f t="shared" si="0"/>
        <v>Jul-14</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c r="AF57" s="12">
        <f>AVERAGE(All_India_Index_Upto_April23__1___1[[#This Row],[Cereals and products]:[Pan, tobacco and intoxicants]])</f>
        <v>122.89285714285714</v>
      </c>
      <c r="AG57" s="12">
        <f>AVERAGE(All_India_Index_Upto_April23__1___1[[#This Row],[Household goods and services]],All_India_Index_Upto_April23__1___1[[#This Row],[Housing]])</f>
        <v>114.85</v>
      </c>
      <c r="AH57" s="12">
        <f>AVERAGE(All_India_Index_Upto_April23__1___1[[#This Row],[Miscellaneous]],All_India_Index_Upto_April23__1___1[[#This Row],[Personal care and effects]],All_India_Index_Upto_April23__1___1[[#This Row],[Education]],All_India_Index_Upto_April23__1___1[[#This Row],[Recreation and amusement]])</f>
        <v>113.35</v>
      </c>
      <c r="AI57" s="12">
        <f>SUM(All_India_Index_Upto_April23__1___1[[#This Row],[Cereals and products]:[Pan, tobacco and intoxicants]])</f>
        <v>1720.5</v>
      </c>
      <c r="AJ57" s="12">
        <f>SUM(All_India_Index_Upto_April23__1___1[[#This Row],[Household goods and services]],All_India_Index_Upto_April23__1___1[[#This Row],[Housing]])</f>
        <v>229.7</v>
      </c>
      <c r="AK57" s="12">
        <f>All_India_Index_Upto_April23__1___1[[#This Row],[Clothing]]+All_India_Index_Upto_April23__1___1[[#This Row],[Footwear]]</f>
        <v>231.6</v>
      </c>
      <c r="AL57" s="12">
        <f>All_India_Index_Upto_April23__1___1[[#This Row],[Miscellaneous]]+All_India_Index_Upto_April23__1___1[[#This Row],[Personal care and effects]]+All_India_Index_Upto_April23__1___1[[#This Row],[Education]]+All_India_Index_Upto_April23__1___1[[#This Row],[Recreation and amusement]]</f>
        <v>453.4</v>
      </c>
      <c r="AM5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2971.2999999999997</v>
      </c>
    </row>
    <row r="58" spans="1:39" hidden="1" x14ac:dyDescent="0.3">
      <c r="A58" t="s">
        <v>33</v>
      </c>
      <c r="B58">
        <v>2014</v>
      </c>
      <c r="C58" t="s">
        <v>39</v>
      </c>
      <c r="D58" t="str">
        <f t="shared" si="0"/>
        <v>Jul-14</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c r="AF58" s="12">
        <f>AVERAGE(All_India_Index_Upto_April23__1___1[[#This Row],[Cereals and products]:[Pan, tobacco and intoxicants]])</f>
        <v>121.07857142857142</v>
      </c>
      <c r="AG58" s="12">
        <f>AVERAGE(All_India_Index_Upto_April23__1___1[[#This Row],[Household goods and services]],All_India_Index_Upto_April23__1___1[[#This Row],[Housing]])</f>
        <v>115</v>
      </c>
      <c r="AH58" s="12">
        <f>AVERAGE(All_India_Index_Upto_April23__1___1[[#This Row],[Miscellaneous]],All_India_Index_Upto_April23__1___1[[#This Row],[Personal care and effects]],All_India_Index_Upto_April23__1___1[[#This Row],[Education]],All_India_Index_Upto_April23__1___1[[#This Row],[Recreation and amusement]])</f>
        <v>112.85</v>
      </c>
      <c r="AI58" s="12">
        <f>SUM(All_India_Index_Upto_April23__1___1[[#This Row],[Cereals and products]:[Pan, tobacco and intoxicants]])</f>
        <v>1695.1</v>
      </c>
      <c r="AJ58" s="12">
        <f>SUM(All_India_Index_Upto_April23__1___1[[#This Row],[Household goods and services]],All_India_Index_Upto_April23__1___1[[#This Row],[Housing]])</f>
        <v>230</v>
      </c>
      <c r="AK58" s="12">
        <f>All_India_Index_Upto_April23__1___1[[#This Row],[Clothing]]+All_India_Index_Upto_April23__1___1[[#This Row],[Footwear]]</f>
        <v>235.89999999999998</v>
      </c>
      <c r="AL58" s="12">
        <f>All_India_Index_Upto_April23__1___1[[#This Row],[Miscellaneous]]+All_India_Index_Upto_April23__1___1[[#This Row],[Personal care and effects]]+All_India_Index_Upto_April23__1___1[[#This Row],[Education]]+All_India_Index_Upto_April23__1___1[[#This Row],[Recreation and amusement]]</f>
        <v>451.4</v>
      </c>
      <c r="AM5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2952.0999999999995</v>
      </c>
    </row>
    <row r="59" spans="1:39" hidden="1" x14ac:dyDescent="0.3">
      <c r="A59" t="s">
        <v>30</v>
      </c>
      <c r="B59">
        <v>2014</v>
      </c>
      <c r="C59" t="s">
        <v>40</v>
      </c>
      <c r="D59" t="str">
        <f t="shared" si="0"/>
        <v>Aug-14</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s="12">
        <f>'Handle Missing Value Sheet only'!$F$5</f>
        <v>139.27096774193564</v>
      </c>
      <c r="W59">
        <v>115.4</v>
      </c>
      <c r="X59">
        <v>115.9</v>
      </c>
      <c r="Y59">
        <v>114</v>
      </c>
      <c r="Z59">
        <v>113.2</v>
      </c>
      <c r="AA59">
        <v>112.2</v>
      </c>
      <c r="AB59">
        <v>116.2</v>
      </c>
      <c r="AC59">
        <v>109.4</v>
      </c>
      <c r="AD59">
        <v>113.5</v>
      </c>
      <c r="AE59">
        <v>120.7</v>
      </c>
      <c r="AF59" s="12">
        <f>AVERAGE(All_India_Index_Upto_April23__1___1[[#This Row],[Cereals and products]:[Pan, tobacco and intoxicants]])</f>
        <v>121.50714285714284</v>
      </c>
      <c r="AG59" s="12">
        <f>AVERAGE(All_India_Index_Upto_April23__1___1[[#This Row],[Household goods and services]],All_India_Index_Upto_April23__1___1[[#This Row],[Housing]])</f>
        <v>127.58548387096782</v>
      </c>
      <c r="AH59" s="12">
        <f>AVERAGE(All_India_Index_Upto_April23__1___1[[#This Row],[Miscellaneous]],All_India_Index_Upto_April23__1___1[[#This Row],[Personal care and effects]],All_India_Index_Upto_April23__1___1[[#This Row],[Education]],All_India_Index_Upto_April23__1___1[[#This Row],[Recreation and amusement]])</f>
        <v>112.825</v>
      </c>
      <c r="AI59" s="12">
        <f>SUM(All_India_Index_Upto_April23__1___1[[#This Row],[Cereals and products]:[Pan, tobacco and intoxicants]])</f>
        <v>1701.0999999999997</v>
      </c>
      <c r="AJ59" s="12">
        <f>SUM(All_India_Index_Upto_April23__1___1[[#This Row],[Household goods and services]],All_India_Index_Upto_April23__1___1[[#This Row],[Housing]])</f>
        <v>255.17096774193564</v>
      </c>
      <c r="AK59" s="12">
        <f>All_India_Index_Upto_April23__1___1[[#This Row],[Clothing]]+All_India_Index_Upto_April23__1___1[[#This Row],[Footwear]]</f>
        <v>239.7</v>
      </c>
      <c r="AL59" s="12">
        <f>All_India_Index_Upto_April23__1___1[[#This Row],[Miscellaneous]]+All_India_Index_Upto_April23__1___1[[#This Row],[Personal care and effects]]+All_India_Index_Upto_April23__1___1[[#This Row],[Education]]+All_India_Index_Upto_April23__1___1[[#This Row],[Recreation and amusement]]</f>
        <v>451.3</v>
      </c>
      <c r="AM5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2989.8709677419351</v>
      </c>
    </row>
    <row r="60" spans="1:39" hidden="1" x14ac:dyDescent="0.3">
      <c r="A60" t="s">
        <v>32</v>
      </c>
      <c r="B60">
        <v>2014</v>
      </c>
      <c r="C60" t="s">
        <v>40</v>
      </c>
      <c r="D60" t="str">
        <f t="shared" si="0"/>
        <v>Aug-14</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c r="AF60" s="12">
        <f>AVERAGE(All_India_Index_Upto_April23__1___1[[#This Row],[Cereals and products]:[Pan, tobacco and intoxicants]])</f>
        <v>124.28571428571429</v>
      </c>
      <c r="AG60" s="12">
        <f>AVERAGE(All_India_Index_Upto_April23__1___1[[#This Row],[Household goods and services]],All_India_Index_Upto_April23__1___1[[#This Row],[Housing]])</f>
        <v>115.4</v>
      </c>
      <c r="AH60" s="12">
        <f>AVERAGE(All_India_Index_Upto_April23__1___1[[#This Row],[Miscellaneous]],All_India_Index_Upto_April23__1___1[[#This Row],[Personal care and effects]],All_India_Index_Upto_April23__1___1[[#This Row],[Education]],All_India_Index_Upto_April23__1___1[[#This Row],[Recreation and amusement]])</f>
        <v>114.125</v>
      </c>
      <c r="AI60" s="12">
        <f>SUM(All_India_Index_Upto_April23__1___1[[#This Row],[Cereals and products]:[Pan, tobacco and intoxicants]])</f>
        <v>1740</v>
      </c>
      <c r="AJ60" s="12">
        <f>SUM(All_India_Index_Upto_April23__1___1[[#This Row],[Household goods and services]],All_India_Index_Upto_April23__1___1[[#This Row],[Housing]])</f>
        <v>230.8</v>
      </c>
      <c r="AK60" s="12">
        <f>All_India_Index_Upto_April23__1___1[[#This Row],[Clothing]]+All_India_Index_Upto_April23__1___1[[#This Row],[Footwear]]</f>
        <v>232.7</v>
      </c>
      <c r="AL60" s="12">
        <f>All_India_Index_Upto_April23__1___1[[#This Row],[Miscellaneous]]+All_India_Index_Upto_April23__1___1[[#This Row],[Personal care and effects]]+All_India_Index_Upto_April23__1___1[[#This Row],[Education]]+All_India_Index_Upto_April23__1___1[[#This Row],[Recreation and amusement]]</f>
        <v>456.5</v>
      </c>
      <c r="AM6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2996.5</v>
      </c>
    </row>
    <row r="61" spans="1:39" hidden="1" x14ac:dyDescent="0.3">
      <c r="A61" t="s">
        <v>33</v>
      </c>
      <c r="B61">
        <v>2014</v>
      </c>
      <c r="C61" t="s">
        <v>40</v>
      </c>
      <c r="D61" t="str">
        <f t="shared" si="0"/>
        <v>Aug-14</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c r="AF61" s="12">
        <f>AVERAGE(All_India_Index_Upto_April23__1___1[[#This Row],[Cereals and products]:[Pan, tobacco and intoxicants]])</f>
        <v>122.45714285714284</v>
      </c>
      <c r="AG61" s="12">
        <f>AVERAGE(All_India_Index_Upto_April23__1___1[[#This Row],[Household goods and services]],All_India_Index_Upto_April23__1___1[[#This Row],[Housing]])</f>
        <v>115.55</v>
      </c>
      <c r="AH61" s="12">
        <f>AVERAGE(All_India_Index_Upto_April23__1___1[[#This Row],[Miscellaneous]],All_India_Index_Upto_April23__1___1[[#This Row],[Personal care and effects]],All_India_Index_Upto_April23__1___1[[#This Row],[Education]],All_India_Index_Upto_April23__1___1[[#This Row],[Recreation and amusement]])</f>
        <v>113.55000000000001</v>
      </c>
      <c r="AI61" s="12">
        <f>SUM(All_India_Index_Upto_April23__1___1[[#This Row],[Cereals and products]:[Pan, tobacco and intoxicants]])</f>
        <v>1714.3999999999999</v>
      </c>
      <c r="AJ61" s="12">
        <f>SUM(All_India_Index_Upto_April23__1___1[[#This Row],[Household goods and services]],All_India_Index_Upto_April23__1___1[[#This Row],[Housing]])</f>
        <v>231.1</v>
      </c>
      <c r="AK61" s="12">
        <f>All_India_Index_Upto_April23__1___1[[#This Row],[Clothing]]+All_India_Index_Upto_April23__1___1[[#This Row],[Footwear]]</f>
        <v>236.8</v>
      </c>
      <c r="AL61" s="12">
        <f>All_India_Index_Upto_April23__1___1[[#This Row],[Miscellaneous]]+All_India_Index_Upto_April23__1___1[[#This Row],[Personal care and effects]]+All_India_Index_Upto_April23__1___1[[#This Row],[Education]]+All_India_Index_Upto_April23__1___1[[#This Row],[Recreation and amusement]]</f>
        <v>454.20000000000005</v>
      </c>
      <c r="AM6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2976.6000000000004</v>
      </c>
    </row>
    <row r="62" spans="1:39" hidden="1" x14ac:dyDescent="0.3">
      <c r="A62" t="s">
        <v>30</v>
      </c>
      <c r="B62">
        <v>2014</v>
      </c>
      <c r="C62" t="s">
        <v>41</v>
      </c>
      <c r="D62" t="str">
        <f t="shared" si="0"/>
        <v>Sep-14</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s="12">
        <f>'Handle Missing Value Sheet only'!$F$5</f>
        <v>139.27096774193564</v>
      </c>
      <c r="W62">
        <v>115.8</v>
      </c>
      <c r="X62">
        <v>116.7</v>
      </c>
      <c r="Y62">
        <v>114.5</v>
      </c>
      <c r="Z62">
        <v>112.8</v>
      </c>
      <c r="AA62">
        <v>112.6</v>
      </c>
      <c r="AB62">
        <v>116.6</v>
      </c>
      <c r="AC62">
        <v>109.1</v>
      </c>
      <c r="AD62">
        <v>113.7</v>
      </c>
      <c r="AE62">
        <v>120.9</v>
      </c>
      <c r="AF62" s="12">
        <f>AVERAGE(All_India_Index_Upto_April23__1___1[[#This Row],[Cereals and products]:[Pan, tobacco and intoxicants]])</f>
        <v>121.62142857142858</v>
      </c>
      <c r="AG62" s="12">
        <f>AVERAGE(All_India_Index_Upto_April23__1___1[[#This Row],[Household goods and services]],All_India_Index_Upto_April23__1___1[[#This Row],[Housing]])</f>
        <v>127.98548387096781</v>
      </c>
      <c r="AH62" s="12">
        <f>AVERAGE(All_India_Index_Upto_April23__1___1[[#This Row],[Miscellaneous]],All_India_Index_Upto_April23__1___1[[#This Row],[Personal care and effects]],All_India_Index_Upto_April23__1___1[[#This Row],[Education]],All_India_Index_Upto_April23__1___1[[#This Row],[Recreation and amusement]])</f>
        <v>113</v>
      </c>
      <c r="AI62" s="12">
        <f>SUM(All_India_Index_Upto_April23__1___1[[#This Row],[Cereals and products]:[Pan, tobacco and intoxicants]])</f>
        <v>1702.7</v>
      </c>
      <c r="AJ62" s="12">
        <f>SUM(All_India_Index_Upto_April23__1___1[[#This Row],[Household goods and services]],All_India_Index_Upto_April23__1___1[[#This Row],[Housing]])</f>
        <v>255.97096774193562</v>
      </c>
      <c r="AK62" s="12">
        <f>All_India_Index_Upto_April23__1___1[[#This Row],[Clothing]]+All_India_Index_Upto_April23__1___1[[#This Row],[Footwear]]</f>
        <v>240.9</v>
      </c>
      <c r="AL62" s="12">
        <f>All_India_Index_Upto_April23__1___1[[#This Row],[Miscellaneous]]+All_India_Index_Upto_April23__1___1[[#This Row],[Personal care and effects]]+All_India_Index_Upto_April23__1___1[[#This Row],[Education]]+All_India_Index_Upto_April23__1___1[[#This Row],[Recreation and amusement]]</f>
        <v>452</v>
      </c>
      <c r="AM6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2994.6709677419358</v>
      </c>
    </row>
    <row r="63" spans="1:39" hidden="1" x14ac:dyDescent="0.3">
      <c r="A63" t="s">
        <v>32</v>
      </c>
      <c r="B63">
        <v>2014</v>
      </c>
      <c r="C63" t="s">
        <v>41</v>
      </c>
      <c r="D63" t="str">
        <f t="shared" si="0"/>
        <v>Sep-14</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c r="AF63" s="12">
        <f>AVERAGE(All_India_Index_Upto_April23__1___1[[#This Row],[Cereals and products]:[Pan, tobacco and intoxicants]])</f>
        <v>122.71428571428574</v>
      </c>
      <c r="AG63" s="12">
        <f>AVERAGE(All_India_Index_Upto_April23__1___1[[#This Row],[Household goods and services]],All_India_Index_Upto_April23__1___1[[#This Row],[Housing]])</f>
        <v>115.8</v>
      </c>
      <c r="AH63" s="12">
        <f>AVERAGE(All_India_Index_Upto_April23__1___1[[#This Row],[Miscellaneous]],All_India_Index_Upto_April23__1___1[[#This Row],[Personal care and effects]],All_India_Index_Upto_April23__1___1[[#This Row],[Education]],All_India_Index_Upto_April23__1___1[[#This Row],[Recreation and amusement]])</f>
        <v>114.25</v>
      </c>
      <c r="AI63" s="12">
        <f>SUM(All_India_Index_Upto_April23__1___1[[#This Row],[Cereals and products]:[Pan, tobacco and intoxicants]])</f>
        <v>1718.0000000000002</v>
      </c>
      <c r="AJ63" s="12">
        <f>SUM(All_India_Index_Upto_April23__1___1[[#This Row],[Household goods and services]],All_India_Index_Upto_April23__1___1[[#This Row],[Housing]])</f>
        <v>231.6</v>
      </c>
      <c r="AK63" s="12">
        <f>All_India_Index_Upto_April23__1___1[[#This Row],[Clothing]]+All_India_Index_Upto_April23__1___1[[#This Row],[Footwear]]</f>
        <v>233.7</v>
      </c>
      <c r="AL63" s="12">
        <f>All_India_Index_Upto_April23__1___1[[#This Row],[Miscellaneous]]+All_India_Index_Upto_April23__1___1[[#This Row],[Personal care and effects]]+All_India_Index_Upto_April23__1___1[[#This Row],[Education]]+All_India_Index_Upto_April23__1___1[[#This Row],[Recreation and amusement]]</f>
        <v>457</v>
      </c>
      <c r="AM6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2975.6000000000004</v>
      </c>
    </row>
    <row r="64" spans="1:39" hidden="1" x14ac:dyDescent="0.3">
      <c r="A64" t="s">
        <v>33</v>
      </c>
      <c r="B64">
        <v>2014</v>
      </c>
      <c r="C64" t="s">
        <v>41</v>
      </c>
      <c r="D64" t="str">
        <f t="shared" si="0"/>
        <v>Sep-14</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c r="AF64" s="12">
        <f>AVERAGE(All_India_Index_Upto_April23__1___1[[#This Row],[Cereals and products]:[Pan, tobacco and intoxicants]])</f>
        <v>121.92142857142855</v>
      </c>
      <c r="AG64" s="12">
        <f>AVERAGE(All_India_Index_Upto_April23__1___1[[#This Row],[Household goods and services]],All_India_Index_Upto_April23__1___1[[#This Row],[Housing]])</f>
        <v>116.1</v>
      </c>
      <c r="AH64" s="12">
        <f>AVERAGE(All_India_Index_Upto_April23__1___1[[#This Row],[Miscellaneous]],All_India_Index_Upto_April23__1___1[[#This Row],[Personal care and effects]],All_India_Index_Upto_April23__1___1[[#This Row],[Education]],All_India_Index_Upto_April23__1___1[[#This Row],[Recreation and amusement]])</f>
        <v>113.72499999999999</v>
      </c>
      <c r="AI64" s="12">
        <f>SUM(All_India_Index_Upto_April23__1___1[[#This Row],[Cereals and products]:[Pan, tobacco and intoxicants]])</f>
        <v>1706.8999999999996</v>
      </c>
      <c r="AJ64" s="12">
        <f>SUM(All_India_Index_Upto_April23__1___1[[#This Row],[Household goods and services]],All_India_Index_Upto_April23__1___1[[#This Row],[Housing]])</f>
        <v>232.2</v>
      </c>
      <c r="AK64" s="12">
        <f>All_India_Index_Upto_April23__1___1[[#This Row],[Clothing]]+All_India_Index_Upto_April23__1___1[[#This Row],[Footwear]]</f>
        <v>237.9</v>
      </c>
      <c r="AL64" s="12">
        <f>All_India_Index_Upto_April23__1___1[[#This Row],[Miscellaneous]]+All_India_Index_Upto_April23__1___1[[#This Row],[Personal care and effects]]+All_India_Index_Upto_April23__1___1[[#This Row],[Education]]+All_India_Index_Upto_April23__1___1[[#This Row],[Recreation and amusement]]</f>
        <v>454.9</v>
      </c>
      <c r="AM6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2971.8999999999996</v>
      </c>
    </row>
    <row r="65" spans="1:39" hidden="1" x14ac:dyDescent="0.3">
      <c r="A65" t="s">
        <v>30</v>
      </c>
      <c r="B65">
        <v>2014</v>
      </c>
      <c r="C65" t="s">
        <v>42</v>
      </c>
      <c r="D65" t="str">
        <f t="shared" si="0"/>
        <v>Oct-14</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s="12">
        <f>'Handle Missing Value Sheet only'!$F$5</f>
        <v>139.27096774193564</v>
      </c>
      <c r="W65">
        <v>116.4</v>
      </c>
      <c r="X65">
        <v>117.5</v>
      </c>
      <c r="Y65">
        <v>115.3</v>
      </c>
      <c r="Z65">
        <v>112.6</v>
      </c>
      <c r="AA65">
        <v>113</v>
      </c>
      <c r="AB65">
        <v>116.9</v>
      </c>
      <c r="AC65">
        <v>109.3</v>
      </c>
      <c r="AD65">
        <v>114</v>
      </c>
      <c r="AE65">
        <v>121</v>
      </c>
      <c r="AF65" s="12">
        <f>AVERAGE(All_India_Index_Upto_April23__1___1[[#This Row],[Cereals and products]:[Pan, tobacco and intoxicants]])</f>
        <v>121.51428571428571</v>
      </c>
      <c r="AG65" s="12">
        <f>AVERAGE(All_India_Index_Upto_April23__1___1[[#This Row],[Household goods and services]],All_India_Index_Upto_April23__1___1[[#This Row],[Housing]])</f>
        <v>128.38548387096782</v>
      </c>
      <c r="AH65" s="12">
        <f>AVERAGE(All_India_Index_Upto_April23__1___1[[#This Row],[Miscellaneous]],All_India_Index_Upto_April23__1___1[[#This Row],[Personal care and effects]],All_India_Index_Upto_April23__1___1[[#This Row],[Education]],All_India_Index_Upto_April23__1___1[[#This Row],[Recreation and amusement]])</f>
        <v>113.30000000000001</v>
      </c>
      <c r="AI65" s="12">
        <f>SUM(All_India_Index_Upto_April23__1___1[[#This Row],[Cereals and products]:[Pan, tobacco and intoxicants]])</f>
        <v>1701.1999999999998</v>
      </c>
      <c r="AJ65" s="12">
        <f>SUM(All_India_Index_Upto_April23__1___1[[#This Row],[Household goods and services]],All_India_Index_Upto_April23__1___1[[#This Row],[Housing]])</f>
        <v>256.77096774193564</v>
      </c>
      <c r="AK65" s="12">
        <f>All_India_Index_Upto_April23__1___1[[#This Row],[Clothing]]+All_India_Index_Upto_April23__1___1[[#This Row],[Footwear]]</f>
        <v>243</v>
      </c>
      <c r="AL65" s="12">
        <f>All_India_Index_Upto_April23__1___1[[#This Row],[Miscellaneous]]+All_India_Index_Upto_April23__1___1[[#This Row],[Personal care and effects]]+All_India_Index_Upto_April23__1___1[[#This Row],[Education]]+All_India_Index_Upto_April23__1___1[[#This Row],[Recreation and amusement]]</f>
        <v>453.20000000000005</v>
      </c>
      <c r="AM6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2998.470967741936</v>
      </c>
    </row>
    <row r="66" spans="1:39" hidden="1" x14ac:dyDescent="0.3">
      <c r="A66" t="s">
        <v>32</v>
      </c>
      <c r="B66">
        <v>2014</v>
      </c>
      <c r="C66" t="s">
        <v>42</v>
      </c>
      <c r="D66" t="str">
        <f t="shared" ref="D66:D129" si="1">TEXT(DATE(B66, MONTH(1&amp;C66), 1), "mmm-yy")</f>
        <v>Oct-14</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c r="AF66" s="12">
        <f>AVERAGE(All_India_Index_Upto_April23__1___1[[#This Row],[Cereals and products]:[Pan, tobacco and intoxicants]])</f>
        <v>122.27142857142857</v>
      </c>
      <c r="AG66" s="12">
        <f>AVERAGE(All_India_Index_Upto_April23__1___1[[#This Row],[Household goods and services]],All_India_Index_Upto_April23__1___1[[#This Row],[Housing]])</f>
        <v>116.25</v>
      </c>
      <c r="AH66" s="12">
        <f>AVERAGE(All_India_Index_Upto_April23__1___1[[#This Row],[Miscellaneous]],All_India_Index_Upto_April23__1___1[[#This Row],[Personal care and effects]],All_India_Index_Upto_April23__1___1[[#This Row],[Education]],All_India_Index_Upto_April23__1___1[[#This Row],[Recreation and amusement]])</f>
        <v>114.4</v>
      </c>
      <c r="AI66" s="12">
        <f>SUM(All_India_Index_Upto_April23__1___1[[#This Row],[Cereals and products]:[Pan, tobacco and intoxicants]])</f>
        <v>1711.8</v>
      </c>
      <c r="AJ66" s="12">
        <f>SUM(All_India_Index_Upto_April23__1___1[[#This Row],[Household goods and services]],All_India_Index_Upto_April23__1___1[[#This Row],[Housing]])</f>
        <v>232.5</v>
      </c>
      <c r="AK66" s="12">
        <f>All_India_Index_Upto_April23__1___1[[#This Row],[Clothing]]+All_India_Index_Upto_April23__1___1[[#This Row],[Footwear]]</f>
        <v>234.5</v>
      </c>
      <c r="AL66" s="12">
        <f>All_India_Index_Upto_April23__1___1[[#This Row],[Miscellaneous]]+All_India_Index_Upto_April23__1___1[[#This Row],[Personal care and effects]]+All_India_Index_Upto_April23__1___1[[#This Row],[Education]]+All_India_Index_Upto_April23__1___1[[#This Row],[Recreation and amusement]]</f>
        <v>457.6</v>
      </c>
      <c r="AM6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2972</v>
      </c>
    </row>
    <row r="67" spans="1:39" hidden="1" x14ac:dyDescent="0.3">
      <c r="A67" t="s">
        <v>33</v>
      </c>
      <c r="B67">
        <v>2014</v>
      </c>
      <c r="C67" t="s">
        <v>42</v>
      </c>
      <c r="D67" t="str">
        <f t="shared" si="1"/>
        <v>Oct-14</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c r="AF67" s="12">
        <f>AVERAGE(All_India_Index_Upto_April23__1___1[[#This Row],[Cereals and products]:[Pan, tobacco and intoxicants]])</f>
        <v>121.7</v>
      </c>
      <c r="AG67" s="12">
        <f>AVERAGE(All_India_Index_Upto_April23__1___1[[#This Row],[Household goods and services]],All_India_Index_Upto_April23__1___1[[#This Row],[Housing]])</f>
        <v>116.7</v>
      </c>
      <c r="AH67" s="12">
        <f>AVERAGE(All_India_Index_Upto_April23__1___1[[#This Row],[Miscellaneous]],All_India_Index_Upto_April23__1___1[[#This Row],[Personal care and effects]],All_India_Index_Upto_April23__1___1[[#This Row],[Education]],All_India_Index_Upto_April23__1___1[[#This Row],[Recreation and amusement]])</f>
        <v>113.9</v>
      </c>
      <c r="AI67" s="12">
        <f>SUM(All_India_Index_Upto_April23__1___1[[#This Row],[Cereals and products]:[Pan, tobacco and intoxicants]])</f>
        <v>1703.8</v>
      </c>
      <c r="AJ67" s="12">
        <f>SUM(All_India_Index_Upto_April23__1___1[[#This Row],[Household goods and services]],All_India_Index_Upto_April23__1___1[[#This Row],[Housing]])</f>
        <v>233.4</v>
      </c>
      <c r="AK67" s="12">
        <f>All_India_Index_Upto_April23__1___1[[#This Row],[Clothing]]+All_India_Index_Upto_April23__1___1[[#This Row],[Footwear]]</f>
        <v>239.6</v>
      </c>
      <c r="AL67" s="12">
        <f>All_India_Index_Upto_April23__1___1[[#This Row],[Miscellaneous]]+All_India_Index_Upto_April23__1___1[[#This Row],[Personal care and effects]]+All_India_Index_Upto_April23__1___1[[#This Row],[Education]]+All_India_Index_Upto_April23__1___1[[#This Row],[Recreation and amusement]]</f>
        <v>455.6</v>
      </c>
      <c r="AM6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2973.2000000000003</v>
      </c>
    </row>
    <row r="68" spans="1:39" hidden="1" x14ac:dyDescent="0.3">
      <c r="A68" t="s">
        <v>30</v>
      </c>
      <c r="B68">
        <v>2014</v>
      </c>
      <c r="C68" t="s">
        <v>44</v>
      </c>
      <c r="D68" t="str">
        <f t="shared" si="1"/>
        <v>Nov-14</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s="12">
        <f>'Handle Missing Value Sheet only'!$F$5</f>
        <v>139.27096774193564</v>
      </c>
      <c r="W68">
        <v>117.3</v>
      </c>
      <c r="X68">
        <v>118.1</v>
      </c>
      <c r="Y68">
        <v>115.9</v>
      </c>
      <c r="Z68">
        <v>112</v>
      </c>
      <c r="AA68">
        <v>113.3</v>
      </c>
      <c r="AB68">
        <v>117.2</v>
      </c>
      <c r="AC68">
        <v>108.8</v>
      </c>
      <c r="AD68">
        <v>114.1</v>
      </c>
      <c r="AE68">
        <v>121.1</v>
      </c>
      <c r="AF68" s="12">
        <f>AVERAGE(All_India_Index_Upto_April23__1___1[[#This Row],[Cereals and products]:[Pan, tobacco and intoxicants]])</f>
        <v>121.62857142857142</v>
      </c>
      <c r="AG68" s="12">
        <f>AVERAGE(All_India_Index_Upto_April23__1___1[[#This Row],[Household goods and services]],All_India_Index_Upto_April23__1___1[[#This Row],[Housing]])</f>
        <v>128.6854838709678</v>
      </c>
      <c r="AH68" s="12">
        <f>AVERAGE(All_India_Index_Upto_April23__1___1[[#This Row],[Miscellaneous]],All_India_Index_Upto_April23__1___1[[#This Row],[Personal care and effects]],All_India_Index_Upto_April23__1___1[[#This Row],[Education]],All_India_Index_Upto_April23__1___1[[#This Row],[Recreation and amusement]])</f>
        <v>113.35</v>
      </c>
      <c r="AI68" s="12">
        <f>SUM(All_India_Index_Upto_April23__1___1[[#This Row],[Cereals and products]:[Pan, tobacco and intoxicants]])</f>
        <v>1702.8</v>
      </c>
      <c r="AJ68" s="12">
        <f>SUM(All_India_Index_Upto_April23__1___1[[#This Row],[Household goods and services]],All_India_Index_Upto_April23__1___1[[#This Row],[Housing]])</f>
        <v>257.3709677419356</v>
      </c>
      <c r="AK68" s="12">
        <f>All_India_Index_Upto_April23__1___1[[#This Row],[Clothing]]+All_India_Index_Upto_April23__1___1[[#This Row],[Footwear]]</f>
        <v>243.8</v>
      </c>
      <c r="AL68" s="12">
        <f>All_India_Index_Upto_April23__1___1[[#This Row],[Miscellaneous]]+All_India_Index_Upto_April23__1___1[[#This Row],[Personal care and effects]]+All_India_Index_Upto_April23__1___1[[#This Row],[Education]]+All_India_Index_Upto_April23__1___1[[#This Row],[Recreation and amusement]]</f>
        <v>453.4</v>
      </c>
      <c r="AM6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3002.5709677419359</v>
      </c>
    </row>
    <row r="69" spans="1:39" hidden="1" x14ac:dyDescent="0.3">
      <c r="A69" t="s">
        <v>32</v>
      </c>
      <c r="B69">
        <v>2014</v>
      </c>
      <c r="C69" t="s">
        <v>44</v>
      </c>
      <c r="D69" t="str">
        <f t="shared" si="1"/>
        <v>Nov-14</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c r="AF69" s="12">
        <f>AVERAGE(All_India_Index_Upto_April23__1___1[[#This Row],[Cereals and products]:[Pan, tobacco and intoxicants]])</f>
        <v>122.39999999999999</v>
      </c>
      <c r="AG69" s="12">
        <f>AVERAGE(All_India_Index_Upto_April23__1___1[[#This Row],[Household goods and services]],All_India_Index_Upto_April23__1___1[[#This Row],[Housing]])</f>
        <v>116.75</v>
      </c>
      <c r="AH69" s="12">
        <f>AVERAGE(All_India_Index_Upto_April23__1___1[[#This Row],[Miscellaneous]],All_India_Index_Upto_April23__1___1[[#This Row],[Personal care and effects]],All_India_Index_Upto_April23__1___1[[#This Row],[Education]],All_India_Index_Upto_April23__1___1[[#This Row],[Recreation and amusement]])</f>
        <v>114.325</v>
      </c>
      <c r="AI69" s="12">
        <f>SUM(All_India_Index_Upto_April23__1___1[[#This Row],[Cereals and products]:[Pan, tobacco and intoxicants]])</f>
        <v>1713.6</v>
      </c>
      <c r="AJ69" s="12">
        <f>SUM(All_India_Index_Upto_April23__1___1[[#This Row],[Household goods and services]],All_India_Index_Upto_April23__1___1[[#This Row],[Housing]])</f>
        <v>233.5</v>
      </c>
      <c r="AK69" s="12">
        <f>All_India_Index_Upto_April23__1___1[[#This Row],[Clothing]]+All_India_Index_Upto_April23__1___1[[#This Row],[Footwear]]</f>
        <v>235.7</v>
      </c>
      <c r="AL69" s="12">
        <f>All_India_Index_Upto_April23__1___1[[#This Row],[Miscellaneous]]+All_India_Index_Upto_April23__1___1[[#This Row],[Personal care and effects]]+All_India_Index_Upto_April23__1___1[[#This Row],[Education]]+All_India_Index_Upto_April23__1___1[[#This Row],[Recreation and amusement]]</f>
        <v>457.3</v>
      </c>
      <c r="AM6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2975.3999999999996</v>
      </c>
    </row>
    <row r="70" spans="1:39" hidden="1" x14ac:dyDescent="0.3">
      <c r="A70" t="s">
        <v>33</v>
      </c>
      <c r="B70">
        <v>2014</v>
      </c>
      <c r="C70" t="s">
        <v>44</v>
      </c>
      <c r="D70" t="str">
        <f t="shared" si="1"/>
        <v>Nov-14</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c r="AF70" s="12">
        <f>AVERAGE(All_India_Index_Upto_April23__1___1[[#This Row],[Cereals and products]:[Pan, tobacco and intoxicants]])</f>
        <v>121.80714285714285</v>
      </c>
      <c r="AG70" s="12">
        <f>AVERAGE(All_India_Index_Upto_April23__1___1[[#This Row],[Household goods and services]],All_India_Index_Upto_April23__1___1[[#This Row],[Housing]])</f>
        <v>117.19999999999999</v>
      </c>
      <c r="AH70" s="12">
        <f>AVERAGE(All_India_Index_Upto_April23__1___1[[#This Row],[Miscellaneous]],All_India_Index_Upto_April23__1___1[[#This Row],[Personal care and effects]],All_India_Index_Upto_April23__1___1[[#This Row],[Education]],All_India_Index_Upto_April23__1___1[[#This Row],[Recreation and amusement]])</f>
        <v>113.89999999999999</v>
      </c>
      <c r="AI70" s="12">
        <f>SUM(All_India_Index_Upto_April23__1___1[[#This Row],[Cereals and products]:[Pan, tobacco and intoxicants]])</f>
        <v>1705.3</v>
      </c>
      <c r="AJ70" s="12">
        <f>SUM(All_India_Index_Upto_April23__1___1[[#This Row],[Household goods and services]],All_India_Index_Upto_April23__1___1[[#This Row],[Housing]])</f>
        <v>234.39999999999998</v>
      </c>
      <c r="AK70" s="12">
        <f>All_India_Index_Upto_April23__1___1[[#This Row],[Clothing]]+All_India_Index_Upto_April23__1___1[[#This Row],[Footwear]]</f>
        <v>240.5</v>
      </c>
      <c r="AL70" s="12">
        <f>All_India_Index_Upto_April23__1___1[[#This Row],[Miscellaneous]]+All_India_Index_Upto_April23__1___1[[#This Row],[Personal care and effects]]+All_India_Index_Upto_April23__1___1[[#This Row],[Education]]+All_India_Index_Upto_April23__1___1[[#This Row],[Recreation and amusement]]</f>
        <v>455.59999999999997</v>
      </c>
      <c r="AM7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2976.9</v>
      </c>
    </row>
    <row r="71" spans="1:39" hidden="1" x14ac:dyDescent="0.3">
      <c r="A71" t="s">
        <v>30</v>
      </c>
      <c r="B71">
        <v>2014</v>
      </c>
      <c r="C71" t="s">
        <v>45</v>
      </c>
      <c r="D71" t="str">
        <f t="shared" si="1"/>
        <v>Dec-14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s="12">
        <f>'Handle Missing Value Sheet only'!$F$5</f>
        <v>139.27096774193564</v>
      </c>
      <c r="W71">
        <v>117.4</v>
      </c>
      <c r="X71">
        <v>118.2</v>
      </c>
      <c r="Y71">
        <v>116.2</v>
      </c>
      <c r="Z71">
        <v>111.5</v>
      </c>
      <c r="AA71">
        <v>113.3</v>
      </c>
      <c r="AB71">
        <v>117.7</v>
      </c>
      <c r="AC71">
        <v>109.4</v>
      </c>
      <c r="AD71">
        <v>114.2</v>
      </c>
      <c r="AE71">
        <v>120.3</v>
      </c>
      <c r="AF71" s="12">
        <f>AVERAGE(All_India_Index_Upto_April23__1___1[[#This Row],[Cereals and products]:[Pan, tobacco and intoxicants]])</f>
        <v>120.80714285714285</v>
      </c>
      <c r="AG71" s="12">
        <f>AVERAGE(All_India_Index_Upto_April23__1___1[[#This Row],[Household goods and services]],All_India_Index_Upto_April23__1___1[[#This Row],[Housing]])</f>
        <v>128.73548387096781</v>
      </c>
      <c r="AH71" s="12">
        <f>AVERAGE(All_India_Index_Upto_April23__1___1[[#This Row],[Miscellaneous]],All_India_Index_Upto_April23__1___1[[#This Row],[Personal care and effects]],All_India_Index_Upto_April23__1___1[[#This Row],[Education]],All_India_Index_Upto_April23__1___1[[#This Row],[Recreation and amusement]])</f>
        <v>113.65</v>
      </c>
      <c r="AI71" s="12">
        <f>SUM(All_India_Index_Upto_April23__1___1[[#This Row],[Cereals and products]:[Pan, tobacco and intoxicants]])</f>
        <v>1691.3</v>
      </c>
      <c r="AJ71" s="12">
        <f>SUM(All_India_Index_Upto_April23__1___1[[#This Row],[Household goods and services]],All_India_Index_Upto_April23__1___1[[#This Row],[Housing]])</f>
        <v>257.47096774193562</v>
      </c>
      <c r="AK71" s="12">
        <f>All_India_Index_Upto_April23__1___1[[#This Row],[Clothing]]+All_India_Index_Upto_April23__1___1[[#This Row],[Footwear]]</f>
        <v>244.39999999999998</v>
      </c>
      <c r="AL71" s="12">
        <f>All_India_Index_Upto_April23__1___1[[#This Row],[Miscellaneous]]+All_India_Index_Upto_April23__1___1[[#This Row],[Personal care and effects]]+All_India_Index_Upto_April23__1___1[[#This Row],[Education]]+All_India_Index_Upto_April23__1___1[[#This Row],[Recreation and amusement]]</f>
        <v>454.6</v>
      </c>
      <c r="AM7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2992.8709677419356</v>
      </c>
    </row>
    <row r="72" spans="1:39" hidden="1" x14ac:dyDescent="0.3">
      <c r="A72" t="s">
        <v>32</v>
      </c>
      <c r="B72">
        <v>2014</v>
      </c>
      <c r="C72" t="s">
        <v>45</v>
      </c>
      <c r="D72" t="str">
        <f t="shared" si="1"/>
        <v>Dec-14</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c r="AF72" s="12">
        <f>AVERAGE(All_India_Index_Upto_April23__1___1[[#This Row],[Cereals and products]:[Pan, tobacco and intoxicants]])</f>
        <v>121.68571428571428</v>
      </c>
      <c r="AG72" s="12">
        <f>AVERAGE(All_India_Index_Upto_April23__1___1[[#This Row],[Household goods and services]],All_India_Index_Upto_April23__1___1[[#This Row],[Housing]])</f>
        <v>116.65</v>
      </c>
      <c r="AH72" s="12">
        <f>AVERAGE(All_India_Index_Upto_April23__1___1[[#This Row],[Miscellaneous]],All_India_Index_Upto_April23__1___1[[#This Row],[Personal care and effects]],All_India_Index_Upto_April23__1___1[[#This Row],[Education]],All_India_Index_Upto_April23__1___1[[#This Row],[Recreation and amusement]])</f>
        <v>114.7</v>
      </c>
      <c r="AI72" s="12">
        <f>SUM(All_India_Index_Upto_April23__1___1[[#This Row],[Cereals and products]:[Pan, tobacco and intoxicants]])</f>
        <v>1703.6</v>
      </c>
      <c r="AJ72" s="12">
        <f>SUM(All_India_Index_Upto_April23__1___1[[#This Row],[Household goods and services]],All_India_Index_Upto_April23__1___1[[#This Row],[Housing]])</f>
        <v>233.3</v>
      </c>
      <c r="AK72" s="12">
        <f>All_India_Index_Upto_April23__1___1[[#This Row],[Clothing]]+All_India_Index_Upto_April23__1___1[[#This Row],[Footwear]]</f>
        <v>236.5</v>
      </c>
      <c r="AL72" s="12">
        <f>All_India_Index_Upto_April23__1___1[[#This Row],[Miscellaneous]]+All_India_Index_Upto_April23__1___1[[#This Row],[Personal care and effects]]+All_India_Index_Upto_April23__1___1[[#This Row],[Education]]+All_India_Index_Upto_April23__1___1[[#This Row],[Recreation and amusement]]</f>
        <v>458.8</v>
      </c>
      <c r="AM7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2967.2</v>
      </c>
    </row>
    <row r="73" spans="1:39" hidden="1" x14ac:dyDescent="0.3">
      <c r="A73" t="s">
        <v>33</v>
      </c>
      <c r="B73">
        <v>2014</v>
      </c>
      <c r="C73" t="s">
        <v>45</v>
      </c>
      <c r="D73" t="str">
        <f t="shared" si="1"/>
        <v>Dec-14</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c r="AF73" s="12">
        <f>AVERAGE(All_India_Index_Upto_April23__1___1[[#This Row],[Cereals and products]:[Pan, tobacco and intoxicants]])</f>
        <v>121.04999999999998</v>
      </c>
      <c r="AG73" s="12">
        <f>AVERAGE(All_India_Index_Upto_April23__1___1[[#This Row],[Household goods and services]],All_India_Index_Upto_April23__1___1[[#This Row],[Housing]])</f>
        <v>117</v>
      </c>
      <c r="AH73" s="12">
        <f>AVERAGE(All_India_Index_Upto_April23__1___1[[#This Row],[Miscellaneous]],All_India_Index_Upto_April23__1___1[[#This Row],[Personal care and effects]],All_India_Index_Upto_April23__1___1[[#This Row],[Education]],All_India_Index_Upto_April23__1___1[[#This Row],[Recreation and amusement]])</f>
        <v>114.25</v>
      </c>
      <c r="AI73" s="12">
        <f>SUM(All_India_Index_Upto_April23__1___1[[#This Row],[Cereals and products]:[Pan, tobacco and intoxicants]])</f>
        <v>1694.6999999999998</v>
      </c>
      <c r="AJ73" s="12">
        <f>SUM(All_India_Index_Upto_April23__1___1[[#This Row],[Household goods and services]],All_India_Index_Upto_April23__1___1[[#This Row],[Housing]])</f>
        <v>234</v>
      </c>
      <c r="AK73" s="12">
        <f>All_India_Index_Upto_April23__1___1[[#This Row],[Clothing]]+All_India_Index_Upto_April23__1___1[[#This Row],[Footwear]]</f>
        <v>241.2</v>
      </c>
      <c r="AL73" s="12">
        <f>All_India_Index_Upto_April23__1___1[[#This Row],[Miscellaneous]]+All_India_Index_Upto_April23__1___1[[#This Row],[Personal care and effects]]+All_India_Index_Upto_April23__1___1[[#This Row],[Education]]+All_India_Index_Upto_April23__1___1[[#This Row],[Recreation and amusement]]</f>
        <v>457</v>
      </c>
      <c r="AM7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2967.7999999999993</v>
      </c>
    </row>
    <row r="74" spans="1:39" hidden="1" x14ac:dyDescent="0.3">
      <c r="A74" t="s">
        <v>30</v>
      </c>
      <c r="B74">
        <v>2015</v>
      </c>
      <c r="C74" t="s">
        <v>31</v>
      </c>
      <c r="D74" t="str">
        <f t="shared" si="1"/>
        <v>Jan-15</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s="12">
        <f>'Handle Missing Value Sheet only'!$F$5</f>
        <v>139.27096774193564</v>
      </c>
      <c r="W74">
        <v>118.4</v>
      </c>
      <c r="X74">
        <v>118.9</v>
      </c>
      <c r="Y74">
        <v>116.6</v>
      </c>
      <c r="Z74">
        <v>111</v>
      </c>
      <c r="AA74">
        <v>114</v>
      </c>
      <c r="AB74">
        <v>118.2</v>
      </c>
      <c r="AC74">
        <v>110.2</v>
      </c>
      <c r="AD74">
        <v>114.5</v>
      </c>
      <c r="AE74">
        <v>120.3</v>
      </c>
      <c r="AF74" s="12">
        <f>AVERAGE(All_India_Index_Upto_April23__1___1[[#This Row],[Cereals and products]:[Pan, tobacco and intoxicants]])</f>
        <v>120.77142857142857</v>
      </c>
      <c r="AG74" s="12">
        <f>AVERAGE(All_India_Index_Upto_April23__1___1[[#This Row],[Household goods and services]],All_India_Index_Upto_April23__1___1[[#This Row],[Housing]])</f>
        <v>129.08548387096783</v>
      </c>
      <c r="AH74" s="12">
        <f>AVERAGE(All_India_Index_Upto_April23__1___1[[#This Row],[Miscellaneous]],All_India_Index_Upto_April23__1___1[[#This Row],[Personal care and effects]],All_India_Index_Upto_April23__1___1[[#This Row],[Education]],All_India_Index_Upto_April23__1___1[[#This Row],[Recreation and amusement]])</f>
        <v>114.22499999999999</v>
      </c>
      <c r="AI74" s="12">
        <f>SUM(All_India_Index_Upto_April23__1___1[[#This Row],[Cereals and products]:[Pan, tobacco and intoxicants]])</f>
        <v>1690.8</v>
      </c>
      <c r="AJ74" s="12">
        <f>SUM(All_India_Index_Upto_April23__1___1[[#This Row],[Household goods and services]],All_India_Index_Upto_April23__1___1[[#This Row],[Housing]])</f>
        <v>258.17096774193567</v>
      </c>
      <c r="AK74" s="12">
        <f>All_India_Index_Upto_April23__1___1[[#This Row],[Clothing]]+All_India_Index_Upto_April23__1___1[[#This Row],[Footwear]]</f>
        <v>246</v>
      </c>
      <c r="AL74" s="12">
        <f>All_India_Index_Upto_April23__1___1[[#This Row],[Miscellaneous]]+All_India_Index_Upto_April23__1___1[[#This Row],[Personal care and effects]]+All_India_Index_Upto_April23__1___1[[#This Row],[Education]]+All_India_Index_Upto_April23__1___1[[#This Row],[Recreation and amusement]]</f>
        <v>456.9</v>
      </c>
      <c r="AM7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2997.8709677419356</v>
      </c>
    </row>
    <row r="75" spans="1:39" hidden="1" x14ac:dyDescent="0.3">
      <c r="A75" t="s">
        <v>32</v>
      </c>
      <c r="B75">
        <v>2015</v>
      </c>
      <c r="C75" t="s">
        <v>31</v>
      </c>
      <c r="D75" t="str">
        <f t="shared" si="1"/>
        <v>Jan-15</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c r="AF75" s="12">
        <f>AVERAGE(All_India_Index_Upto_April23__1___1[[#This Row],[Cereals and products]:[Pan, tobacco and intoxicants]])</f>
        <v>121.59285714285714</v>
      </c>
      <c r="AG75" s="12">
        <f>AVERAGE(All_India_Index_Upto_April23__1___1[[#This Row],[Household goods and services]],All_India_Index_Upto_April23__1___1[[#This Row],[Housing]])</f>
        <v>117.25</v>
      </c>
      <c r="AH75" s="12">
        <f>AVERAGE(All_India_Index_Upto_April23__1___1[[#This Row],[Miscellaneous]],All_India_Index_Upto_April23__1___1[[#This Row],[Personal care and effects]],All_India_Index_Upto_April23__1___1[[#This Row],[Education]],All_India_Index_Upto_April23__1___1[[#This Row],[Recreation and amusement]])</f>
        <v>115.05000000000001</v>
      </c>
      <c r="AI75" s="12">
        <f>SUM(All_India_Index_Upto_April23__1___1[[#This Row],[Cereals and products]:[Pan, tobacco and intoxicants]])</f>
        <v>1702.3</v>
      </c>
      <c r="AJ75" s="12">
        <f>SUM(All_India_Index_Upto_April23__1___1[[#This Row],[Household goods and services]],All_India_Index_Upto_April23__1___1[[#This Row],[Housing]])</f>
        <v>234.5</v>
      </c>
      <c r="AK75" s="12">
        <f>All_India_Index_Upto_April23__1___1[[#This Row],[Clothing]]+All_India_Index_Upto_April23__1___1[[#This Row],[Footwear]]</f>
        <v>237.1</v>
      </c>
      <c r="AL75" s="12">
        <f>All_India_Index_Upto_April23__1___1[[#This Row],[Miscellaneous]]+All_India_Index_Upto_April23__1___1[[#This Row],[Personal care and effects]]+All_India_Index_Upto_April23__1___1[[#This Row],[Education]]+All_India_Index_Upto_April23__1___1[[#This Row],[Recreation and amusement]]</f>
        <v>460.20000000000005</v>
      </c>
      <c r="AM7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2969.1</v>
      </c>
    </row>
    <row r="76" spans="1:39" hidden="1" x14ac:dyDescent="0.3">
      <c r="A76" t="s">
        <v>33</v>
      </c>
      <c r="B76">
        <v>2015</v>
      </c>
      <c r="C76" t="s">
        <v>31</v>
      </c>
      <c r="D76" t="str">
        <f t="shared" si="1"/>
        <v>Jan-15</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c r="AF76" s="12">
        <f>AVERAGE(All_India_Index_Upto_April23__1___1[[#This Row],[Cereals and products]:[Pan, tobacco and intoxicants]])</f>
        <v>120.95</v>
      </c>
      <c r="AG76" s="12">
        <f>AVERAGE(All_India_Index_Upto_April23__1___1[[#This Row],[Household goods and services]],All_India_Index_Upto_April23__1___1[[#This Row],[Housing]])</f>
        <v>117.69999999999999</v>
      </c>
      <c r="AH76" s="12">
        <f>AVERAGE(All_India_Index_Upto_April23__1___1[[#This Row],[Miscellaneous]],All_India_Index_Upto_April23__1___1[[#This Row],[Personal care and effects]],All_India_Index_Upto_April23__1___1[[#This Row],[Education]],All_India_Index_Upto_April23__1___1[[#This Row],[Recreation and amusement]])</f>
        <v>114.675</v>
      </c>
      <c r="AI76" s="12">
        <f>SUM(All_India_Index_Upto_April23__1___1[[#This Row],[Cereals and products]:[Pan, tobacco and intoxicants]])</f>
        <v>1693.3</v>
      </c>
      <c r="AJ76" s="12">
        <f>SUM(All_India_Index_Upto_April23__1___1[[#This Row],[Household goods and services]],All_India_Index_Upto_April23__1___1[[#This Row],[Housing]])</f>
        <v>235.39999999999998</v>
      </c>
      <c r="AK76" s="12">
        <f>All_India_Index_Upto_April23__1___1[[#This Row],[Clothing]]+All_India_Index_Upto_April23__1___1[[#This Row],[Footwear]]</f>
        <v>242.39999999999998</v>
      </c>
      <c r="AL76" s="12">
        <f>All_India_Index_Upto_April23__1___1[[#This Row],[Miscellaneous]]+All_India_Index_Upto_April23__1___1[[#This Row],[Personal care and effects]]+All_India_Index_Upto_April23__1___1[[#This Row],[Education]]+All_India_Index_Upto_April23__1___1[[#This Row],[Recreation and amusement]]</f>
        <v>458.7</v>
      </c>
      <c r="AM7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2971.2</v>
      </c>
    </row>
    <row r="77" spans="1:39" hidden="1" x14ac:dyDescent="0.3">
      <c r="A77" t="s">
        <v>30</v>
      </c>
      <c r="B77">
        <v>2015</v>
      </c>
      <c r="C77" t="s">
        <v>34</v>
      </c>
      <c r="D77" t="str">
        <f t="shared" si="1"/>
        <v>Feb-15</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s="12">
        <f>'Handle Missing Value Sheet only'!$F$5</f>
        <v>139.27096774193564</v>
      </c>
      <c r="W77">
        <v>120</v>
      </c>
      <c r="X77">
        <v>119.6</v>
      </c>
      <c r="Y77">
        <v>117.7</v>
      </c>
      <c r="Z77">
        <v>110.9</v>
      </c>
      <c r="AA77">
        <v>114.8</v>
      </c>
      <c r="AB77">
        <v>118.7</v>
      </c>
      <c r="AC77">
        <v>110.8</v>
      </c>
      <c r="AD77">
        <v>115</v>
      </c>
      <c r="AE77">
        <v>120.6</v>
      </c>
      <c r="AF77" s="12">
        <f>AVERAGE(All_India_Index_Upto_April23__1___1[[#This Row],[Cereals and products]:[Pan, tobacco and intoxicants]])</f>
        <v>121.05714285714284</v>
      </c>
      <c r="AG77" s="12">
        <f>AVERAGE(All_India_Index_Upto_April23__1___1[[#This Row],[Household goods and services]],All_India_Index_Upto_April23__1___1[[#This Row],[Housing]])</f>
        <v>129.4354838709678</v>
      </c>
      <c r="AH77" s="12">
        <f>AVERAGE(All_India_Index_Upto_April23__1___1[[#This Row],[Miscellaneous]],All_India_Index_Upto_April23__1___1[[#This Row],[Personal care and effects]],All_India_Index_Upto_April23__1___1[[#This Row],[Education]],All_India_Index_Upto_April23__1___1[[#This Row],[Recreation and amusement]])</f>
        <v>114.825</v>
      </c>
      <c r="AI77" s="12">
        <f>SUM(All_India_Index_Upto_April23__1___1[[#This Row],[Cereals and products]:[Pan, tobacco and intoxicants]])</f>
        <v>1694.7999999999997</v>
      </c>
      <c r="AJ77" s="12">
        <f>SUM(All_India_Index_Upto_April23__1___1[[#This Row],[Household goods and services]],All_India_Index_Upto_April23__1___1[[#This Row],[Housing]])</f>
        <v>258.8709677419356</v>
      </c>
      <c r="AK77" s="12">
        <f>All_India_Index_Upto_April23__1___1[[#This Row],[Clothing]]+All_India_Index_Upto_April23__1___1[[#This Row],[Footwear]]</f>
        <v>248.10000000000002</v>
      </c>
      <c r="AL77" s="12">
        <f>All_India_Index_Upto_April23__1___1[[#This Row],[Miscellaneous]]+All_India_Index_Upto_April23__1___1[[#This Row],[Personal care and effects]]+All_India_Index_Upto_April23__1___1[[#This Row],[Education]]+All_India_Index_Upto_April23__1___1[[#This Row],[Recreation and amusement]]</f>
        <v>459.3</v>
      </c>
      <c r="AM7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3009.6709677419353</v>
      </c>
    </row>
    <row r="78" spans="1:39" hidden="1" x14ac:dyDescent="0.3">
      <c r="A78" t="s">
        <v>32</v>
      </c>
      <c r="B78">
        <v>2015</v>
      </c>
      <c r="C78" t="s">
        <v>34</v>
      </c>
      <c r="D78" t="str">
        <f t="shared" si="1"/>
        <v>Feb-15</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c r="AF78" s="12">
        <f>AVERAGE(All_India_Index_Upto_April23__1___1[[#This Row],[Cereals and products]:[Pan, tobacco and intoxicants]])</f>
        <v>121.37142857142858</v>
      </c>
      <c r="AG78" s="12">
        <f>AVERAGE(All_India_Index_Upto_April23__1___1[[#This Row],[Household goods and services]],All_India_Index_Upto_April23__1___1[[#This Row],[Housing]])</f>
        <v>117.9</v>
      </c>
      <c r="AH78" s="12">
        <f>AVERAGE(All_India_Index_Upto_April23__1___1[[#This Row],[Miscellaneous]],All_India_Index_Upto_April23__1___1[[#This Row],[Personal care and effects]],All_India_Index_Upto_April23__1___1[[#This Row],[Education]],All_India_Index_Upto_April23__1___1[[#This Row],[Recreation and amusement]])</f>
        <v>115.05000000000001</v>
      </c>
      <c r="AI78" s="12">
        <f>SUM(All_India_Index_Upto_April23__1___1[[#This Row],[Cereals and products]:[Pan, tobacco and intoxicants]])</f>
        <v>1699.2</v>
      </c>
      <c r="AJ78" s="12">
        <f>SUM(All_India_Index_Upto_April23__1___1[[#This Row],[Household goods and services]],All_India_Index_Upto_April23__1___1[[#This Row],[Housing]])</f>
        <v>235.8</v>
      </c>
      <c r="AK78" s="12">
        <f>All_India_Index_Upto_April23__1___1[[#This Row],[Clothing]]+All_India_Index_Upto_April23__1___1[[#This Row],[Footwear]]</f>
        <v>237.8</v>
      </c>
      <c r="AL78" s="12">
        <f>All_India_Index_Upto_April23__1___1[[#This Row],[Miscellaneous]]+All_India_Index_Upto_April23__1___1[[#This Row],[Personal care and effects]]+All_India_Index_Upto_April23__1___1[[#This Row],[Education]]+All_India_Index_Upto_April23__1___1[[#This Row],[Recreation and amusement]]</f>
        <v>460.20000000000005</v>
      </c>
      <c r="AM7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2967.9</v>
      </c>
    </row>
    <row r="79" spans="1:39" hidden="1" x14ac:dyDescent="0.3">
      <c r="A79" t="s">
        <v>33</v>
      </c>
      <c r="B79">
        <v>2015</v>
      </c>
      <c r="C79" t="s">
        <v>34</v>
      </c>
      <c r="D79" t="str">
        <f t="shared" si="1"/>
        <v>Feb-15</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c r="AF79" s="12">
        <f>AVERAGE(All_India_Index_Upto_April23__1___1[[#This Row],[Cereals and products]:[Pan, tobacco and intoxicants]])</f>
        <v>121.04285714285712</v>
      </c>
      <c r="AG79" s="12">
        <f>AVERAGE(All_India_Index_Upto_April23__1___1[[#This Row],[Household goods and services]],All_India_Index_Upto_April23__1___1[[#This Row],[Housing]])</f>
        <v>118.4</v>
      </c>
      <c r="AH79" s="12">
        <f>AVERAGE(All_India_Index_Upto_April23__1___1[[#This Row],[Miscellaneous]],All_India_Index_Upto_April23__1___1[[#This Row],[Personal care and effects]],All_India_Index_Upto_April23__1___1[[#This Row],[Education]],All_India_Index_Upto_April23__1___1[[#This Row],[Recreation and amusement]])</f>
        <v>114.97499999999999</v>
      </c>
      <c r="AI79" s="12">
        <f>SUM(All_India_Index_Upto_April23__1___1[[#This Row],[Cereals and products]:[Pan, tobacco and intoxicants]])</f>
        <v>1694.5999999999997</v>
      </c>
      <c r="AJ79" s="12">
        <f>SUM(All_India_Index_Upto_April23__1___1[[#This Row],[Household goods and services]],All_India_Index_Upto_April23__1___1[[#This Row],[Housing]])</f>
        <v>236.8</v>
      </c>
      <c r="AK79" s="12">
        <f>All_India_Index_Upto_April23__1___1[[#This Row],[Clothing]]+All_India_Index_Upto_April23__1___1[[#This Row],[Footwear]]</f>
        <v>243.89999999999998</v>
      </c>
      <c r="AL79" s="12">
        <f>All_India_Index_Upto_April23__1___1[[#This Row],[Miscellaneous]]+All_India_Index_Upto_April23__1___1[[#This Row],[Personal care and effects]]+All_India_Index_Upto_April23__1___1[[#This Row],[Education]]+All_India_Index_Upto_April23__1___1[[#This Row],[Recreation and amusement]]</f>
        <v>459.9</v>
      </c>
      <c r="AM7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2977.8999999999996</v>
      </c>
    </row>
    <row r="80" spans="1:39" hidden="1" x14ac:dyDescent="0.3">
      <c r="A80" t="s">
        <v>30</v>
      </c>
      <c r="B80">
        <v>2015</v>
      </c>
      <c r="C80" t="s">
        <v>35</v>
      </c>
      <c r="D80" t="str">
        <f t="shared" si="1"/>
        <v>Mar-15</v>
      </c>
      <c r="E80">
        <v>123.3</v>
      </c>
      <c r="F80">
        <v>124.7</v>
      </c>
      <c r="G80">
        <v>118.9</v>
      </c>
      <c r="H80">
        <v>126</v>
      </c>
      <c r="I80">
        <v>111.8</v>
      </c>
      <c r="J80">
        <v>130.9</v>
      </c>
      <c r="K80">
        <v>128</v>
      </c>
      <c r="L80">
        <v>119.9</v>
      </c>
      <c r="M80">
        <v>98.9</v>
      </c>
      <c r="N80">
        <v>119.4</v>
      </c>
      <c r="O80">
        <v>118.9</v>
      </c>
      <c r="P80">
        <v>127.7</v>
      </c>
      <c r="Q80">
        <v>123.1</v>
      </c>
      <c r="R80">
        <v>124.7</v>
      </c>
      <c r="S80">
        <v>126</v>
      </c>
      <c r="T80">
        <v>122.9</v>
      </c>
      <c r="U80">
        <v>125.5</v>
      </c>
      <c r="V80" s="12">
        <f>'Handle Missing Value Sheet only'!$F$5</f>
        <v>139.27096774193564</v>
      </c>
      <c r="W80">
        <v>120.6</v>
      </c>
      <c r="X80">
        <v>120.2</v>
      </c>
      <c r="Y80">
        <v>118.2</v>
      </c>
      <c r="Z80">
        <v>111.6</v>
      </c>
      <c r="AA80">
        <v>115.5</v>
      </c>
      <c r="AB80">
        <v>119.4</v>
      </c>
      <c r="AC80">
        <v>110.8</v>
      </c>
      <c r="AD80">
        <v>115.5</v>
      </c>
      <c r="AE80">
        <v>121.1</v>
      </c>
      <c r="AF80" s="12">
        <f>AVERAGE(All_India_Index_Upto_April23__1___1[[#This Row],[Cereals and products]:[Pan, tobacco and intoxicants]])</f>
        <v>121.15714285714286</v>
      </c>
      <c r="AG80" s="12">
        <f>AVERAGE(All_India_Index_Upto_April23__1___1[[#This Row],[Household goods and services]],All_India_Index_Upto_April23__1___1[[#This Row],[Housing]])</f>
        <v>129.73548387096781</v>
      </c>
      <c r="AH80" s="12">
        <f>AVERAGE(All_India_Index_Upto_April23__1___1[[#This Row],[Miscellaneous]],All_India_Index_Upto_April23__1___1[[#This Row],[Personal care and effects]],All_India_Index_Upto_April23__1___1[[#This Row],[Education]],All_India_Index_Upto_April23__1___1[[#This Row],[Recreation and amusement]])</f>
        <v>115.30000000000001</v>
      </c>
      <c r="AI80" s="12">
        <f>SUM(All_India_Index_Upto_April23__1___1[[#This Row],[Cereals and products]:[Pan, tobacco and intoxicants]])</f>
        <v>1696.2</v>
      </c>
      <c r="AJ80" s="12">
        <f>SUM(All_India_Index_Upto_April23__1___1[[#This Row],[Household goods and services]],All_India_Index_Upto_April23__1___1[[#This Row],[Housing]])</f>
        <v>259.47096774193562</v>
      </c>
      <c r="AK80" s="12">
        <f>All_India_Index_Upto_April23__1___1[[#This Row],[Clothing]]+All_India_Index_Upto_April23__1___1[[#This Row],[Footwear]]</f>
        <v>248.9</v>
      </c>
      <c r="AL80" s="12">
        <f>All_India_Index_Upto_April23__1___1[[#This Row],[Miscellaneous]]+All_India_Index_Upto_April23__1___1[[#This Row],[Personal care and effects]]+All_India_Index_Upto_April23__1___1[[#This Row],[Education]]+All_India_Index_Upto_April23__1___1[[#This Row],[Recreation and amusement]]</f>
        <v>461.20000000000005</v>
      </c>
      <c r="AM8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3016.1709677419353</v>
      </c>
    </row>
    <row r="81" spans="1:39" hidden="1" x14ac:dyDescent="0.3">
      <c r="A81" t="s">
        <v>32</v>
      </c>
      <c r="B81">
        <v>2015</v>
      </c>
      <c r="C81" t="s">
        <v>35</v>
      </c>
      <c r="D81" t="str">
        <f t="shared" si="1"/>
        <v>Mar-15</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c r="AF81" s="12">
        <f>AVERAGE(All_India_Index_Upto_April23__1___1[[#This Row],[Cereals and products]:[Pan, tobacco and intoxicants]])</f>
        <v>121.20000000000002</v>
      </c>
      <c r="AG81" s="12">
        <f>AVERAGE(All_India_Index_Upto_April23__1___1[[#This Row],[Household goods and services]],All_India_Index_Upto_April23__1___1[[#This Row],[Housing]])</f>
        <v>118.3</v>
      </c>
      <c r="AH81" s="12">
        <f>AVERAGE(All_India_Index_Upto_April23__1___1[[#This Row],[Miscellaneous]],All_India_Index_Upto_April23__1___1[[#This Row],[Personal care and effects]],All_India_Index_Upto_April23__1___1[[#This Row],[Education]],All_India_Index_Upto_April23__1___1[[#This Row],[Recreation and amusement]])</f>
        <v>115.27500000000001</v>
      </c>
      <c r="AI81" s="12">
        <f>SUM(All_India_Index_Upto_April23__1___1[[#This Row],[Cereals and products]:[Pan, tobacco and intoxicants]])</f>
        <v>1696.8000000000002</v>
      </c>
      <c r="AJ81" s="12">
        <f>SUM(All_India_Index_Upto_April23__1___1[[#This Row],[Household goods and services]],All_India_Index_Upto_April23__1___1[[#This Row],[Housing]])</f>
        <v>236.6</v>
      </c>
      <c r="AK81" s="12">
        <f>All_India_Index_Upto_April23__1___1[[#This Row],[Clothing]]+All_India_Index_Upto_April23__1___1[[#This Row],[Footwear]]</f>
        <v>238.60000000000002</v>
      </c>
      <c r="AL81" s="12">
        <f>All_India_Index_Upto_April23__1___1[[#This Row],[Miscellaneous]]+All_India_Index_Upto_April23__1___1[[#This Row],[Personal care and effects]]+All_India_Index_Upto_April23__1___1[[#This Row],[Education]]+All_India_Index_Upto_April23__1___1[[#This Row],[Recreation and amusement]]</f>
        <v>461.1</v>
      </c>
      <c r="AM8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2970.2000000000007</v>
      </c>
    </row>
    <row r="82" spans="1:39" hidden="1" x14ac:dyDescent="0.3">
      <c r="A82" t="s">
        <v>33</v>
      </c>
      <c r="B82">
        <v>2015</v>
      </c>
      <c r="C82" t="s">
        <v>35</v>
      </c>
      <c r="D82" t="str">
        <f t="shared" si="1"/>
        <v>Mar-15</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c r="AF82" s="12">
        <f>AVERAGE(All_India_Index_Upto_April23__1___1[[#This Row],[Cereals and products]:[Pan, tobacco and intoxicants]])</f>
        <v>121.0642857142857</v>
      </c>
      <c r="AG82" s="12">
        <f>AVERAGE(All_India_Index_Upto_April23__1___1[[#This Row],[Household goods and services]],All_India_Index_Upto_April23__1___1[[#This Row],[Housing]])</f>
        <v>118.9</v>
      </c>
      <c r="AH82" s="12">
        <f>AVERAGE(All_India_Index_Upto_April23__1___1[[#This Row],[Miscellaneous]],All_India_Index_Upto_April23__1___1[[#This Row],[Personal care and effects]],All_India_Index_Upto_April23__1___1[[#This Row],[Education]],All_India_Index_Upto_April23__1___1[[#This Row],[Recreation and amusement]])</f>
        <v>115.29999999999998</v>
      </c>
      <c r="AI82" s="12">
        <f>SUM(All_India_Index_Upto_April23__1___1[[#This Row],[Cereals and products]:[Pan, tobacco and intoxicants]])</f>
        <v>1694.8999999999999</v>
      </c>
      <c r="AJ82" s="12">
        <f>SUM(All_India_Index_Upto_April23__1___1[[#This Row],[Household goods and services]],All_India_Index_Upto_April23__1___1[[#This Row],[Housing]])</f>
        <v>237.8</v>
      </c>
      <c r="AK82" s="12">
        <f>All_India_Index_Upto_April23__1___1[[#This Row],[Clothing]]+All_India_Index_Upto_April23__1___1[[#This Row],[Footwear]]</f>
        <v>244.7</v>
      </c>
      <c r="AL82" s="12">
        <f>All_India_Index_Upto_April23__1___1[[#This Row],[Miscellaneous]]+All_India_Index_Upto_April23__1___1[[#This Row],[Personal care and effects]]+All_India_Index_Upto_April23__1___1[[#This Row],[Education]]+All_India_Index_Upto_April23__1___1[[#This Row],[Recreation and amusement]]</f>
        <v>461.19999999999993</v>
      </c>
      <c r="AM8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2983.4999999999995</v>
      </c>
    </row>
    <row r="83" spans="1:39" hidden="1" x14ac:dyDescent="0.3">
      <c r="A83" t="s">
        <v>30</v>
      </c>
      <c r="B83">
        <v>2015</v>
      </c>
      <c r="C83" t="s">
        <v>36</v>
      </c>
      <c r="D83" t="str">
        <f t="shared" si="1"/>
        <v>Apr-15</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s="12">
        <f>'Handle Missing Value Sheet only'!$F$5</f>
        <v>139.27096774193564</v>
      </c>
      <c r="W83">
        <v>121.2</v>
      </c>
      <c r="X83">
        <v>120.9</v>
      </c>
      <c r="Y83">
        <v>118.6</v>
      </c>
      <c r="Z83">
        <v>111.9</v>
      </c>
      <c r="AA83">
        <v>116.2</v>
      </c>
      <c r="AB83">
        <v>119.9</v>
      </c>
      <c r="AC83">
        <v>111.6</v>
      </c>
      <c r="AD83">
        <v>116</v>
      </c>
      <c r="AE83">
        <v>121.5</v>
      </c>
      <c r="AF83" s="12">
        <f>AVERAGE(All_India_Index_Upto_April23__1___1[[#This Row],[Cereals and products]:[Pan, tobacco and intoxicants]])</f>
        <v>121.63571428571429</v>
      </c>
      <c r="AG83" s="12">
        <f>AVERAGE(All_India_Index_Upto_April23__1___1[[#This Row],[Household goods and services]],All_India_Index_Upto_April23__1___1[[#This Row],[Housing]])</f>
        <v>130.08548387096783</v>
      </c>
      <c r="AH83" s="12">
        <f>AVERAGE(All_India_Index_Upto_April23__1___1[[#This Row],[Miscellaneous]],All_India_Index_Upto_April23__1___1[[#This Row],[Personal care and effects]],All_India_Index_Upto_April23__1___1[[#This Row],[Education]],All_India_Index_Upto_April23__1___1[[#This Row],[Recreation and amusement]])</f>
        <v>115.925</v>
      </c>
      <c r="AI83" s="12">
        <f>SUM(All_India_Index_Upto_April23__1___1[[#This Row],[Cereals and products]:[Pan, tobacco and intoxicants]])</f>
        <v>1702.9</v>
      </c>
      <c r="AJ83" s="12">
        <f>SUM(All_India_Index_Upto_April23__1___1[[#This Row],[Household goods and services]],All_India_Index_Upto_April23__1___1[[#This Row],[Housing]])</f>
        <v>260.17096774193567</v>
      </c>
      <c r="AK83" s="12">
        <f>All_India_Index_Upto_April23__1___1[[#This Row],[Clothing]]+All_India_Index_Upto_April23__1___1[[#This Row],[Footwear]]</f>
        <v>249.7</v>
      </c>
      <c r="AL83" s="12">
        <f>All_India_Index_Upto_April23__1___1[[#This Row],[Miscellaneous]]+All_India_Index_Upto_April23__1___1[[#This Row],[Personal care and effects]]+All_India_Index_Upto_April23__1___1[[#This Row],[Education]]+All_India_Index_Upto_April23__1___1[[#This Row],[Recreation and amusement]]</f>
        <v>463.7</v>
      </c>
      <c r="AM8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3028.1709677419358</v>
      </c>
    </row>
    <row r="84" spans="1:39" hidden="1" x14ac:dyDescent="0.3">
      <c r="A84" t="s">
        <v>32</v>
      </c>
      <c r="B84">
        <v>2015</v>
      </c>
      <c r="C84" t="s">
        <v>36</v>
      </c>
      <c r="D84" t="str">
        <f t="shared" si="1"/>
        <v>Apr-15</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c r="AF84" s="12">
        <f>AVERAGE(All_India_Index_Upto_April23__1___1[[#This Row],[Cereals and products]:[Pan, tobacco and intoxicants]])</f>
        <v>121.87142857142855</v>
      </c>
      <c r="AG84" s="12">
        <f>AVERAGE(All_India_Index_Upto_April23__1___1[[#This Row],[Household goods and services]],All_India_Index_Upto_April23__1___1[[#This Row],[Housing]])</f>
        <v>118.80000000000001</v>
      </c>
      <c r="AH84" s="12">
        <f>AVERAGE(All_India_Index_Upto_April23__1___1[[#This Row],[Miscellaneous]],All_India_Index_Upto_April23__1___1[[#This Row],[Personal care and effects]],All_India_Index_Upto_April23__1___1[[#This Row],[Education]],All_India_Index_Upto_April23__1___1[[#This Row],[Recreation and amusement]])</f>
        <v>115.82499999999999</v>
      </c>
      <c r="AI84" s="12">
        <f>SUM(All_India_Index_Upto_April23__1___1[[#This Row],[Cereals and products]:[Pan, tobacco and intoxicants]])</f>
        <v>1706.1999999999998</v>
      </c>
      <c r="AJ84" s="12">
        <f>SUM(All_India_Index_Upto_April23__1___1[[#This Row],[Household goods and services]],All_India_Index_Upto_April23__1___1[[#This Row],[Housing]])</f>
        <v>237.60000000000002</v>
      </c>
      <c r="AK84" s="12">
        <f>All_India_Index_Upto_April23__1___1[[#This Row],[Clothing]]+All_India_Index_Upto_April23__1___1[[#This Row],[Footwear]]</f>
        <v>239.3</v>
      </c>
      <c r="AL84" s="12">
        <f>All_India_Index_Upto_April23__1___1[[#This Row],[Miscellaneous]]+All_India_Index_Upto_April23__1___1[[#This Row],[Personal care and effects]]+All_India_Index_Upto_April23__1___1[[#This Row],[Education]]+All_India_Index_Upto_April23__1___1[[#This Row],[Recreation and amusement]]</f>
        <v>463.29999999999995</v>
      </c>
      <c r="AM8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2984.0999999999995</v>
      </c>
    </row>
    <row r="85" spans="1:39" hidden="1" x14ac:dyDescent="0.3">
      <c r="A85" t="s">
        <v>33</v>
      </c>
      <c r="B85">
        <v>2015</v>
      </c>
      <c r="C85" t="s">
        <v>36</v>
      </c>
      <c r="D85" t="str">
        <f t="shared" si="1"/>
        <v>Apr-15</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c r="AF85" s="12">
        <f>AVERAGE(All_India_Index_Upto_April23__1___1[[#This Row],[Cereals and products]:[Pan, tobacco and intoxicants]])</f>
        <v>121.61428571428573</v>
      </c>
      <c r="AG85" s="12">
        <f>AVERAGE(All_India_Index_Upto_April23__1___1[[#This Row],[Household goods and services]],All_India_Index_Upto_April23__1___1[[#This Row],[Housing]])</f>
        <v>119.45</v>
      </c>
      <c r="AH85" s="12">
        <f>AVERAGE(All_India_Index_Upto_April23__1___1[[#This Row],[Miscellaneous]],All_India_Index_Upto_April23__1___1[[#This Row],[Personal care and effects]],All_India_Index_Upto_April23__1___1[[#This Row],[Education]],All_India_Index_Upto_April23__1___1[[#This Row],[Recreation and amusement]])</f>
        <v>115.92500000000001</v>
      </c>
      <c r="AI85" s="12">
        <f>SUM(All_India_Index_Upto_April23__1___1[[#This Row],[Cereals and products]:[Pan, tobacco and intoxicants]])</f>
        <v>1702.6000000000001</v>
      </c>
      <c r="AJ85" s="12">
        <f>SUM(All_India_Index_Upto_April23__1___1[[#This Row],[Household goods and services]],All_India_Index_Upto_April23__1___1[[#This Row],[Housing]])</f>
        <v>238.9</v>
      </c>
      <c r="AK85" s="12">
        <f>All_India_Index_Upto_April23__1___1[[#This Row],[Clothing]]+All_India_Index_Upto_April23__1___1[[#This Row],[Footwear]]</f>
        <v>245.5</v>
      </c>
      <c r="AL85" s="12">
        <f>All_India_Index_Upto_April23__1___1[[#This Row],[Miscellaneous]]+All_India_Index_Upto_April23__1___1[[#This Row],[Personal care and effects]]+All_India_Index_Upto_April23__1___1[[#This Row],[Education]]+All_India_Index_Upto_April23__1___1[[#This Row],[Recreation and amusement]]</f>
        <v>463.70000000000005</v>
      </c>
      <c r="AM8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2996.6</v>
      </c>
    </row>
    <row r="86" spans="1:39" hidden="1" x14ac:dyDescent="0.3">
      <c r="A86" t="s">
        <v>30</v>
      </c>
      <c r="B86">
        <v>2015</v>
      </c>
      <c r="C86" t="s">
        <v>37</v>
      </c>
      <c r="D86" t="str">
        <f t="shared" si="1"/>
        <v>May-15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s="12">
        <f>'Handle Missing Value Sheet only'!$F$5</f>
        <v>139.27096774193564</v>
      </c>
      <c r="W86">
        <v>121.9</v>
      </c>
      <c r="X86">
        <v>121.5</v>
      </c>
      <c r="Y86">
        <v>119.4</v>
      </c>
      <c r="Z86">
        <v>113.3</v>
      </c>
      <c r="AA86">
        <v>116.7</v>
      </c>
      <c r="AB86">
        <v>120.5</v>
      </c>
      <c r="AC86">
        <v>112.3</v>
      </c>
      <c r="AD86">
        <v>116.9</v>
      </c>
      <c r="AE86">
        <v>122.4</v>
      </c>
      <c r="AF86" s="12">
        <f>AVERAGE(All_India_Index_Upto_April23__1___1[[#This Row],[Cereals and products]:[Pan, tobacco and intoxicants]])</f>
        <v>122.45714285714287</v>
      </c>
      <c r="AG86" s="12">
        <f>AVERAGE(All_India_Index_Upto_April23__1___1[[#This Row],[Household goods and services]],All_India_Index_Upto_April23__1___1[[#This Row],[Housing]])</f>
        <v>130.38548387096782</v>
      </c>
      <c r="AH86" s="12">
        <f>AVERAGE(All_India_Index_Upto_April23__1___1[[#This Row],[Miscellaneous]],All_India_Index_Upto_April23__1___1[[#This Row],[Personal care and effects]],All_India_Index_Upto_April23__1___1[[#This Row],[Education]],All_India_Index_Upto_April23__1___1[[#This Row],[Recreation and amusement]])</f>
        <v>116.6</v>
      </c>
      <c r="AI86" s="12">
        <f>SUM(All_India_Index_Upto_April23__1___1[[#This Row],[Cereals and products]:[Pan, tobacco and intoxicants]])</f>
        <v>1714.4</v>
      </c>
      <c r="AJ86" s="12">
        <f>SUM(All_India_Index_Upto_April23__1___1[[#This Row],[Household goods and services]],All_India_Index_Upto_April23__1___1[[#This Row],[Housing]])</f>
        <v>260.77096774193564</v>
      </c>
      <c r="AK86" s="12">
        <f>All_India_Index_Upto_April23__1___1[[#This Row],[Clothing]]+All_India_Index_Upto_April23__1___1[[#This Row],[Footwear]]</f>
        <v>251.39999999999998</v>
      </c>
      <c r="AL86" s="12">
        <f>All_India_Index_Upto_April23__1___1[[#This Row],[Miscellaneous]]+All_India_Index_Upto_April23__1___1[[#This Row],[Personal care and effects]]+All_India_Index_Upto_April23__1___1[[#This Row],[Education]]+All_India_Index_Upto_April23__1___1[[#This Row],[Recreation and amusement]]</f>
        <v>466.4</v>
      </c>
      <c r="AM8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3047.5709677419363</v>
      </c>
    </row>
    <row r="87" spans="1:39" hidden="1" x14ac:dyDescent="0.3">
      <c r="A87" t="s">
        <v>32</v>
      </c>
      <c r="B87">
        <v>2015</v>
      </c>
      <c r="C87" t="s">
        <v>37</v>
      </c>
      <c r="D87" t="str">
        <f t="shared" si="1"/>
        <v>May-15</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c r="AF87" s="12">
        <f>AVERAGE(All_India_Index_Upto_April23__1___1[[#This Row],[Cereals and products]:[Pan, tobacco and intoxicants]])</f>
        <v>123.58571428571429</v>
      </c>
      <c r="AG87" s="12">
        <f>AVERAGE(All_India_Index_Upto_April23__1___1[[#This Row],[Household goods and services]],All_India_Index_Upto_April23__1___1[[#This Row],[Housing]])</f>
        <v>119.15</v>
      </c>
      <c r="AH87" s="12">
        <f>AVERAGE(All_India_Index_Upto_April23__1___1[[#This Row],[Miscellaneous]],All_India_Index_Upto_April23__1___1[[#This Row],[Personal care and effects]],All_India_Index_Upto_April23__1___1[[#This Row],[Education]],All_India_Index_Upto_April23__1___1[[#This Row],[Recreation and amusement]])</f>
        <v>116.4</v>
      </c>
      <c r="AI87" s="12">
        <f>SUM(All_India_Index_Upto_April23__1___1[[#This Row],[Cereals and products]:[Pan, tobacco and intoxicants]])</f>
        <v>1730.2</v>
      </c>
      <c r="AJ87" s="12">
        <f>SUM(All_India_Index_Upto_April23__1___1[[#This Row],[Household goods and services]],All_India_Index_Upto_April23__1___1[[#This Row],[Housing]])</f>
        <v>238.3</v>
      </c>
      <c r="AK87" s="12">
        <f>All_India_Index_Upto_April23__1___1[[#This Row],[Clothing]]+All_India_Index_Upto_April23__1___1[[#This Row],[Footwear]]</f>
        <v>239.8</v>
      </c>
      <c r="AL87" s="12">
        <f>All_India_Index_Upto_April23__1___1[[#This Row],[Miscellaneous]]+All_India_Index_Upto_April23__1___1[[#This Row],[Personal care and effects]]+All_India_Index_Upto_April23__1___1[[#This Row],[Education]]+All_India_Index_Upto_April23__1___1[[#This Row],[Recreation and amusement]]</f>
        <v>465.6</v>
      </c>
      <c r="AM8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3014.5000000000005</v>
      </c>
    </row>
    <row r="88" spans="1:39" hidden="1" x14ac:dyDescent="0.3">
      <c r="A88" t="s">
        <v>33</v>
      </c>
      <c r="B88">
        <v>2015</v>
      </c>
      <c r="C88" t="s">
        <v>37</v>
      </c>
      <c r="D88" t="str">
        <f t="shared" si="1"/>
        <v>May-15</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c r="AF88" s="12">
        <f>AVERAGE(All_India_Index_Upto_April23__1___1[[#This Row],[Cereals and products]:[Pan, tobacco and intoxicants]])</f>
        <v>122.73571428571429</v>
      </c>
      <c r="AG88" s="12">
        <f>AVERAGE(All_India_Index_Upto_April23__1___1[[#This Row],[Household goods and services]],All_India_Index_Upto_April23__1___1[[#This Row],[Housing]])</f>
        <v>119.9</v>
      </c>
      <c r="AH88" s="12">
        <f>AVERAGE(All_India_Index_Upto_April23__1___1[[#This Row],[Miscellaneous]],All_India_Index_Upto_April23__1___1[[#This Row],[Personal care and effects]],All_India_Index_Upto_April23__1___1[[#This Row],[Education]],All_India_Index_Upto_April23__1___1[[#This Row],[Recreation and amusement]])</f>
        <v>116.52499999999999</v>
      </c>
      <c r="AI88" s="12">
        <f>SUM(All_India_Index_Upto_April23__1___1[[#This Row],[Cereals and products]:[Pan, tobacco and intoxicants]])</f>
        <v>1718.3000000000002</v>
      </c>
      <c r="AJ88" s="12">
        <f>SUM(All_India_Index_Upto_April23__1___1[[#This Row],[Household goods and services]],All_India_Index_Upto_April23__1___1[[#This Row],[Housing]])</f>
        <v>239.8</v>
      </c>
      <c r="AK88" s="12">
        <f>All_India_Index_Upto_April23__1___1[[#This Row],[Clothing]]+All_India_Index_Upto_April23__1___1[[#This Row],[Footwear]]</f>
        <v>246.7</v>
      </c>
      <c r="AL88" s="12">
        <f>All_India_Index_Upto_April23__1___1[[#This Row],[Miscellaneous]]+All_India_Index_Upto_April23__1___1[[#This Row],[Personal care and effects]]+All_India_Index_Upto_April23__1___1[[#This Row],[Education]]+All_India_Index_Upto_April23__1___1[[#This Row],[Recreation and amusement]]</f>
        <v>466.09999999999997</v>
      </c>
      <c r="AM8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3019.7999999999997</v>
      </c>
    </row>
    <row r="89" spans="1:39" hidden="1" x14ac:dyDescent="0.3">
      <c r="A89" t="s">
        <v>30</v>
      </c>
      <c r="B89">
        <v>2015</v>
      </c>
      <c r="C89" t="s">
        <v>38</v>
      </c>
      <c r="D89" t="str">
        <f t="shared" si="1"/>
        <v>Jun-15</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s="12">
        <f>'Handle Missing Value Sheet only'!$F$5</f>
        <v>139.27096774193564</v>
      </c>
      <c r="W89">
        <v>122.6</v>
      </c>
      <c r="X89">
        <v>122.8</v>
      </c>
      <c r="Y89">
        <v>120.4</v>
      </c>
      <c r="Z89">
        <v>114.2</v>
      </c>
      <c r="AA89">
        <v>117.9</v>
      </c>
      <c r="AB89">
        <v>122</v>
      </c>
      <c r="AC89">
        <v>113</v>
      </c>
      <c r="AD89">
        <v>117.9</v>
      </c>
      <c r="AE89">
        <v>124.1</v>
      </c>
      <c r="AF89" s="12">
        <f>AVERAGE(All_India_Index_Upto_April23__1___1[[#This Row],[Cereals and products]:[Pan, tobacco and intoxicants]])</f>
        <v>124.72142857142856</v>
      </c>
      <c r="AG89" s="12">
        <f>AVERAGE(All_India_Index_Upto_April23__1___1[[#This Row],[Household goods and services]],All_India_Index_Upto_April23__1___1[[#This Row],[Housing]])</f>
        <v>131.03548387096782</v>
      </c>
      <c r="AH89" s="12">
        <f>AVERAGE(All_India_Index_Upto_April23__1___1[[#This Row],[Miscellaneous]],All_India_Index_Upto_April23__1___1[[#This Row],[Personal care and effects]],All_India_Index_Upto_April23__1___1[[#This Row],[Education]],All_India_Index_Upto_April23__1___1[[#This Row],[Recreation and amusement]])</f>
        <v>117.69999999999999</v>
      </c>
      <c r="AI89" s="12">
        <f>SUM(All_India_Index_Upto_April23__1___1[[#This Row],[Cereals and products]:[Pan, tobacco and intoxicants]])</f>
        <v>1746.1</v>
      </c>
      <c r="AJ89" s="12">
        <f>SUM(All_India_Index_Upto_April23__1___1[[#This Row],[Household goods and services]],All_India_Index_Upto_April23__1___1[[#This Row],[Housing]])</f>
        <v>262.07096774193565</v>
      </c>
      <c r="AK89" s="12">
        <f>All_India_Index_Upto_April23__1___1[[#This Row],[Clothing]]+All_India_Index_Upto_April23__1___1[[#This Row],[Footwear]]</f>
        <v>253.5</v>
      </c>
      <c r="AL89" s="12">
        <f>All_India_Index_Upto_April23__1___1[[#This Row],[Miscellaneous]]+All_India_Index_Upto_April23__1___1[[#This Row],[Personal care and effects]]+All_India_Index_Upto_April23__1___1[[#This Row],[Education]]+All_India_Index_Upto_April23__1___1[[#This Row],[Recreation and amusement]]</f>
        <v>470.79999999999995</v>
      </c>
      <c r="AM8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3089.6709677419353</v>
      </c>
    </row>
    <row r="90" spans="1:39" hidden="1" x14ac:dyDescent="0.3">
      <c r="A90" t="s">
        <v>32</v>
      </c>
      <c r="B90">
        <v>2015</v>
      </c>
      <c r="C90" t="s">
        <v>38</v>
      </c>
      <c r="D90" t="str">
        <f t="shared" si="1"/>
        <v>Jun-15</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c r="AF90" s="12">
        <f>AVERAGE(All_India_Index_Upto_April23__1___1[[#This Row],[Cereals and products]:[Pan, tobacco and intoxicants]])</f>
        <v>126.33571428571427</v>
      </c>
      <c r="AG90" s="12">
        <f>AVERAGE(All_India_Index_Upto_April23__1___1[[#This Row],[Household goods and services]],All_India_Index_Upto_April23__1___1[[#This Row],[Housing]])</f>
        <v>119.1</v>
      </c>
      <c r="AH90" s="12">
        <f>AVERAGE(All_India_Index_Upto_April23__1___1[[#This Row],[Miscellaneous]],All_India_Index_Upto_April23__1___1[[#This Row],[Personal care and effects]],All_India_Index_Upto_April23__1___1[[#This Row],[Education]],All_India_Index_Upto_April23__1___1[[#This Row],[Recreation and amusement]])</f>
        <v>117.125</v>
      </c>
      <c r="AI90" s="12">
        <f>SUM(All_India_Index_Upto_April23__1___1[[#This Row],[Cereals and products]:[Pan, tobacco and intoxicants]])</f>
        <v>1768.6999999999998</v>
      </c>
      <c r="AJ90" s="12">
        <f>SUM(All_India_Index_Upto_April23__1___1[[#This Row],[Household goods and services]],All_India_Index_Upto_April23__1___1[[#This Row],[Housing]])</f>
        <v>238.2</v>
      </c>
      <c r="AK90" s="12">
        <f>All_India_Index_Upto_April23__1___1[[#This Row],[Clothing]]+All_India_Index_Upto_April23__1___1[[#This Row],[Footwear]]</f>
        <v>240.8</v>
      </c>
      <c r="AL90" s="12">
        <f>All_India_Index_Upto_April23__1___1[[#This Row],[Miscellaneous]]+All_India_Index_Upto_April23__1___1[[#This Row],[Personal care and effects]]+All_India_Index_Upto_April23__1___1[[#This Row],[Education]]+All_India_Index_Upto_April23__1___1[[#This Row],[Recreation and amusement]]</f>
        <v>468.5</v>
      </c>
      <c r="AM9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3058.3999999999996</v>
      </c>
    </row>
    <row r="91" spans="1:39" hidden="1" x14ac:dyDescent="0.3">
      <c r="A91" t="s">
        <v>33</v>
      </c>
      <c r="B91">
        <v>2015</v>
      </c>
      <c r="C91" t="s">
        <v>38</v>
      </c>
      <c r="D91" t="str">
        <f t="shared" si="1"/>
        <v>Jun-15</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c r="AF91" s="12">
        <f>AVERAGE(All_India_Index_Upto_April23__1___1[[#This Row],[Cereals and products]:[Pan, tobacco and intoxicants]])</f>
        <v>125.19285714285715</v>
      </c>
      <c r="AG91" s="12">
        <f>AVERAGE(All_India_Index_Upto_April23__1___1[[#This Row],[Household goods and services]],All_India_Index_Upto_April23__1___1[[#This Row],[Housing]])</f>
        <v>120.05</v>
      </c>
      <c r="AH91" s="12">
        <f>AVERAGE(All_India_Index_Upto_April23__1___1[[#This Row],[Miscellaneous]],All_India_Index_Upto_April23__1___1[[#This Row],[Personal care and effects]],All_India_Index_Upto_April23__1___1[[#This Row],[Education]],All_India_Index_Upto_April23__1___1[[#This Row],[Recreation and amusement]])</f>
        <v>117.44999999999999</v>
      </c>
      <c r="AI91" s="12">
        <f>SUM(All_India_Index_Upto_April23__1___1[[#This Row],[Cereals and products]:[Pan, tobacco and intoxicants]])</f>
        <v>1752.7</v>
      </c>
      <c r="AJ91" s="12">
        <f>SUM(All_India_Index_Upto_April23__1___1[[#This Row],[Household goods and services]],All_India_Index_Upto_April23__1___1[[#This Row],[Housing]])</f>
        <v>240.1</v>
      </c>
      <c r="AK91" s="12">
        <f>All_India_Index_Upto_April23__1___1[[#This Row],[Clothing]]+All_India_Index_Upto_April23__1___1[[#This Row],[Footwear]]</f>
        <v>248.4</v>
      </c>
      <c r="AL91" s="12">
        <f>All_India_Index_Upto_April23__1___1[[#This Row],[Miscellaneous]]+All_India_Index_Upto_April23__1___1[[#This Row],[Personal care and effects]]+All_India_Index_Upto_April23__1___1[[#This Row],[Education]]+All_India_Index_Upto_April23__1___1[[#This Row],[Recreation and amusement]]</f>
        <v>469.79999999999995</v>
      </c>
      <c r="AM9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3062.2000000000003</v>
      </c>
    </row>
    <row r="92" spans="1:39" hidden="1" x14ac:dyDescent="0.3">
      <c r="A92" t="s">
        <v>30</v>
      </c>
      <c r="B92">
        <v>2015</v>
      </c>
      <c r="C92" t="s">
        <v>39</v>
      </c>
      <c r="D92" t="str">
        <f t="shared" si="1"/>
        <v>Jul-15</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s="12">
        <f>'Handle Missing Value Sheet only'!$F$5</f>
        <v>139.27096774193564</v>
      </c>
      <c r="W92">
        <v>123</v>
      </c>
      <c r="X92">
        <v>123</v>
      </c>
      <c r="Y92">
        <v>120.8</v>
      </c>
      <c r="Z92">
        <v>114.1</v>
      </c>
      <c r="AA92">
        <v>118</v>
      </c>
      <c r="AB92">
        <v>122.9</v>
      </c>
      <c r="AC92">
        <v>112.7</v>
      </c>
      <c r="AD92">
        <v>118.1</v>
      </c>
      <c r="AE92">
        <v>124.7</v>
      </c>
      <c r="AF92" s="12">
        <f>AVERAGE(All_India_Index_Upto_April23__1___1[[#This Row],[Cereals and products]:[Pan, tobacco and intoxicants]])</f>
        <v>125.33571428571429</v>
      </c>
      <c r="AG92" s="12">
        <f>AVERAGE(All_India_Index_Upto_April23__1___1[[#This Row],[Household goods and services]],All_India_Index_Upto_April23__1___1[[#This Row],[Housing]])</f>
        <v>131.13548387096782</v>
      </c>
      <c r="AH92" s="12">
        <f>AVERAGE(All_India_Index_Upto_April23__1___1[[#This Row],[Miscellaneous]],All_India_Index_Upto_April23__1___1[[#This Row],[Personal care and effects]],All_India_Index_Upto_April23__1___1[[#This Row],[Education]],All_India_Index_Upto_April23__1___1[[#This Row],[Recreation and amusement]])</f>
        <v>117.92500000000001</v>
      </c>
      <c r="AI92" s="12">
        <f>SUM(All_India_Index_Upto_April23__1___1[[#This Row],[Cereals and products]:[Pan, tobacco and intoxicants]])</f>
        <v>1754.7</v>
      </c>
      <c r="AJ92" s="12">
        <f>SUM(All_India_Index_Upto_April23__1___1[[#This Row],[Household goods and services]],All_India_Index_Upto_April23__1___1[[#This Row],[Housing]])</f>
        <v>262.27096774193564</v>
      </c>
      <c r="AK92" s="12">
        <f>All_India_Index_Upto_April23__1___1[[#This Row],[Clothing]]+All_India_Index_Upto_April23__1___1[[#This Row],[Footwear]]</f>
        <v>254.3</v>
      </c>
      <c r="AL92" s="12">
        <f>All_India_Index_Upto_April23__1___1[[#This Row],[Miscellaneous]]+All_India_Index_Upto_April23__1___1[[#This Row],[Personal care and effects]]+All_India_Index_Upto_April23__1___1[[#This Row],[Education]]+All_India_Index_Upto_April23__1___1[[#This Row],[Recreation and amusement]]</f>
        <v>471.70000000000005</v>
      </c>
      <c r="AM9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3100.8709677419361</v>
      </c>
    </row>
    <row r="93" spans="1:39" hidden="1" x14ac:dyDescent="0.3">
      <c r="A93" t="s">
        <v>32</v>
      </c>
      <c r="B93">
        <v>2015</v>
      </c>
      <c r="C93" t="s">
        <v>39</v>
      </c>
      <c r="D93" t="str">
        <f t="shared" si="1"/>
        <v>Jul-15</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c r="AF93" s="12">
        <f>AVERAGE(All_India_Index_Upto_April23__1___1[[#This Row],[Cereals and products]:[Pan, tobacco and intoxicants]])</f>
        <v>126.85714285714285</v>
      </c>
      <c r="AG93" s="12">
        <f>AVERAGE(All_India_Index_Upto_April23__1___1[[#This Row],[Household goods and services]],All_India_Index_Upto_April23__1___1[[#This Row],[Housing]])</f>
        <v>119.7</v>
      </c>
      <c r="AH93" s="12">
        <f>AVERAGE(All_India_Index_Upto_April23__1___1[[#This Row],[Miscellaneous]],All_India_Index_Upto_April23__1___1[[#This Row],[Personal care and effects]],All_India_Index_Upto_April23__1___1[[#This Row],[Education]],All_India_Index_Upto_April23__1___1[[#This Row],[Recreation and amusement]])</f>
        <v>117.5</v>
      </c>
      <c r="AI93" s="12">
        <f>SUM(All_India_Index_Upto_April23__1___1[[#This Row],[Cereals and products]:[Pan, tobacco and intoxicants]])</f>
        <v>1775.9999999999998</v>
      </c>
      <c r="AJ93" s="12">
        <f>SUM(All_India_Index_Upto_April23__1___1[[#This Row],[Household goods and services]],All_India_Index_Upto_April23__1___1[[#This Row],[Housing]])</f>
        <v>239.4</v>
      </c>
      <c r="AK93" s="12">
        <f>All_India_Index_Upto_April23__1___1[[#This Row],[Clothing]]+All_India_Index_Upto_April23__1___1[[#This Row],[Footwear]]</f>
        <v>241.4</v>
      </c>
      <c r="AL93" s="12">
        <f>All_India_Index_Upto_April23__1___1[[#This Row],[Miscellaneous]]+All_India_Index_Upto_April23__1___1[[#This Row],[Personal care and effects]]+All_India_Index_Upto_April23__1___1[[#This Row],[Education]]+All_India_Index_Upto_April23__1___1[[#This Row],[Recreation and amusement]]</f>
        <v>470</v>
      </c>
      <c r="AM9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3069.6</v>
      </c>
    </row>
    <row r="94" spans="1:39" hidden="1" x14ac:dyDescent="0.3">
      <c r="A94" t="s">
        <v>33</v>
      </c>
      <c r="B94">
        <v>2015</v>
      </c>
      <c r="C94" t="s">
        <v>39</v>
      </c>
      <c r="D94" t="str">
        <f t="shared" si="1"/>
        <v>Jul-15</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c r="AF94" s="12">
        <f>AVERAGE(All_India_Index_Upto_April23__1___1[[#This Row],[Cereals and products]:[Pan, tobacco and intoxicants]])</f>
        <v>125.78571428571431</v>
      </c>
      <c r="AG94" s="12">
        <f>AVERAGE(All_India_Index_Upto_April23__1___1[[#This Row],[Household goods and services]],All_India_Index_Upto_April23__1___1[[#This Row],[Housing]])</f>
        <v>120.6</v>
      </c>
      <c r="AH94" s="12">
        <f>AVERAGE(All_India_Index_Upto_April23__1___1[[#This Row],[Miscellaneous]],All_India_Index_Upto_April23__1___1[[#This Row],[Personal care and effects]],All_India_Index_Upto_April23__1___1[[#This Row],[Education]],All_India_Index_Upto_April23__1___1[[#This Row],[Recreation and amusement]])</f>
        <v>117.77499999999999</v>
      </c>
      <c r="AI94" s="12">
        <f>SUM(All_India_Index_Upto_April23__1___1[[#This Row],[Cereals and products]:[Pan, tobacco and intoxicants]])</f>
        <v>1761.0000000000002</v>
      </c>
      <c r="AJ94" s="12">
        <f>SUM(All_India_Index_Upto_April23__1___1[[#This Row],[Household goods and services]],All_India_Index_Upto_April23__1___1[[#This Row],[Housing]])</f>
        <v>241.2</v>
      </c>
      <c r="AK94" s="12">
        <f>All_India_Index_Upto_April23__1___1[[#This Row],[Clothing]]+All_India_Index_Upto_April23__1___1[[#This Row],[Footwear]]</f>
        <v>249</v>
      </c>
      <c r="AL94" s="12">
        <f>All_India_Index_Upto_April23__1___1[[#This Row],[Miscellaneous]]+All_India_Index_Upto_April23__1___1[[#This Row],[Personal care and effects]]+All_India_Index_Upto_April23__1___1[[#This Row],[Education]]+All_India_Index_Upto_April23__1___1[[#This Row],[Recreation and amusement]]</f>
        <v>471.09999999999997</v>
      </c>
      <c r="AM9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3074.1</v>
      </c>
    </row>
    <row r="95" spans="1:39" hidden="1" x14ac:dyDescent="0.3">
      <c r="A95" t="s">
        <v>30</v>
      </c>
      <c r="B95">
        <v>2015</v>
      </c>
      <c r="C95" t="s">
        <v>40</v>
      </c>
      <c r="D95" t="str">
        <f t="shared" si="1"/>
        <v>Aug-15</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s="12">
        <f>'Handle Missing Value Sheet only'!$F$5</f>
        <v>139.27096774193564</v>
      </c>
      <c r="W95">
        <v>123.8</v>
      </c>
      <c r="X95">
        <v>123.7</v>
      </c>
      <c r="Y95">
        <v>121.1</v>
      </c>
      <c r="Z95">
        <v>113.6</v>
      </c>
      <c r="AA95">
        <v>118.5</v>
      </c>
      <c r="AB95">
        <v>123.6</v>
      </c>
      <c r="AC95">
        <v>112.5</v>
      </c>
      <c r="AD95">
        <v>118.2</v>
      </c>
      <c r="AE95">
        <v>126.1</v>
      </c>
      <c r="AF95" s="12">
        <f>AVERAGE(All_India_Index_Upto_April23__1___1[[#This Row],[Cereals and products]:[Pan, tobacco and intoxicants]])</f>
        <v>126.90714285714284</v>
      </c>
      <c r="AG95" s="12">
        <f>AVERAGE(All_India_Index_Upto_April23__1___1[[#This Row],[Household goods and services]],All_India_Index_Upto_April23__1___1[[#This Row],[Housing]])</f>
        <v>131.48548387096781</v>
      </c>
      <c r="AH95" s="12">
        <f>AVERAGE(All_India_Index_Upto_April23__1___1[[#This Row],[Miscellaneous]],All_India_Index_Upto_April23__1___1[[#This Row],[Personal care and effects]],All_India_Index_Upto_April23__1___1[[#This Row],[Education]],All_India_Index_Upto_April23__1___1[[#This Row],[Recreation and amusement]])</f>
        <v>118.19999999999999</v>
      </c>
      <c r="AI95" s="12">
        <f>SUM(All_India_Index_Upto_April23__1___1[[#This Row],[Cereals and products]:[Pan, tobacco and intoxicants]])</f>
        <v>1776.6999999999998</v>
      </c>
      <c r="AJ95" s="12">
        <f>SUM(All_India_Index_Upto_April23__1___1[[#This Row],[Household goods and services]],All_India_Index_Upto_April23__1___1[[#This Row],[Housing]])</f>
        <v>262.97096774193562</v>
      </c>
      <c r="AK95" s="12">
        <f>All_India_Index_Upto_April23__1___1[[#This Row],[Clothing]]+All_India_Index_Upto_April23__1___1[[#This Row],[Footwear]]</f>
        <v>255.8</v>
      </c>
      <c r="AL95" s="12">
        <f>All_India_Index_Upto_April23__1___1[[#This Row],[Miscellaneous]]+All_India_Index_Upto_April23__1___1[[#This Row],[Personal care and effects]]+All_India_Index_Upto_April23__1___1[[#This Row],[Education]]+All_India_Index_Upto_April23__1___1[[#This Row],[Recreation and amusement]]</f>
        <v>472.79999999999995</v>
      </c>
      <c r="AM9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3126.7709677419352</v>
      </c>
    </row>
    <row r="96" spans="1:39" hidden="1" x14ac:dyDescent="0.3">
      <c r="A96" t="s">
        <v>32</v>
      </c>
      <c r="B96">
        <v>2015</v>
      </c>
      <c r="C96" t="s">
        <v>40</v>
      </c>
      <c r="D96" t="str">
        <f t="shared" si="1"/>
        <v>Aug-15</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c r="AF96" s="12">
        <f>AVERAGE(All_India_Index_Upto_April23__1___1[[#This Row],[Cereals and products]:[Pan, tobacco and intoxicants]])</f>
        <v>128.07857142857142</v>
      </c>
      <c r="AG96" s="12">
        <f>AVERAGE(All_India_Index_Upto_April23__1___1[[#This Row],[Household goods and services]],All_India_Index_Upto_April23__1___1[[#This Row],[Housing]])</f>
        <v>120.45</v>
      </c>
      <c r="AH96" s="12">
        <f>AVERAGE(All_India_Index_Upto_April23__1___1[[#This Row],[Miscellaneous]],All_India_Index_Upto_April23__1___1[[#This Row],[Personal care and effects]],All_India_Index_Upto_April23__1___1[[#This Row],[Education]],All_India_Index_Upto_April23__1___1[[#This Row],[Recreation and amusement]])</f>
        <v>117.89999999999999</v>
      </c>
      <c r="AI96" s="12">
        <f>SUM(All_India_Index_Upto_April23__1___1[[#This Row],[Cereals and products]:[Pan, tobacco and intoxicants]])</f>
        <v>1793.1</v>
      </c>
      <c r="AJ96" s="12">
        <f>SUM(All_India_Index_Upto_April23__1___1[[#This Row],[Household goods and services]],All_India_Index_Upto_April23__1___1[[#This Row],[Housing]])</f>
        <v>240.9</v>
      </c>
      <c r="AK96" s="12">
        <f>All_India_Index_Upto_April23__1___1[[#This Row],[Clothing]]+All_India_Index_Upto_April23__1___1[[#This Row],[Footwear]]</f>
        <v>241.9</v>
      </c>
      <c r="AL96" s="12">
        <f>All_India_Index_Upto_April23__1___1[[#This Row],[Miscellaneous]]+All_India_Index_Upto_April23__1___1[[#This Row],[Personal care and effects]]+All_India_Index_Upto_April23__1___1[[#This Row],[Education]]+All_India_Index_Upto_April23__1___1[[#This Row],[Recreation and amusement]]</f>
        <v>471.59999999999997</v>
      </c>
      <c r="AM9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3089.3</v>
      </c>
    </row>
    <row r="97" spans="1:39" hidden="1" x14ac:dyDescent="0.3">
      <c r="A97" t="s">
        <v>33</v>
      </c>
      <c r="B97">
        <v>2015</v>
      </c>
      <c r="C97" t="s">
        <v>40</v>
      </c>
      <c r="D97" t="str">
        <f t="shared" si="1"/>
        <v>Aug-15</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c r="AF97" s="12">
        <f>AVERAGE(All_India_Index_Upto_April23__1___1[[#This Row],[Cereals and products]:[Pan, tobacco and intoxicants]])</f>
        <v>127.2</v>
      </c>
      <c r="AG97" s="12">
        <f>AVERAGE(All_India_Index_Upto_April23__1___1[[#This Row],[Household goods and services]],All_India_Index_Upto_April23__1___1[[#This Row],[Housing]])</f>
        <v>121.45</v>
      </c>
      <c r="AH97" s="12">
        <f>AVERAGE(All_India_Index_Upto_April23__1___1[[#This Row],[Miscellaneous]],All_India_Index_Upto_April23__1___1[[#This Row],[Personal care and effects]],All_India_Index_Upto_April23__1___1[[#This Row],[Education]],All_India_Index_Upto_April23__1___1[[#This Row],[Recreation and amusement]])</f>
        <v>118.10000000000001</v>
      </c>
      <c r="AI97" s="12">
        <f>SUM(All_India_Index_Upto_April23__1___1[[#This Row],[Cereals and products]:[Pan, tobacco and intoxicants]])</f>
        <v>1780.8</v>
      </c>
      <c r="AJ97" s="12">
        <f>SUM(All_India_Index_Upto_April23__1___1[[#This Row],[Household goods and services]],All_India_Index_Upto_April23__1___1[[#This Row],[Housing]])</f>
        <v>242.9</v>
      </c>
      <c r="AK97" s="12">
        <f>All_India_Index_Upto_April23__1___1[[#This Row],[Clothing]]+All_India_Index_Upto_April23__1___1[[#This Row],[Footwear]]</f>
        <v>250.10000000000002</v>
      </c>
      <c r="AL97" s="12">
        <f>All_India_Index_Upto_April23__1___1[[#This Row],[Miscellaneous]]+All_India_Index_Upto_April23__1___1[[#This Row],[Personal care and effects]]+All_India_Index_Upto_April23__1___1[[#This Row],[Education]]+All_India_Index_Upto_April23__1___1[[#This Row],[Recreation and amusement]]</f>
        <v>472.40000000000003</v>
      </c>
      <c r="AM9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3097.8999999999996</v>
      </c>
    </row>
    <row r="98" spans="1:39" hidden="1" x14ac:dyDescent="0.3">
      <c r="A98" t="s">
        <v>30</v>
      </c>
      <c r="B98">
        <v>2015</v>
      </c>
      <c r="C98" t="s">
        <v>41</v>
      </c>
      <c r="D98" t="str">
        <f t="shared" si="1"/>
        <v>Sep-15</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s="12">
        <f>'Handle Missing Value Sheet only'!$F$5</f>
        <v>139.27096774193564</v>
      </c>
      <c r="W98">
        <v>123.7</v>
      </c>
      <c r="X98">
        <v>124.5</v>
      </c>
      <c r="Y98">
        <v>121.4</v>
      </c>
      <c r="Z98">
        <v>113.8</v>
      </c>
      <c r="AA98">
        <v>119.6</v>
      </c>
      <c r="AB98">
        <v>124.5</v>
      </c>
      <c r="AC98">
        <v>113.7</v>
      </c>
      <c r="AD98">
        <v>118.8</v>
      </c>
      <c r="AE98">
        <v>127</v>
      </c>
      <c r="AF98" s="12">
        <f>AVERAGE(All_India_Index_Upto_April23__1___1[[#This Row],[Cereals and products]:[Pan, tobacco and intoxicants]])</f>
        <v>127.75714285714287</v>
      </c>
      <c r="AG98" s="12">
        <f>AVERAGE(All_India_Index_Upto_April23__1___1[[#This Row],[Household goods and services]],All_India_Index_Upto_April23__1___1[[#This Row],[Housing]])</f>
        <v>131.88548387096782</v>
      </c>
      <c r="AH98" s="12">
        <f>AVERAGE(All_India_Index_Upto_April23__1___1[[#This Row],[Miscellaneous]],All_India_Index_Upto_April23__1___1[[#This Row],[Personal care and effects]],All_India_Index_Upto_April23__1___1[[#This Row],[Education]],All_India_Index_Upto_April23__1___1[[#This Row],[Recreation and amusement]])</f>
        <v>119.15</v>
      </c>
      <c r="AI98" s="12">
        <f>SUM(All_India_Index_Upto_April23__1___1[[#This Row],[Cereals and products]:[Pan, tobacco and intoxicants]])</f>
        <v>1788.6000000000001</v>
      </c>
      <c r="AJ98" s="12">
        <f>SUM(All_India_Index_Upto_April23__1___1[[#This Row],[Household goods and services]],All_India_Index_Upto_April23__1___1[[#This Row],[Housing]])</f>
        <v>263.77096774193564</v>
      </c>
      <c r="AK98" s="12">
        <f>All_India_Index_Upto_April23__1___1[[#This Row],[Clothing]]+All_India_Index_Upto_April23__1___1[[#This Row],[Footwear]]</f>
        <v>257.2</v>
      </c>
      <c r="AL98" s="12">
        <f>All_India_Index_Upto_April23__1___1[[#This Row],[Miscellaneous]]+All_India_Index_Upto_April23__1___1[[#This Row],[Personal care and effects]]+All_India_Index_Upto_April23__1___1[[#This Row],[Education]]+All_India_Index_Upto_April23__1___1[[#This Row],[Recreation and amusement]]</f>
        <v>476.6</v>
      </c>
      <c r="AM9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3145.0709677419359</v>
      </c>
    </row>
    <row r="99" spans="1:39" hidden="1" x14ac:dyDescent="0.3">
      <c r="A99" t="s">
        <v>32</v>
      </c>
      <c r="B99">
        <v>2015</v>
      </c>
      <c r="C99" t="s">
        <v>41</v>
      </c>
      <c r="D99" t="str">
        <f t="shared" si="1"/>
        <v>Sep-15</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c r="AF99" s="12">
        <f>AVERAGE(All_India_Index_Upto_April23__1___1[[#This Row],[Cereals and products]:[Pan, tobacco and intoxicants]])</f>
        <v>128.53571428571428</v>
      </c>
      <c r="AG99" s="12">
        <f>AVERAGE(All_India_Index_Upto_April23__1___1[[#This Row],[Household goods and services]],All_India_Index_Upto_April23__1___1[[#This Row],[Housing]])</f>
        <v>121</v>
      </c>
      <c r="AH99" s="12">
        <f>AVERAGE(All_India_Index_Upto_April23__1___1[[#This Row],[Miscellaneous]],All_India_Index_Upto_April23__1___1[[#This Row],[Personal care and effects]],All_India_Index_Upto_April23__1___1[[#This Row],[Education]],All_India_Index_Upto_April23__1___1[[#This Row],[Recreation and amusement]])</f>
        <v>118.22500000000001</v>
      </c>
      <c r="AI99" s="12">
        <f>SUM(All_India_Index_Upto_April23__1___1[[#This Row],[Cereals and products]:[Pan, tobacco and intoxicants]])</f>
        <v>1799.5</v>
      </c>
      <c r="AJ99" s="12">
        <f>SUM(All_India_Index_Upto_April23__1___1[[#This Row],[Household goods and services]],All_India_Index_Upto_April23__1___1[[#This Row],[Housing]])</f>
        <v>242</v>
      </c>
      <c r="AK99" s="12">
        <f>All_India_Index_Upto_April23__1___1[[#This Row],[Clothing]]+All_India_Index_Upto_April23__1___1[[#This Row],[Footwear]]</f>
        <v>242.6</v>
      </c>
      <c r="AL99" s="12">
        <f>All_India_Index_Upto_April23__1___1[[#This Row],[Miscellaneous]]+All_India_Index_Upto_April23__1___1[[#This Row],[Personal care and effects]]+All_India_Index_Upto_April23__1___1[[#This Row],[Education]]+All_India_Index_Upto_April23__1___1[[#This Row],[Recreation and amusement]]</f>
        <v>472.90000000000003</v>
      </c>
      <c r="AM9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3098.2999999999997</v>
      </c>
    </row>
    <row r="100" spans="1:39" hidden="1" x14ac:dyDescent="0.3">
      <c r="A100" t="s">
        <v>33</v>
      </c>
      <c r="B100">
        <v>2015</v>
      </c>
      <c r="C100" t="s">
        <v>41</v>
      </c>
      <c r="D100" t="str">
        <f t="shared" si="1"/>
        <v>Sep-15</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c r="AF100" s="12">
        <f>AVERAGE(All_India_Index_Upto_April23__1___1[[#This Row],[Cereals and products]:[Pan, tobacco and intoxicants]])</f>
        <v>127.87857142857145</v>
      </c>
      <c r="AG100" s="12">
        <f>AVERAGE(All_India_Index_Upto_April23__1___1[[#This Row],[Household goods and services]],All_India_Index_Upto_April23__1___1[[#This Row],[Housing]])</f>
        <v>122.1</v>
      </c>
      <c r="AH100" s="12">
        <f>AVERAGE(All_India_Index_Upto_April23__1___1[[#This Row],[Miscellaneous]],All_India_Index_Upto_April23__1___1[[#This Row],[Personal care and effects]],All_India_Index_Upto_April23__1___1[[#This Row],[Education]],All_India_Index_Upto_April23__1___1[[#This Row],[Recreation and amusement]])</f>
        <v>118.72500000000001</v>
      </c>
      <c r="AI100" s="12">
        <f>SUM(All_India_Index_Upto_April23__1___1[[#This Row],[Cereals and products]:[Pan, tobacco and intoxicants]])</f>
        <v>1790.3000000000002</v>
      </c>
      <c r="AJ100" s="12">
        <f>SUM(All_India_Index_Upto_April23__1___1[[#This Row],[Household goods and services]],All_India_Index_Upto_April23__1___1[[#This Row],[Housing]])</f>
        <v>244.2</v>
      </c>
      <c r="AK100" s="12">
        <f>All_India_Index_Upto_April23__1___1[[#This Row],[Clothing]]+All_India_Index_Upto_April23__1___1[[#This Row],[Footwear]]</f>
        <v>251.3</v>
      </c>
      <c r="AL100" s="12">
        <f>All_India_Index_Upto_April23__1___1[[#This Row],[Miscellaneous]]+All_India_Index_Upto_April23__1___1[[#This Row],[Personal care and effects]]+All_India_Index_Upto_April23__1___1[[#This Row],[Education]]+All_India_Index_Upto_April23__1___1[[#This Row],[Recreation and amusement]]</f>
        <v>474.90000000000003</v>
      </c>
      <c r="AM10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3112.2000000000007</v>
      </c>
    </row>
    <row r="101" spans="1:39" hidden="1" x14ac:dyDescent="0.3">
      <c r="A101" t="s">
        <v>30</v>
      </c>
      <c r="B101">
        <v>2015</v>
      </c>
      <c r="C101" t="s">
        <v>42</v>
      </c>
      <c r="D101" t="str">
        <f t="shared" si="1"/>
        <v>Oct-15</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s="12">
        <f>'Handle Missing Value Sheet only'!$F$5</f>
        <v>139.27096774193564</v>
      </c>
      <c r="W101">
        <v>124.4</v>
      </c>
      <c r="X101">
        <v>125.1</v>
      </c>
      <c r="Y101">
        <v>122</v>
      </c>
      <c r="Z101">
        <v>113.8</v>
      </c>
      <c r="AA101">
        <v>120.1</v>
      </c>
      <c r="AB101">
        <v>125.1</v>
      </c>
      <c r="AC101">
        <v>114.2</v>
      </c>
      <c r="AD101">
        <v>119.2</v>
      </c>
      <c r="AE101">
        <v>127.7</v>
      </c>
      <c r="AF101" s="12">
        <f>AVERAGE(All_India_Index_Upto_April23__1___1[[#This Row],[Cereals and products]:[Pan, tobacco and intoxicants]])</f>
        <v>129.00714285714284</v>
      </c>
      <c r="AG101" s="12">
        <f>AVERAGE(All_India_Index_Upto_April23__1___1[[#This Row],[Household goods and services]],All_India_Index_Upto_April23__1___1[[#This Row],[Housing]])</f>
        <v>132.1854838709678</v>
      </c>
      <c r="AH101" s="12">
        <f>AVERAGE(All_India_Index_Upto_April23__1___1[[#This Row],[Miscellaneous]],All_India_Index_Upto_April23__1___1[[#This Row],[Personal care and effects]],All_India_Index_Upto_April23__1___1[[#This Row],[Education]],All_India_Index_Upto_April23__1___1[[#This Row],[Recreation and amusement]])</f>
        <v>119.65</v>
      </c>
      <c r="AI101" s="12">
        <f>SUM(All_India_Index_Upto_April23__1___1[[#This Row],[Cereals and products]:[Pan, tobacco and intoxicants]])</f>
        <v>1806.1</v>
      </c>
      <c r="AJ101" s="12">
        <f>SUM(All_India_Index_Upto_April23__1___1[[#This Row],[Household goods and services]],All_India_Index_Upto_April23__1___1[[#This Row],[Housing]])</f>
        <v>264.3709677419356</v>
      </c>
      <c r="AK101" s="12">
        <f>All_India_Index_Upto_April23__1___1[[#This Row],[Clothing]]+All_India_Index_Upto_April23__1___1[[#This Row],[Footwear]]</f>
        <v>258.39999999999998</v>
      </c>
      <c r="AL101" s="12">
        <f>All_India_Index_Upto_April23__1___1[[#This Row],[Miscellaneous]]+All_India_Index_Upto_April23__1___1[[#This Row],[Personal care and effects]]+All_India_Index_Upto_April23__1___1[[#This Row],[Education]]+All_India_Index_Upto_April23__1___1[[#This Row],[Recreation and amusement]]</f>
        <v>478.6</v>
      </c>
      <c r="AM10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3167.6709677419358</v>
      </c>
    </row>
    <row r="102" spans="1:39" hidden="1" x14ac:dyDescent="0.3">
      <c r="A102" t="s">
        <v>32</v>
      </c>
      <c r="B102">
        <v>2015</v>
      </c>
      <c r="C102" t="s">
        <v>42</v>
      </c>
      <c r="D102" t="str">
        <f t="shared" si="1"/>
        <v>Oct-15</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c r="AF102" s="12">
        <f>AVERAGE(All_India_Index_Upto_April23__1___1[[#This Row],[Cereals and products]:[Pan, tobacco and intoxicants]])</f>
        <v>130.57857142857145</v>
      </c>
      <c r="AG102" s="12">
        <f>AVERAGE(All_India_Index_Upto_April23__1___1[[#This Row],[Household goods and services]],All_India_Index_Upto_April23__1___1[[#This Row],[Housing]])</f>
        <v>121.55000000000001</v>
      </c>
      <c r="AH102" s="12">
        <f>AVERAGE(All_India_Index_Upto_April23__1___1[[#This Row],[Miscellaneous]],All_India_Index_Upto_April23__1___1[[#This Row],[Personal care and effects]],All_India_Index_Upto_April23__1___1[[#This Row],[Education]],All_India_Index_Upto_April23__1___1[[#This Row],[Recreation and amusement]])</f>
        <v>118.55</v>
      </c>
      <c r="AI102" s="12">
        <f>SUM(All_India_Index_Upto_April23__1___1[[#This Row],[Cereals and products]:[Pan, tobacco and intoxicants]])</f>
        <v>1828.1000000000001</v>
      </c>
      <c r="AJ102" s="12">
        <f>SUM(All_India_Index_Upto_April23__1___1[[#This Row],[Household goods and services]],All_India_Index_Upto_April23__1___1[[#This Row],[Housing]])</f>
        <v>243.10000000000002</v>
      </c>
      <c r="AK102" s="12">
        <f>All_India_Index_Upto_April23__1___1[[#This Row],[Clothing]]+All_India_Index_Upto_April23__1___1[[#This Row],[Footwear]]</f>
        <v>243.2</v>
      </c>
      <c r="AL102" s="12">
        <f>All_India_Index_Upto_April23__1___1[[#This Row],[Miscellaneous]]+All_India_Index_Upto_April23__1___1[[#This Row],[Personal care and effects]]+All_India_Index_Upto_April23__1___1[[#This Row],[Education]]+All_India_Index_Upto_April23__1___1[[#This Row],[Recreation and amusement]]</f>
        <v>474.2</v>
      </c>
      <c r="AM10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3130.5000000000005</v>
      </c>
    </row>
    <row r="103" spans="1:39" hidden="1" x14ac:dyDescent="0.3">
      <c r="A103" t="s">
        <v>33</v>
      </c>
      <c r="B103">
        <v>2015</v>
      </c>
      <c r="C103" t="s">
        <v>42</v>
      </c>
      <c r="D103" t="str">
        <f t="shared" si="1"/>
        <v>Oct-15</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c r="AF103" s="12">
        <f>AVERAGE(All_India_Index_Upto_April23__1___1[[#This Row],[Cereals and products]:[Pan, tobacco and intoxicants]])</f>
        <v>129.39285714285714</v>
      </c>
      <c r="AG103" s="12">
        <f>AVERAGE(All_India_Index_Upto_April23__1___1[[#This Row],[Household goods and services]],All_India_Index_Upto_April23__1___1[[#This Row],[Housing]])</f>
        <v>122.7</v>
      </c>
      <c r="AH103" s="12">
        <f>AVERAGE(All_India_Index_Upto_April23__1___1[[#This Row],[Miscellaneous]],All_India_Index_Upto_April23__1___1[[#This Row],[Personal care and effects]],All_India_Index_Upto_April23__1___1[[#This Row],[Education]],All_India_Index_Upto_April23__1___1[[#This Row],[Recreation and amusement]])</f>
        <v>119.10000000000001</v>
      </c>
      <c r="AI103" s="12">
        <f>SUM(All_India_Index_Upto_April23__1___1[[#This Row],[Cereals and products]:[Pan, tobacco and intoxicants]])</f>
        <v>1811.4999999999998</v>
      </c>
      <c r="AJ103" s="12">
        <f>SUM(All_India_Index_Upto_April23__1___1[[#This Row],[Household goods and services]],All_India_Index_Upto_April23__1___1[[#This Row],[Housing]])</f>
        <v>245.4</v>
      </c>
      <c r="AK103" s="12">
        <f>All_India_Index_Upto_April23__1___1[[#This Row],[Clothing]]+All_India_Index_Upto_April23__1___1[[#This Row],[Footwear]]</f>
        <v>252.3</v>
      </c>
      <c r="AL103" s="12">
        <f>All_India_Index_Upto_April23__1___1[[#This Row],[Miscellaneous]]+All_India_Index_Upto_April23__1___1[[#This Row],[Personal care and effects]]+All_India_Index_Upto_April23__1___1[[#This Row],[Education]]+All_India_Index_Upto_April23__1___1[[#This Row],[Recreation and amusement]]</f>
        <v>476.40000000000003</v>
      </c>
      <c r="AM10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3138.2000000000003</v>
      </c>
    </row>
    <row r="104" spans="1:39" hidden="1" x14ac:dyDescent="0.3">
      <c r="A104" t="s">
        <v>30</v>
      </c>
      <c r="B104">
        <v>2015</v>
      </c>
      <c r="C104" t="s">
        <v>44</v>
      </c>
      <c r="D104" t="str">
        <f t="shared" si="1"/>
        <v>Nov-15</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s="12">
        <f>'Handle Missing Value Sheet only'!$F$5</f>
        <v>139.27096774193564</v>
      </c>
      <c r="W104">
        <v>125.6</v>
      </c>
      <c r="X104">
        <v>125.6</v>
      </c>
      <c r="Y104">
        <v>122.6</v>
      </c>
      <c r="Z104">
        <v>114</v>
      </c>
      <c r="AA104">
        <v>120.9</v>
      </c>
      <c r="AB104">
        <v>125.8</v>
      </c>
      <c r="AC104">
        <v>114.2</v>
      </c>
      <c r="AD104">
        <v>119.6</v>
      </c>
      <c r="AE104">
        <v>128.30000000000001</v>
      </c>
      <c r="AF104" s="12">
        <f>AVERAGE(All_India_Index_Upto_April23__1___1[[#This Row],[Cereals and products]:[Pan, tobacco and intoxicants]])</f>
        <v>129.89285714285714</v>
      </c>
      <c r="AG104" s="12">
        <f>AVERAGE(All_India_Index_Upto_April23__1___1[[#This Row],[Household goods and services]],All_India_Index_Upto_April23__1___1[[#This Row],[Housing]])</f>
        <v>132.4354838709678</v>
      </c>
      <c r="AH104" s="12">
        <f>AVERAGE(All_India_Index_Upto_April23__1___1[[#This Row],[Miscellaneous]],All_India_Index_Upto_April23__1___1[[#This Row],[Personal care and effects]],All_India_Index_Upto_April23__1___1[[#This Row],[Education]],All_India_Index_Upto_April23__1___1[[#This Row],[Recreation and amusement]])</f>
        <v>120.125</v>
      </c>
      <c r="AI104" s="12">
        <f>SUM(All_India_Index_Upto_April23__1___1[[#This Row],[Cereals and products]:[Pan, tobacco and intoxicants]])</f>
        <v>1818.5</v>
      </c>
      <c r="AJ104" s="12">
        <f>SUM(All_India_Index_Upto_April23__1___1[[#This Row],[Household goods and services]],All_India_Index_Upto_April23__1___1[[#This Row],[Housing]])</f>
        <v>264.8709677419356</v>
      </c>
      <c r="AK104" s="12">
        <f>All_India_Index_Upto_April23__1___1[[#This Row],[Clothing]]+All_India_Index_Upto_April23__1___1[[#This Row],[Footwear]]</f>
        <v>260.29999999999995</v>
      </c>
      <c r="AL104" s="12">
        <f>All_India_Index_Upto_April23__1___1[[#This Row],[Miscellaneous]]+All_India_Index_Upto_April23__1___1[[#This Row],[Personal care and effects]]+All_India_Index_Upto_April23__1___1[[#This Row],[Education]]+All_India_Index_Upto_April23__1___1[[#This Row],[Recreation and amusement]]</f>
        <v>480.5</v>
      </c>
      <c r="AM10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3186.3709677419356</v>
      </c>
    </row>
    <row r="105" spans="1:39" hidden="1" x14ac:dyDescent="0.3">
      <c r="A105" t="s">
        <v>32</v>
      </c>
      <c r="B105">
        <v>2015</v>
      </c>
      <c r="C105" t="s">
        <v>44</v>
      </c>
      <c r="D105" t="str">
        <f t="shared" si="1"/>
        <v>Nov-15</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c r="AF105" s="12">
        <f>AVERAGE(All_India_Index_Upto_April23__1___1[[#This Row],[Cereals and products]:[Pan, tobacco and intoxicants]])</f>
        <v>131.8642857142857</v>
      </c>
      <c r="AG105" s="12">
        <f>AVERAGE(All_India_Index_Upto_April23__1___1[[#This Row],[Household goods and services]],All_India_Index_Upto_April23__1___1[[#This Row],[Housing]])</f>
        <v>121.95</v>
      </c>
      <c r="AH105" s="12">
        <f>AVERAGE(All_India_Index_Upto_April23__1___1[[#This Row],[Miscellaneous]],All_India_Index_Upto_April23__1___1[[#This Row],[Personal care and effects]],All_India_Index_Upto_April23__1___1[[#This Row],[Education]],All_India_Index_Upto_April23__1___1[[#This Row],[Recreation and amusement]])</f>
        <v>118.6</v>
      </c>
      <c r="AI105" s="12">
        <f>SUM(All_India_Index_Upto_April23__1___1[[#This Row],[Cereals and products]:[Pan, tobacco and intoxicants]])</f>
        <v>1846.0999999999997</v>
      </c>
      <c r="AJ105" s="12">
        <f>SUM(All_India_Index_Upto_April23__1___1[[#This Row],[Household goods and services]],All_India_Index_Upto_April23__1___1[[#This Row],[Housing]])</f>
        <v>243.9</v>
      </c>
      <c r="AK105" s="12">
        <f>All_India_Index_Upto_April23__1___1[[#This Row],[Clothing]]+All_India_Index_Upto_April23__1___1[[#This Row],[Footwear]]</f>
        <v>244.3</v>
      </c>
      <c r="AL105" s="12">
        <f>All_India_Index_Upto_April23__1___1[[#This Row],[Miscellaneous]]+All_India_Index_Upto_April23__1___1[[#This Row],[Personal care and effects]]+All_India_Index_Upto_April23__1___1[[#This Row],[Education]]+All_India_Index_Upto_April23__1___1[[#This Row],[Recreation and amusement]]</f>
        <v>474.4</v>
      </c>
      <c r="AM10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3151.2</v>
      </c>
    </row>
    <row r="106" spans="1:39" hidden="1" x14ac:dyDescent="0.3">
      <c r="A106" t="s">
        <v>33</v>
      </c>
      <c r="B106">
        <v>2015</v>
      </c>
      <c r="C106" t="s">
        <v>44</v>
      </c>
      <c r="D106" t="str">
        <f t="shared" si="1"/>
        <v>Nov-15</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c r="AF106" s="12">
        <f>AVERAGE(All_India_Index_Upto_April23__1___1[[#This Row],[Cereals and products]:[Pan, tobacco and intoxicants]])</f>
        <v>130.40714285714284</v>
      </c>
      <c r="AG106" s="12">
        <f>AVERAGE(All_India_Index_Upto_April23__1___1[[#This Row],[Household goods and services]],All_India_Index_Upto_April23__1___1[[#This Row],[Housing]])</f>
        <v>123.15</v>
      </c>
      <c r="AH106" s="12">
        <f>AVERAGE(All_India_Index_Upto_April23__1___1[[#This Row],[Miscellaneous]],All_India_Index_Upto_April23__1___1[[#This Row],[Personal care and effects]],All_India_Index_Upto_April23__1___1[[#This Row],[Education]],All_India_Index_Upto_April23__1___1[[#This Row],[Recreation and amusement]])</f>
        <v>119.35</v>
      </c>
      <c r="AI106" s="12">
        <f>SUM(All_India_Index_Upto_April23__1___1[[#This Row],[Cereals and products]:[Pan, tobacco and intoxicants]])</f>
        <v>1825.6999999999998</v>
      </c>
      <c r="AJ106" s="12">
        <f>SUM(All_India_Index_Upto_April23__1___1[[#This Row],[Household goods and services]],All_India_Index_Upto_April23__1___1[[#This Row],[Housing]])</f>
        <v>246.3</v>
      </c>
      <c r="AK106" s="12">
        <f>All_India_Index_Upto_April23__1___1[[#This Row],[Clothing]]+All_India_Index_Upto_April23__1___1[[#This Row],[Footwear]]</f>
        <v>253.8</v>
      </c>
      <c r="AL106" s="12">
        <f>All_India_Index_Upto_April23__1___1[[#This Row],[Miscellaneous]]+All_India_Index_Upto_April23__1___1[[#This Row],[Personal care and effects]]+All_India_Index_Upto_April23__1___1[[#This Row],[Education]]+All_India_Index_Upto_April23__1___1[[#This Row],[Recreation and amusement]]</f>
        <v>477.4</v>
      </c>
      <c r="AM10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3157.2</v>
      </c>
    </row>
    <row r="107" spans="1:39" hidden="1" x14ac:dyDescent="0.3">
      <c r="A107" t="s">
        <v>30</v>
      </c>
      <c r="B107">
        <v>2015</v>
      </c>
      <c r="C107" t="s">
        <v>45</v>
      </c>
      <c r="D107" t="str">
        <f t="shared" si="1"/>
        <v>Dec-15</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s="12">
        <f>'Handle Missing Value Sheet only'!$F$5</f>
        <v>139.27096774193564</v>
      </c>
      <c r="W107">
        <v>125.7</v>
      </c>
      <c r="X107">
        <v>126</v>
      </c>
      <c r="Y107">
        <v>123.1</v>
      </c>
      <c r="Z107">
        <v>114</v>
      </c>
      <c r="AA107">
        <v>121.6</v>
      </c>
      <c r="AB107">
        <v>125.6</v>
      </c>
      <c r="AC107">
        <v>114.1</v>
      </c>
      <c r="AD107">
        <v>119.8</v>
      </c>
      <c r="AE107">
        <v>127.9</v>
      </c>
      <c r="AF107" s="12">
        <f>AVERAGE(All_India_Index_Upto_April23__1___1[[#This Row],[Cereals and products]:[Pan, tobacco and intoxicants]])</f>
        <v>129.67142857142858</v>
      </c>
      <c r="AG107" s="12">
        <f>AVERAGE(All_India_Index_Upto_April23__1___1[[#This Row],[Household goods and services]],All_India_Index_Upto_April23__1___1[[#This Row],[Housing]])</f>
        <v>132.63548387096782</v>
      </c>
      <c r="AH107" s="12">
        <f>AVERAGE(All_India_Index_Upto_April23__1___1[[#This Row],[Miscellaneous]],All_India_Index_Upto_April23__1___1[[#This Row],[Personal care and effects]],All_India_Index_Upto_April23__1___1[[#This Row],[Education]],All_India_Index_Upto_April23__1___1[[#This Row],[Recreation and amusement]])</f>
        <v>120.27500000000001</v>
      </c>
      <c r="AI107" s="12">
        <f>SUM(All_India_Index_Upto_April23__1___1[[#This Row],[Cereals and products]:[Pan, tobacco and intoxicants]])</f>
        <v>1815.4</v>
      </c>
      <c r="AJ107" s="12">
        <f>SUM(All_India_Index_Upto_April23__1___1[[#This Row],[Household goods and services]],All_India_Index_Upto_April23__1___1[[#This Row],[Housing]])</f>
        <v>265.27096774193564</v>
      </c>
      <c r="AK107" s="12">
        <f>All_India_Index_Upto_April23__1___1[[#This Row],[Clothing]]+All_India_Index_Upto_April23__1___1[[#This Row],[Footwear]]</f>
        <v>261</v>
      </c>
      <c r="AL107" s="12">
        <f>All_India_Index_Upto_April23__1___1[[#This Row],[Miscellaneous]]+All_India_Index_Upto_April23__1___1[[#This Row],[Personal care and effects]]+All_India_Index_Upto_April23__1___1[[#This Row],[Education]]+All_India_Index_Upto_April23__1___1[[#This Row],[Recreation and amusement]]</f>
        <v>481.1</v>
      </c>
      <c r="AM10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3185.5709677419354</v>
      </c>
    </row>
    <row r="108" spans="1:39" hidden="1" x14ac:dyDescent="0.3">
      <c r="A108" t="s">
        <v>32</v>
      </c>
      <c r="B108">
        <v>2015</v>
      </c>
      <c r="C108" t="s">
        <v>45</v>
      </c>
      <c r="D108" t="str">
        <f t="shared" si="1"/>
        <v>Dec-15</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c r="AF108" s="12">
        <f>AVERAGE(All_India_Index_Upto_April23__1___1[[#This Row],[Cereals and products]:[Pan, tobacco and intoxicants]])</f>
        <v>131.21428571428572</v>
      </c>
      <c r="AG108" s="12">
        <f>AVERAGE(All_India_Index_Upto_April23__1___1[[#This Row],[Household goods and services]],All_India_Index_Upto_April23__1___1[[#This Row],[Housing]])</f>
        <v>121.7</v>
      </c>
      <c r="AH108" s="12">
        <f>AVERAGE(All_India_Index_Upto_April23__1___1[[#This Row],[Miscellaneous]],All_India_Index_Upto_April23__1___1[[#This Row],[Personal care and effects]],All_India_Index_Upto_April23__1___1[[#This Row],[Education]],All_India_Index_Upto_April23__1___1[[#This Row],[Recreation and amusement]])</f>
        <v>118.65</v>
      </c>
      <c r="AI108" s="12">
        <f>SUM(All_India_Index_Upto_April23__1___1[[#This Row],[Cereals and products]:[Pan, tobacco and intoxicants]])</f>
        <v>1837</v>
      </c>
      <c r="AJ108" s="12">
        <f>SUM(All_India_Index_Upto_April23__1___1[[#This Row],[Household goods and services]],All_India_Index_Upto_April23__1___1[[#This Row],[Housing]])</f>
        <v>243.4</v>
      </c>
      <c r="AK108" s="12">
        <f>All_India_Index_Upto_April23__1___1[[#This Row],[Clothing]]+All_India_Index_Upto_April23__1___1[[#This Row],[Footwear]]</f>
        <v>244.9</v>
      </c>
      <c r="AL108" s="12">
        <f>All_India_Index_Upto_April23__1___1[[#This Row],[Miscellaneous]]+All_India_Index_Upto_April23__1___1[[#This Row],[Personal care and effects]]+All_India_Index_Upto_April23__1___1[[#This Row],[Education]]+All_India_Index_Upto_April23__1___1[[#This Row],[Recreation and amusement]]</f>
        <v>474.6</v>
      </c>
      <c r="AM10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3143.8</v>
      </c>
    </row>
    <row r="109" spans="1:39" hidden="1" x14ac:dyDescent="0.3">
      <c r="A109" t="s">
        <v>33</v>
      </c>
      <c r="B109">
        <v>2015</v>
      </c>
      <c r="C109" t="s">
        <v>45</v>
      </c>
      <c r="D109" t="str">
        <f t="shared" si="1"/>
        <v>Dec-15</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c r="AF109" s="12">
        <f>AVERAGE(All_India_Index_Upto_April23__1___1[[#This Row],[Cereals and products]:[Pan, tobacco and intoxicants]])</f>
        <v>130.04285714285714</v>
      </c>
      <c r="AG109" s="12">
        <f>AVERAGE(All_India_Index_Upto_April23__1___1[[#This Row],[Household goods and services]],All_India_Index_Upto_April23__1___1[[#This Row],[Housing]])</f>
        <v>123</v>
      </c>
      <c r="AH109" s="12">
        <f>AVERAGE(All_India_Index_Upto_April23__1___1[[#This Row],[Miscellaneous]],All_India_Index_Upto_April23__1___1[[#This Row],[Personal care and effects]],All_India_Index_Upto_April23__1___1[[#This Row],[Education]],All_India_Index_Upto_April23__1___1[[#This Row],[Recreation and amusement]])</f>
        <v>119.44999999999999</v>
      </c>
      <c r="AI109" s="12">
        <f>SUM(All_India_Index_Upto_April23__1___1[[#This Row],[Cereals and products]:[Pan, tobacco and intoxicants]])</f>
        <v>1820.6000000000001</v>
      </c>
      <c r="AJ109" s="12">
        <f>SUM(All_India_Index_Upto_April23__1___1[[#This Row],[Household goods and services]],All_India_Index_Upto_April23__1___1[[#This Row],[Housing]])</f>
        <v>246</v>
      </c>
      <c r="AK109" s="12">
        <f>All_India_Index_Upto_April23__1___1[[#This Row],[Clothing]]+All_India_Index_Upto_April23__1___1[[#This Row],[Footwear]]</f>
        <v>254.5</v>
      </c>
      <c r="AL109" s="12">
        <f>All_India_Index_Upto_April23__1___1[[#This Row],[Miscellaneous]]+All_India_Index_Upto_April23__1___1[[#This Row],[Personal care and effects]]+All_India_Index_Upto_April23__1___1[[#This Row],[Education]]+All_India_Index_Upto_April23__1___1[[#This Row],[Recreation and amusement]]</f>
        <v>477.79999999999995</v>
      </c>
      <c r="AM10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3153.8</v>
      </c>
    </row>
    <row r="110" spans="1:39" hidden="1" x14ac:dyDescent="0.3">
      <c r="A110" t="s">
        <v>30</v>
      </c>
      <c r="B110">
        <v>2016</v>
      </c>
      <c r="C110" t="s">
        <v>31</v>
      </c>
      <c r="D110" t="str">
        <f t="shared" si="1"/>
        <v>Jan-16</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s="12">
        <f>'Handle Missing Value Sheet only'!$F$5</f>
        <v>139.27096774193564</v>
      </c>
      <c r="W110">
        <v>126.2</v>
      </c>
      <c r="X110">
        <v>126.6</v>
      </c>
      <c r="Y110">
        <v>123.7</v>
      </c>
      <c r="Z110">
        <v>113.6</v>
      </c>
      <c r="AA110">
        <v>121.4</v>
      </c>
      <c r="AB110">
        <v>126.2</v>
      </c>
      <c r="AC110">
        <v>114.9</v>
      </c>
      <c r="AD110">
        <v>120.1</v>
      </c>
      <c r="AE110">
        <v>128.1</v>
      </c>
      <c r="AF110" s="12">
        <f>AVERAGE(All_India_Index_Upto_April23__1___1[[#This Row],[Cereals and products]:[Pan, tobacco and intoxicants]])</f>
        <v>130.26428571428571</v>
      </c>
      <c r="AG110" s="12">
        <f>AVERAGE(All_India_Index_Upto_April23__1___1[[#This Row],[Household goods and services]],All_India_Index_Upto_April23__1___1[[#This Row],[Housing]])</f>
        <v>132.9354838709678</v>
      </c>
      <c r="AH110" s="12">
        <f>AVERAGE(All_India_Index_Upto_April23__1___1[[#This Row],[Miscellaneous]],All_India_Index_Upto_April23__1___1[[#This Row],[Personal care and effects]],All_India_Index_Upto_April23__1___1[[#This Row],[Education]],All_India_Index_Upto_April23__1___1[[#This Row],[Recreation and amusement]])</f>
        <v>120.65</v>
      </c>
      <c r="AI110" s="12">
        <f>SUM(All_India_Index_Upto_April23__1___1[[#This Row],[Cereals and products]:[Pan, tobacco and intoxicants]])</f>
        <v>1823.7</v>
      </c>
      <c r="AJ110" s="12">
        <f>SUM(All_India_Index_Upto_April23__1___1[[#This Row],[Household goods and services]],All_India_Index_Upto_April23__1___1[[#This Row],[Housing]])</f>
        <v>265.8709677419356</v>
      </c>
      <c r="AK110" s="12">
        <f>All_India_Index_Upto_April23__1___1[[#This Row],[Clothing]]+All_India_Index_Upto_April23__1___1[[#This Row],[Footwear]]</f>
        <v>262.10000000000002</v>
      </c>
      <c r="AL110" s="12">
        <f>All_India_Index_Upto_April23__1___1[[#This Row],[Miscellaneous]]+All_India_Index_Upto_April23__1___1[[#This Row],[Personal care and effects]]+All_India_Index_Upto_April23__1___1[[#This Row],[Education]]+All_India_Index_Upto_April23__1___1[[#This Row],[Recreation and amusement]]</f>
        <v>482.6</v>
      </c>
      <c r="AM11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3197.7709677419352</v>
      </c>
    </row>
    <row r="111" spans="1:39" hidden="1" x14ac:dyDescent="0.3">
      <c r="A111" t="s">
        <v>32</v>
      </c>
      <c r="B111">
        <v>2016</v>
      </c>
      <c r="C111" t="s">
        <v>31</v>
      </c>
      <c r="D111" t="str">
        <f t="shared" si="1"/>
        <v>Jan-16</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c r="AF111" s="12">
        <f>AVERAGE(All_India_Index_Upto_April23__1___1[[#This Row],[Cereals and products]:[Pan, tobacco and intoxicants]])</f>
        <v>131.49285714285716</v>
      </c>
      <c r="AG111" s="12">
        <f>AVERAGE(All_India_Index_Upto_April23__1___1[[#This Row],[Household goods and services]],All_India_Index_Upto_April23__1___1[[#This Row],[Housing]])</f>
        <v>122.5</v>
      </c>
      <c r="AH111" s="12">
        <f>AVERAGE(All_India_Index_Upto_April23__1___1[[#This Row],[Miscellaneous]],All_India_Index_Upto_April23__1___1[[#This Row],[Personal care and effects]],All_India_Index_Upto_April23__1___1[[#This Row],[Education]],All_India_Index_Upto_April23__1___1[[#This Row],[Recreation and amusement]])</f>
        <v>118.92500000000001</v>
      </c>
      <c r="AI111" s="12">
        <f>SUM(All_India_Index_Upto_April23__1___1[[#This Row],[Cereals and products]:[Pan, tobacco and intoxicants]])</f>
        <v>1840.9</v>
      </c>
      <c r="AJ111" s="12">
        <f>SUM(All_India_Index_Upto_April23__1___1[[#This Row],[Household goods and services]],All_India_Index_Upto_April23__1___1[[#This Row],[Housing]])</f>
        <v>245</v>
      </c>
      <c r="AK111" s="12">
        <f>All_India_Index_Upto_April23__1___1[[#This Row],[Clothing]]+All_India_Index_Upto_April23__1___1[[#This Row],[Footwear]]</f>
        <v>245.6</v>
      </c>
      <c r="AL111" s="12">
        <f>All_India_Index_Upto_April23__1___1[[#This Row],[Miscellaneous]]+All_India_Index_Upto_April23__1___1[[#This Row],[Personal care and effects]]+All_India_Index_Upto_April23__1___1[[#This Row],[Education]]+All_India_Index_Upto_April23__1___1[[#This Row],[Recreation and amusement]]</f>
        <v>475.70000000000005</v>
      </c>
      <c r="AM11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3152.1000000000004</v>
      </c>
    </row>
    <row r="112" spans="1:39" hidden="1" x14ac:dyDescent="0.3">
      <c r="A112" t="s">
        <v>33</v>
      </c>
      <c r="B112">
        <v>2016</v>
      </c>
      <c r="C112" t="s">
        <v>31</v>
      </c>
      <c r="D112" t="str">
        <f t="shared" si="1"/>
        <v>Jan-16</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c r="AF112" s="12">
        <f>AVERAGE(All_India_Index_Upto_April23__1___1[[#This Row],[Cereals and products]:[Pan, tobacco and intoxicants]])</f>
        <v>130.49285714285716</v>
      </c>
      <c r="AG112" s="12">
        <f>AVERAGE(All_India_Index_Upto_April23__1___1[[#This Row],[Household goods and services]],All_India_Index_Upto_April23__1___1[[#This Row],[Housing]])</f>
        <v>123.80000000000001</v>
      </c>
      <c r="AH112" s="12">
        <f>AVERAGE(All_India_Index_Upto_April23__1___1[[#This Row],[Miscellaneous]],All_India_Index_Upto_April23__1___1[[#This Row],[Personal care and effects]],All_India_Index_Upto_April23__1___1[[#This Row],[Education]],All_India_Index_Upto_April23__1___1[[#This Row],[Recreation and amusement]])</f>
        <v>119.77500000000001</v>
      </c>
      <c r="AI112" s="12">
        <f>SUM(All_India_Index_Upto_April23__1___1[[#This Row],[Cereals and products]:[Pan, tobacco and intoxicants]])</f>
        <v>1826.9</v>
      </c>
      <c r="AJ112" s="12">
        <f>SUM(All_India_Index_Upto_April23__1___1[[#This Row],[Household goods and services]],All_India_Index_Upto_April23__1___1[[#This Row],[Housing]])</f>
        <v>247.60000000000002</v>
      </c>
      <c r="AK112" s="12">
        <f>All_India_Index_Upto_April23__1___1[[#This Row],[Clothing]]+All_India_Index_Upto_April23__1___1[[#This Row],[Footwear]]</f>
        <v>255.4</v>
      </c>
      <c r="AL112" s="12">
        <f>All_India_Index_Upto_April23__1___1[[#This Row],[Miscellaneous]]+All_India_Index_Upto_April23__1___1[[#This Row],[Personal care and effects]]+All_India_Index_Upto_April23__1___1[[#This Row],[Education]]+All_India_Index_Upto_April23__1___1[[#This Row],[Recreation and amusement]]</f>
        <v>479.1</v>
      </c>
      <c r="AM11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3164.7999999999997</v>
      </c>
    </row>
    <row r="113" spans="1:39" hidden="1" x14ac:dyDescent="0.3">
      <c r="A113" t="s">
        <v>30</v>
      </c>
      <c r="B113">
        <v>2016</v>
      </c>
      <c r="C113" t="s">
        <v>34</v>
      </c>
      <c r="D113" t="str">
        <f t="shared" si="1"/>
        <v>Feb-16</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s="12">
        <f>'Handle Missing Value Sheet only'!$F$5</f>
        <v>139.27096774193564</v>
      </c>
      <c r="W113">
        <v>127.5</v>
      </c>
      <c r="X113">
        <v>127.1</v>
      </c>
      <c r="Y113">
        <v>124.3</v>
      </c>
      <c r="Z113">
        <v>113.9</v>
      </c>
      <c r="AA113">
        <v>122.3</v>
      </c>
      <c r="AB113">
        <v>127.1</v>
      </c>
      <c r="AC113">
        <v>116.8</v>
      </c>
      <c r="AD113">
        <v>120.9</v>
      </c>
      <c r="AE113">
        <v>127.9</v>
      </c>
      <c r="AF113" s="12">
        <f>AVERAGE(All_India_Index_Upto_April23__1___1[[#This Row],[Cereals and products]:[Pan, tobacco and intoxicants]])</f>
        <v>129.78571428571428</v>
      </c>
      <c r="AG113" s="12">
        <f>AVERAGE(All_India_Index_Upto_April23__1___1[[#This Row],[Household goods and services]],All_India_Index_Upto_April23__1___1[[#This Row],[Housing]])</f>
        <v>133.1854838709678</v>
      </c>
      <c r="AH113" s="12">
        <f>AVERAGE(All_India_Index_Upto_April23__1___1[[#This Row],[Miscellaneous]],All_India_Index_Upto_April23__1___1[[#This Row],[Personal care and effects]],All_India_Index_Upto_April23__1___1[[#This Row],[Education]],All_India_Index_Upto_April23__1___1[[#This Row],[Recreation and amusement]])</f>
        <v>121.77499999999999</v>
      </c>
      <c r="AI113" s="12">
        <f>SUM(All_India_Index_Upto_April23__1___1[[#This Row],[Cereals and products]:[Pan, tobacco and intoxicants]])</f>
        <v>1817</v>
      </c>
      <c r="AJ113" s="12">
        <f>SUM(All_India_Index_Upto_April23__1___1[[#This Row],[Household goods and services]],All_India_Index_Upto_April23__1___1[[#This Row],[Housing]])</f>
        <v>266.3709677419356</v>
      </c>
      <c r="AK113" s="12">
        <f>All_India_Index_Upto_April23__1___1[[#This Row],[Clothing]]+All_India_Index_Upto_April23__1___1[[#This Row],[Footwear]]</f>
        <v>263.70000000000005</v>
      </c>
      <c r="AL113" s="12">
        <f>All_India_Index_Upto_April23__1___1[[#This Row],[Miscellaneous]]+All_India_Index_Upto_April23__1___1[[#This Row],[Personal care and effects]]+All_India_Index_Upto_April23__1___1[[#This Row],[Education]]+All_India_Index_Upto_April23__1___1[[#This Row],[Recreation and amusement]]</f>
        <v>487.09999999999997</v>
      </c>
      <c r="AM11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3199.8709677419361</v>
      </c>
    </row>
    <row r="114" spans="1:39" hidden="1" x14ac:dyDescent="0.3">
      <c r="A114" t="s">
        <v>32</v>
      </c>
      <c r="B114">
        <v>2016</v>
      </c>
      <c r="C114" t="s">
        <v>34</v>
      </c>
      <c r="D114" t="str">
        <f t="shared" si="1"/>
        <v>Feb-16</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c r="AF114" s="12">
        <f>AVERAGE(All_India_Index_Upto_April23__1___1[[#This Row],[Cereals and products]:[Pan, tobacco and intoxicants]])</f>
        <v>129.72142857142856</v>
      </c>
      <c r="AG114" s="12">
        <f>AVERAGE(All_India_Index_Upto_April23__1___1[[#This Row],[Household goods and services]],All_India_Index_Upto_April23__1___1[[#This Row],[Housing]])</f>
        <v>123.1</v>
      </c>
      <c r="AH114" s="12">
        <f>AVERAGE(All_India_Index_Upto_April23__1___1[[#This Row],[Miscellaneous]],All_India_Index_Upto_April23__1___1[[#This Row],[Personal care and effects]],All_India_Index_Upto_April23__1___1[[#This Row],[Education]],All_India_Index_Upto_April23__1___1[[#This Row],[Recreation and amusement]])</f>
        <v>119.625</v>
      </c>
      <c r="AI114" s="12">
        <f>SUM(All_India_Index_Upto_April23__1___1[[#This Row],[Cereals and products]:[Pan, tobacco and intoxicants]])</f>
        <v>1816.1</v>
      </c>
      <c r="AJ114" s="12">
        <f>SUM(All_India_Index_Upto_April23__1___1[[#This Row],[Household goods and services]],All_India_Index_Upto_April23__1___1[[#This Row],[Housing]])</f>
        <v>246.2</v>
      </c>
      <c r="AK114" s="12">
        <f>All_India_Index_Upto_April23__1___1[[#This Row],[Clothing]]+All_India_Index_Upto_April23__1___1[[#This Row],[Footwear]]</f>
        <v>246.3</v>
      </c>
      <c r="AL114" s="12">
        <f>All_India_Index_Upto_April23__1___1[[#This Row],[Miscellaneous]]+All_India_Index_Upto_April23__1___1[[#This Row],[Personal care and effects]]+All_India_Index_Upto_April23__1___1[[#This Row],[Education]]+All_India_Index_Upto_April23__1___1[[#This Row],[Recreation and amusement]]</f>
        <v>478.5</v>
      </c>
      <c r="AM11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3131.7</v>
      </c>
    </row>
    <row r="115" spans="1:39" hidden="1" x14ac:dyDescent="0.3">
      <c r="A115" t="s">
        <v>33</v>
      </c>
      <c r="B115">
        <v>2016</v>
      </c>
      <c r="C115" t="s">
        <v>34</v>
      </c>
      <c r="D115" t="str">
        <f t="shared" si="1"/>
        <v>Feb-16</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c r="AF115" s="12">
        <f>AVERAGE(All_India_Index_Upto_April23__1___1[[#This Row],[Cereals and products]:[Pan, tobacco and intoxicants]])</f>
        <v>129.57142857142858</v>
      </c>
      <c r="AG115" s="12">
        <f>AVERAGE(All_India_Index_Upto_April23__1___1[[#This Row],[Household goods and services]],All_India_Index_Upto_April23__1___1[[#This Row],[Housing]])</f>
        <v>124.5</v>
      </c>
      <c r="AH115" s="12">
        <f>AVERAGE(All_India_Index_Upto_April23__1___1[[#This Row],[Miscellaneous]],All_India_Index_Upto_April23__1___1[[#This Row],[Personal care and effects]],All_India_Index_Upto_April23__1___1[[#This Row],[Education]],All_India_Index_Upto_April23__1___1[[#This Row],[Recreation and amusement]])</f>
        <v>120.64999999999999</v>
      </c>
      <c r="AI115" s="12">
        <f>SUM(All_India_Index_Upto_April23__1___1[[#This Row],[Cereals and products]:[Pan, tobacco and intoxicants]])</f>
        <v>1814</v>
      </c>
      <c r="AJ115" s="12">
        <f>SUM(All_India_Index_Upto_April23__1___1[[#This Row],[Household goods and services]],All_India_Index_Upto_April23__1___1[[#This Row],[Housing]])</f>
        <v>249</v>
      </c>
      <c r="AK115" s="12">
        <f>All_India_Index_Upto_April23__1___1[[#This Row],[Clothing]]+All_India_Index_Upto_April23__1___1[[#This Row],[Footwear]]</f>
        <v>256.7</v>
      </c>
      <c r="AL115" s="12">
        <f>All_India_Index_Upto_April23__1___1[[#This Row],[Miscellaneous]]+All_India_Index_Upto_April23__1___1[[#This Row],[Personal care and effects]]+All_India_Index_Upto_April23__1___1[[#This Row],[Education]]+All_India_Index_Upto_April23__1___1[[#This Row],[Recreation and amusement]]</f>
        <v>482.59999999999997</v>
      </c>
      <c r="AM11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3159.3</v>
      </c>
    </row>
    <row r="116" spans="1:39" hidden="1" x14ac:dyDescent="0.3">
      <c r="A116" t="s">
        <v>30</v>
      </c>
      <c r="B116">
        <v>2016</v>
      </c>
      <c r="C116" t="s">
        <v>35</v>
      </c>
      <c r="D116" t="str">
        <f t="shared" si="1"/>
        <v>Mar-16</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s="12">
        <f>'Handle Missing Value Sheet only'!$F$5</f>
        <v>139.27096774193564</v>
      </c>
      <c r="W116">
        <v>127</v>
      </c>
      <c r="X116">
        <v>127.7</v>
      </c>
      <c r="Y116">
        <v>124.8</v>
      </c>
      <c r="Z116">
        <v>113.6</v>
      </c>
      <c r="AA116">
        <v>122.5</v>
      </c>
      <c r="AB116">
        <v>127.5</v>
      </c>
      <c r="AC116">
        <v>117.4</v>
      </c>
      <c r="AD116">
        <v>121.1</v>
      </c>
      <c r="AE116">
        <v>128</v>
      </c>
      <c r="AF116" s="12">
        <f>AVERAGE(All_India_Index_Upto_April23__1___1[[#This Row],[Cereals and products]:[Pan, tobacco and intoxicants]])</f>
        <v>129.83571428571432</v>
      </c>
      <c r="AG116" s="12">
        <f>AVERAGE(All_India_Index_Upto_April23__1___1[[#This Row],[Household goods and services]],All_India_Index_Upto_April23__1___1[[#This Row],[Housing]])</f>
        <v>133.48548387096781</v>
      </c>
      <c r="AH116" s="12">
        <f>AVERAGE(All_India_Index_Upto_April23__1___1[[#This Row],[Miscellaneous]],All_India_Index_Upto_April23__1___1[[#This Row],[Personal care and effects]],All_India_Index_Upto_April23__1___1[[#This Row],[Education]],All_India_Index_Upto_April23__1___1[[#This Row],[Recreation and amusement]])</f>
        <v>122.125</v>
      </c>
      <c r="AI116" s="12">
        <f>SUM(All_India_Index_Upto_April23__1___1[[#This Row],[Cereals and products]:[Pan, tobacco and intoxicants]])</f>
        <v>1817.7000000000003</v>
      </c>
      <c r="AJ116" s="12">
        <f>SUM(All_India_Index_Upto_April23__1___1[[#This Row],[Household goods and services]],All_India_Index_Upto_April23__1___1[[#This Row],[Housing]])</f>
        <v>266.97096774193562</v>
      </c>
      <c r="AK116" s="12">
        <f>All_India_Index_Upto_April23__1___1[[#This Row],[Clothing]]+All_India_Index_Upto_April23__1___1[[#This Row],[Footwear]]</f>
        <v>264.60000000000002</v>
      </c>
      <c r="AL116" s="12">
        <f>All_India_Index_Upto_April23__1___1[[#This Row],[Miscellaneous]]+All_India_Index_Upto_April23__1___1[[#This Row],[Personal care and effects]]+All_India_Index_Upto_April23__1___1[[#This Row],[Education]]+All_India_Index_Upto_April23__1___1[[#This Row],[Recreation and amusement]]</f>
        <v>488.5</v>
      </c>
      <c r="AM11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3203.1709677419362</v>
      </c>
    </row>
    <row r="117" spans="1:39" hidden="1" x14ac:dyDescent="0.3">
      <c r="A117" t="s">
        <v>32</v>
      </c>
      <c r="B117">
        <v>2016</v>
      </c>
      <c r="C117" t="s">
        <v>35</v>
      </c>
      <c r="D117" t="str">
        <f t="shared" si="1"/>
        <v>Mar-16</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c r="AF117" s="12">
        <f>AVERAGE(All_India_Index_Upto_April23__1___1[[#This Row],[Cereals and products]:[Pan, tobacco and intoxicants]])</f>
        <v>129.15714285714287</v>
      </c>
      <c r="AG117" s="12">
        <f>AVERAGE(All_India_Index_Upto_April23__1___1[[#This Row],[Household goods and services]],All_India_Index_Upto_April23__1___1[[#This Row],[Housing]])</f>
        <v>123.6</v>
      </c>
      <c r="AH117" s="12">
        <f>AVERAGE(All_India_Index_Upto_April23__1___1[[#This Row],[Miscellaneous]],All_India_Index_Upto_April23__1___1[[#This Row],[Personal care and effects]],All_India_Index_Upto_April23__1___1[[#This Row],[Education]],All_India_Index_Upto_April23__1___1[[#This Row],[Recreation and amusement]])</f>
        <v>119.97499999999999</v>
      </c>
      <c r="AI117" s="12">
        <f>SUM(All_India_Index_Upto_April23__1___1[[#This Row],[Cereals and products]:[Pan, tobacco and intoxicants]])</f>
        <v>1808.2</v>
      </c>
      <c r="AJ117" s="12">
        <f>SUM(All_India_Index_Upto_April23__1___1[[#This Row],[Household goods and services]],All_India_Index_Upto_April23__1___1[[#This Row],[Housing]])</f>
        <v>247.2</v>
      </c>
      <c r="AK117" s="12">
        <f>All_India_Index_Upto_April23__1___1[[#This Row],[Clothing]]+All_India_Index_Upto_April23__1___1[[#This Row],[Footwear]]</f>
        <v>246.7</v>
      </c>
      <c r="AL117" s="12">
        <f>All_India_Index_Upto_April23__1___1[[#This Row],[Miscellaneous]]+All_India_Index_Upto_April23__1___1[[#This Row],[Personal care and effects]]+All_India_Index_Upto_April23__1___1[[#This Row],[Education]]+All_India_Index_Upto_April23__1___1[[#This Row],[Recreation and amusement]]</f>
        <v>479.9</v>
      </c>
      <c r="AM11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3125</v>
      </c>
    </row>
    <row r="118" spans="1:39" hidden="1" x14ac:dyDescent="0.3">
      <c r="A118" t="s">
        <v>33</v>
      </c>
      <c r="B118">
        <v>2016</v>
      </c>
      <c r="C118" t="s">
        <v>35</v>
      </c>
      <c r="D118" t="str">
        <f t="shared" si="1"/>
        <v>Mar-16</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c r="AF118" s="12">
        <f>AVERAGE(All_India_Index_Upto_April23__1___1[[#This Row],[Cereals and products]:[Pan, tobacco and intoxicants]])</f>
        <v>129.40714285714287</v>
      </c>
      <c r="AG118" s="12">
        <f>AVERAGE(All_India_Index_Upto_April23__1___1[[#This Row],[Household goods and services]],All_India_Index_Upto_April23__1___1[[#This Row],[Housing]])</f>
        <v>125</v>
      </c>
      <c r="AH118" s="12">
        <f>AVERAGE(All_India_Index_Upto_April23__1___1[[#This Row],[Miscellaneous]],All_India_Index_Upto_April23__1___1[[#This Row],[Personal care and effects]],All_India_Index_Upto_April23__1___1[[#This Row],[Education]],All_India_Index_Upto_April23__1___1[[#This Row],[Recreation and amusement]])</f>
        <v>121.02500000000001</v>
      </c>
      <c r="AI118" s="12">
        <f>SUM(All_India_Index_Upto_April23__1___1[[#This Row],[Cereals and products]:[Pan, tobacco and intoxicants]])</f>
        <v>1811.7</v>
      </c>
      <c r="AJ118" s="12">
        <f>SUM(All_India_Index_Upto_April23__1___1[[#This Row],[Household goods and services]],All_India_Index_Upto_April23__1___1[[#This Row],[Housing]])</f>
        <v>250</v>
      </c>
      <c r="AK118" s="12">
        <f>All_India_Index_Upto_April23__1___1[[#This Row],[Clothing]]+All_India_Index_Upto_April23__1___1[[#This Row],[Footwear]]</f>
        <v>257.39999999999998</v>
      </c>
      <c r="AL118" s="12">
        <f>All_India_Index_Upto_April23__1___1[[#This Row],[Miscellaneous]]+All_India_Index_Upto_April23__1___1[[#This Row],[Personal care and effects]]+All_India_Index_Upto_April23__1___1[[#This Row],[Education]]+All_India_Index_Upto_April23__1___1[[#This Row],[Recreation and amusement]]</f>
        <v>484.1</v>
      </c>
      <c r="AM11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3159.4</v>
      </c>
    </row>
    <row r="119" spans="1:39" hidden="1" x14ac:dyDescent="0.3">
      <c r="A119" t="s">
        <v>30</v>
      </c>
      <c r="B119">
        <v>2016</v>
      </c>
      <c r="C119" t="s">
        <v>36</v>
      </c>
      <c r="D119" t="str">
        <f t="shared" si="1"/>
        <v>Apr-16</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s="12">
        <f>'Handle Missing Value Sheet only'!$F$5</f>
        <v>139.27096774193564</v>
      </c>
      <c r="W119">
        <v>127</v>
      </c>
      <c r="X119">
        <v>128</v>
      </c>
      <c r="Y119">
        <v>125.2</v>
      </c>
      <c r="Z119">
        <v>114.4</v>
      </c>
      <c r="AA119">
        <v>123.2</v>
      </c>
      <c r="AB119">
        <v>127.9</v>
      </c>
      <c r="AC119">
        <v>118.4</v>
      </c>
      <c r="AD119">
        <v>121.7</v>
      </c>
      <c r="AE119">
        <v>129</v>
      </c>
      <c r="AF119" s="12">
        <f>AVERAGE(All_India_Index_Upto_April23__1___1[[#This Row],[Cereals and products]:[Pan, tobacco and intoxicants]])</f>
        <v>131.22142857142859</v>
      </c>
      <c r="AG119" s="12">
        <f>AVERAGE(All_India_Index_Upto_April23__1___1[[#This Row],[Household goods and services]],All_India_Index_Upto_April23__1___1[[#This Row],[Housing]])</f>
        <v>133.63548387096782</v>
      </c>
      <c r="AH119" s="12">
        <f>AVERAGE(All_India_Index_Upto_April23__1___1[[#This Row],[Miscellaneous]],All_India_Index_Upto_April23__1___1[[#This Row],[Personal care and effects]],All_India_Index_Upto_April23__1___1[[#This Row],[Education]],All_India_Index_Upto_April23__1___1[[#This Row],[Recreation and amusement]])</f>
        <v>122.8</v>
      </c>
      <c r="AI119" s="12">
        <f>SUM(All_India_Index_Upto_April23__1___1[[#This Row],[Cereals and products]:[Pan, tobacco and intoxicants]])</f>
        <v>1837.1000000000004</v>
      </c>
      <c r="AJ119" s="12">
        <f>SUM(All_India_Index_Upto_April23__1___1[[#This Row],[Household goods and services]],All_India_Index_Upto_April23__1___1[[#This Row],[Housing]])</f>
        <v>267.27096774193564</v>
      </c>
      <c r="AK119" s="12">
        <f>All_India_Index_Upto_April23__1___1[[#This Row],[Clothing]]+All_India_Index_Upto_April23__1___1[[#This Row],[Footwear]]</f>
        <v>265.60000000000002</v>
      </c>
      <c r="AL119" s="12">
        <f>All_India_Index_Upto_April23__1___1[[#This Row],[Miscellaneous]]+All_India_Index_Upto_April23__1___1[[#This Row],[Personal care and effects]]+All_India_Index_Upto_April23__1___1[[#This Row],[Education]]+All_India_Index_Upto_April23__1___1[[#This Row],[Recreation and amusement]]</f>
        <v>491.2</v>
      </c>
      <c r="AM11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3227.7709677419357</v>
      </c>
    </row>
    <row r="120" spans="1:39" hidden="1" x14ac:dyDescent="0.3">
      <c r="A120" t="s">
        <v>32</v>
      </c>
      <c r="B120">
        <v>2016</v>
      </c>
      <c r="C120" t="s">
        <v>36</v>
      </c>
      <c r="D120" t="str">
        <f t="shared" si="1"/>
        <v>Apr-16</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c r="AF120" s="12">
        <f>AVERAGE(All_India_Index_Upto_April23__1___1[[#This Row],[Cereals and products]:[Pan, tobacco and intoxicants]])</f>
        <v>131.98571428571429</v>
      </c>
      <c r="AG120" s="12">
        <f>AVERAGE(All_India_Index_Upto_April23__1___1[[#This Row],[Household goods and services]],All_India_Index_Upto_April23__1___1[[#This Row],[Housing]])</f>
        <v>124.19999999999999</v>
      </c>
      <c r="AH120" s="12">
        <f>AVERAGE(All_India_Index_Upto_April23__1___1[[#This Row],[Miscellaneous]],All_India_Index_Upto_April23__1___1[[#This Row],[Personal care and effects]],All_India_Index_Upto_April23__1___1[[#This Row],[Education]],All_India_Index_Upto_April23__1___1[[#This Row],[Recreation and amusement]])</f>
        <v>120.72499999999999</v>
      </c>
      <c r="AI120" s="12">
        <f>SUM(All_India_Index_Upto_April23__1___1[[#This Row],[Cereals and products]:[Pan, tobacco and intoxicants]])</f>
        <v>1847.8</v>
      </c>
      <c r="AJ120" s="12">
        <f>SUM(All_India_Index_Upto_April23__1___1[[#This Row],[Household goods and services]],All_India_Index_Upto_April23__1___1[[#This Row],[Housing]])</f>
        <v>248.39999999999998</v>
      </c>
      <c r="AK120" s="12">
        <f>All_India_Index_Upto_April23__1___1[[#This Row],[Clothing]]+All_India_Index_Upto_April23__1___1[[#This Row],[Footwear]]</f>
        <v>247.3</v>
      </c>
      <c r="AL120" s="12">
        <f>All_India_Index_Upto_April23__1___1[[#This Row],[Miscellaneous]]+All_India_Index_Upto_April23__1___1[[#This Row],[Personal care and effects]]+All_India_Index_Upto_April23__1___1[[#This Row],[Education]]+All_India_Index_Upto_April23__1___1[[#This Row],[Recreation and amusement]]</f>
        <v>482.9</v>
      </c>
      <c r="AM12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3171</v>
      </c>
    </row>
    <row r="121" spans="1:39" hidden="1" x14ac:dyDescent="0.3">
      <c r="A121" t="s">
        <v>33</v>
      </c>
      <c r="B121">
        <v>2016</v>
      </c>
      <c r="C121" t="s">
        <v>36</v>
      </c>
      <c r="D121" t="str">
        <f t="shared" si="1"/>
        <v>Apr-16</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c r="AF121" s="12">
        <f>AVERAGE(All_India_Index_Upto_April23__1___1[[#This Row],[Cereals and products]:[Pan, tobacco and intoxicants]])</f>
        <v>131.31428571428572</v>
      </c>
      <c r="AG121" s="12">
        <f>AVERAGE(All_India_Index_Upto_April23__1___1[[#This Row],[Household goods and services]],All_India_Index_Upto_April23__1___1[[#This Row],[Housing]])</f>
        <v>125.55</v>
      </c>
      <c r="AH121" s="12">
        <f>AVERAGE(All_India_Index_Upto_April23__1___1[[#This Row],[Miscellaneous]],All_India_Index_Upto_April23__1___1[[#This Row],[Personal care and effects]],All_India_Index_Upto_April23__1___1[[#This Row],[Education]],All_India_Index_Upto_April23__1___1[[#This Row],[Recreation and amusement]])</f>
        <v>121.72499999999999</v>
      </c>
      <c r="AI121" s="12">
        <f>SUM(All_India_Index_Upto_April23__1___1[[#This Row],[Cereals and products]:[Pan, tobacco and intoxicants]])</f>
        <v>1838.3999999999999</v>
      </c>
      <c r="AJ121" s="12">
        <f>SUM(All_India_Index_Upto_April23__1___1[[#This Row],[Household goods and services]],All_India_Index_Upto_April23__1___1[[#This Row],[Housing]])</f>
        <v>251.1</v>
      </c>
      <c r="AK121" s="12">
        <f>All_India_Index_Upto_April23__1___1[[#This Row],[Clothing]]+All_India_Index_Upto_April23__1___1[[#This Row],[Footwear]]</f>
        <v>258.20000000000005</v>
      </c>
      <c r="AL121" s="12">
        <f>All_India_Index_Upto_April23__1___1[[#This Row],[Miscellaneous]]+All_India_Index_Upto_April23__1___1[[#This Row],[Personal care and effects]]+All_India_Index_Upto_April23__1___1[[#This Row],[Education]]+All_India_Index_Upto_April23__1___1[[#This Row],[Recreation and amusement]]</f>
        <v>486.9</v>
      </c>
      <c r="AM12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3192.2</v>
      </c>
    </row>
    <row r="122" spans="1:39" hidden="1" x14ac:dyDescent="0.3">
      <c r="A122" t="s">
        <v>30</v>
      </c>
      <c r="B122">
        <v>2016</v>
      </c>
      <c r="C122" t="s">
        <v>37</v>
      </c>
      <c r="D122" t="str">
        <f t="shared" si="1"/>
        <v>May-16</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s="12">
        <f>'Handle Missing Value Sheet only'!$F$5</f>
        <v>139.27096774193564</v>
      </c>
      <c r="W122">
        <v>127.4</v>
      </c>
      <c r="X122">
        <v>128.5</v>
      </c>
      <c r="Y122">
        <v>125.8</v>
      </c>
      <c r="Z122">
        <v>115.1</v>
      </c>
      <c r="AA122">
        <v>123.6</v>
      </c>
      <c r="AB122">
        <v>129.1</v>
      </c>
      <c r="AC122">
        <v>119.7</v>
      </c>
      <c r="AD122">
        <v>122.5</v>
      </c>
      <c r="AE122">
        <v>130.30000000000001</v>
      </c>
      <c r="AF122" s="12">
        <f>AVERAGE(All_India_Index_Upto_April23__1___1[[#This Row],[Cereals and products]:[Pan, tobacco and intoxicants]])</f>
        <v>132.83571428571426</v>
      </c>
      <c r="AG122" s="12">
        <f>AVERAGE(All_India_Index_Upto_April23__1___1[[#This Row],[Household goods and services]],All_India_Index_Upto_April23__1___1[[#This Row],[Housing]])</f>
        <v>133.88548387096782</v>
      </c>
      <c r="AH122" s="12">
        <f>AVERAGE(All_India_Index_Upto_April23__1___1[[#This Row],[Miscellaneous]],All_India_Index_Upto_April23__1___1[[#This Row],[Personal care and effects]],All_India_Index_Upto_April23__1___1[[#This Row],[Education]],All_India_Index_Upto_April23__1___1[[#This Row],[Recreation and amusement]])</f>
        <v>123.72499999999999</v>
      </c>
      <c r="AI122" s="12">
        <f>SUM(All_India_Index_Upto_April23__1___1[[#This Row],[Cereals and products]:[Pan, tobacco and intoxicants]])</f>
        <v>1859.6999999999998</v>
      </c>
      <c r="AJ122" s="12">
        <f>SUM(All_India_Index_Upto_April23__1___1[[#This Row],[Household goods and services]],All_India_Index_Upto_April23__1___1[[#This Row],[Housing]])</f>
        <v>267.77096774193564</v>
      </c>
      <c r="AK122" s="12">
        <f>All_India_Index_Upto_April23__1___1[[#This Row],[Clothing]]+All_India_Index_Upto_April23__1___1[[#This Row],[Footwear]]</f>
        <v>266.5</v>
      </c>
      <c r="AL122" s="12">
        <f>All_India_Index_Upto_April23__1___1[[#This Row],[Miscellaneous]]+All_India_Index_Upto_April23__1___1[[#This Row],[Personal care and effects]]+All_India_Index_Upto_April23__1___1[[#This Row],[Education]]+All_India_Index_Upto_April23__1___1[[#This Row],[Recreation and amusement]]</f>
        <v>494.9</v>
      </c>
      <c r="AM12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3257.1709677419358</v>
      </c>
    </row>
    <row r="123" spans="1:39" hidden="1" x14ac:dyDescent="0.3">
      <c r="A123" t="s">
        <v>32</v>
      </c>
      <c r="B123">
        <v>2016</v>
      </c>
      <c r="C123" t="s">
        <v>37</v>
      </c>
      <c r="D123" t="str">
        <f t="shared" si="1"/>
        <v>May-16</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c r="AF123" s="12">
        <f>AVERAGE(All_India_Index_Upto_April23__1___1[[#This Row],[Cereals and products]:[Pan, tobacco and intoxicants]])</f>
        <v>134.92857142857142</v>
      </c>
      <c r="AG123" s="12">
        <f>AVERAGE(All_India_Index_Upto_April23__1___1[[#This Row],[Household goods and services]],All_India_Index_Upto_April23__1___1[[#This Row],[Housing]])</f>
        <v>124.6</v>
      </c>
      <c r="AH123" s="12">
        <f>AVERAGE(All_India_Index_Upto_April23__1___1[[#This Row],[Miscellaneous]],All_India_Index_Upto_April23__1___1[[#This Row],[Personal care and effects]],All_India_Index_Upto_April23__1___1[[#This Row],[Education]],All_India_Index_Upto_April23__1___1[[#This Row],[Recreation and amusement]])</f>
        <v>121.25</v>
      </c>
      <c r="AI123" s="12">
        <f>SUM(All_India_Index_Upto_April23__1___1[[#This Row],[Cereals and products]:[Pan, tobacco and intoxicants]])</f>
        <v>1888.9999999999998</v>
      </c>
      <c r="AJ123" s="12">
        <f>SUM(All_India_Index_Upto_April23__1___1[[#This Row],[Household goods and services]],All_India_Index_Upto_April23__1___1[[#This Row],[Housing]])</f>
        <v>249.2</v>
      </c>
      <c r="AK123" s="12">
        <f>All_India_Index_Upto_April23__1___1[[#This Row],[Clothing]]+All_India_Index_Upto_April23__1___1[[#This Row],[Footwear]]</f>
        <v>247.9</v>
      </c>
      <c r="AL123" s="12">
        <f>All_India_Index_Upto_April23__1___1[[#This Row],[Miscellaneous]]+All_India_Index_Upto_April23__1___1[[#This Row],[Personal care and effects]]+All_India_Index_Upto_April23__1___1[[#This Row],[Education]]+All_India_Index_Upto_April23__1___1[[#This Row],[Recreation and amusement]]</f>
        <v>485</v>
      </c>
      <c r="AM12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3217.0999999999995</v>
      </c>
    </row>
    <row r="124" spans="1:39" hidden="1" x14ac:dyDescent="0.3">
      <c r="A124" t="s">
        <v>33</v>
      </c>
      <c r="B124">
        <v>2016</v>
      </c>
      <c r="C124" t="s">
        <v>37</v>
      </c>
      <c r="D124" t="str">
        <f t="shared" si="1"/>
        <v>May-16</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c r="AF124" s="12">
        <f>AVERAGE(All_India_Index_Upto_April23__1___1[[#This Row],[Cereals and products]:[Pan, tobacco and intoxicants]])</f>
        <v>133.43571428571428</v>
      </c>
      <c r="AG124" s="12">
        <f>AVERAGE(All_India_Index_Upto_April23__1___1[[#This Row],[Household goods and services]],All_India_Index_Upto_April23__1___1[[#This Row],[Housing]])</f>
        <v>126</v>
      </c>
      <c r="AH124" s="12">
        <f>AVERAGE(All_India_Index_Upto_April23__1___1[[#This Row],[Miscellaneous]],All_India_Index_Upto_April23__1___1[[#This Row],[Personal care and effects]],All_India_Index_Upto_April23__1___1[[#This Row],[Education]],All_India_Index_Upto_April23__1___1[[#This Row],[Recreation and amusement]])</f>
        <v>122.47499999999999</v>
      </c>
      <c r="AI124" s="12">
        <f>SUM(All_India_Index_Upto_April23__1___1[[#This Row],[Cereals and products]:[Pan, tobacco and intoxicants]])</f>
        <v>1868.1000000000001</v>
      </c>
      <c r="AJ124" s="12">
        <f>SUM(All_India_Index_Upto_April23__1___1[[#This Row],[Household goods and services]],All_India_Index_Upto_April23__1___1[[#This Row],[Housing]])</f>
        <v>252</v>
      </c>
      <c r="AK124" s="12">
        <f>All_India_Index_Upto_April23__1___1[[#This Row],[Clothing]]+All_India_Index_Upto_April23__1___1[[#This Row],[Footwear]]</f>
        <v>259</v>
      </c>
      <c r="AL124" s="12">
        <f>All_India_Index_Upto_April23__1___1[[#This Row],[Miscellaneous]]+All_India_Index_Upto_April23__1___1[[#This Row],[Personal care and effects]]+All_India_Index_Upto_April23__1___1[[#This Row],[Education]]+All_India_Index_Upto_April23__1___1[[#This Row],[Recreation and amusement]]</f>
        <v>489.9</v>
      </c>
      <c r="AM12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3228.2</v>
      </c>
    </row>
    <row r="125" spans="1:39" hidden="1" x14ac:dyDescent="0.3">
      <c r="A125" t="s">
        <v>30</v>
      </c>
      <c r="B125">
        <v>2016</v>
      </c>
      <c r="C125" t="s">
        <v>38</v>
      </c>
      <c r="D125" t="str">
        <f t="shared" si="1"/>
        <v>Jun-16</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s="12">
        <f>'Handle Missing Value Sheet only'!$F$5</f>
        <v>139.27096774193564</v>
      </c>
      <c r="W125">
        <v>128</v>
      </c>
      <c r="X125">
        <v>129.30000000000001</v>
      </c>
      <c r="Y125">
        <v>126.2</v>
      </c>
      <c r="Z125">
        <v>116.3</v>
      </c>
      <c r="AA125">
        <v>124.1</v>
      </c>
      <c r="AB125">
        <v>130.19999999999999</v>
      </c>
      <c r="AC125">
        <v>119.9</v>
      </c>
      <c r="AD125">
        <v>123.3</v>
      </c>
      <c r="AE125">
        <v>131.9</v>
      </c>
      <c r="AF125" s="12">
        <f>AVERAGE(All_India_Index_Upto_April23__1___1[[#This Row],[Cereals and products]:[Pan, tobacco and intoxicants]])</f>
        <v>134.69999999999999</v>
      </c>
      <c r="AG125" s="12">
        <f>AVERAGE(All_India_Index_Upto_April23__1___1[[#This Row],[Household goods and services]],All_India_Index_Upto_April23__1___1[[#This Row],[Housing]])</f>
        <v>134.28548387096782</v>
      </c>
      <c r="AH125" s="12">
        <f>AVERAGE(All_India_Index_Upto_April23__1___1[[#This Row],[Miscellaneous]],All_India_Index_Upto_April23__1___1[[#This Row],[Personal care and effects]],All_India_Index_Upto_April23__1___1[[#This Row],[Education]],All_India_Index_Upto_April23__1___1[[#This Row],[Recreation and amusement]])</f>
        <v>124.375</v>
      </c>
      <c r="AI125" s="12">
        <f>SUM(All_India_Index_Upto_April23__1___1[[#This Row],[Cereals and products]:[Pan, tobacco and intoxicants]])</f>
        <v>1885.8</v>
      </c>
      <c r="AJ125" s="12">
        <f>SUM(All_India_Index_Upto_April23__1___1[[#This Row],[Household goods and services]],All_India_Index_Upto_April23__1___1[[#This Row],[Housing]])</f>
        <v>268.57096774193565</v>
      </c>
      <c r="AK125" s="12">
        <f>All_India_Index_Upto_April23__1___1[[#This Row],[Clothing]]+All_India_Index_Upto_April23__1___1[[#This Row],[Footwear]]</f>
        <v>267.89999999999998</v>
      </c>
      <c r="AL125" s="12">
        <f>All_India_Index_Upto_April23__1___1[[#This Row],[Miscellaneous]]+All_India_Index_Upto_April23__1___1[[#This Row],[Personal care and effects]]+All_India_Index_Upto_April23__1___1[[#This Row],[Education]]+All_India_Index_Upto_April23__1___1[[#This Row],[Recreation and amusement]]</f>
        <v>497.5</v>
      </c>
      <c r="AM12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3290.2709677419352</v>
      </c>
    </row>
    <row r="126" spans="1:39" hidden="1" x14ac:dyDescent="0.3">
      <c r="A126" t="s">
        <v>32</v>
      </c>
      <c r="B126">
        <v>2016</v>
      </c>
      <c r="C126" t="s">
        <v>38</v>
      </c>
      <c r="D126" t="str">
        <f t="shared" si="1"/>
        <v>Jun-16</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c r="AF126" s="12">
        <f>AVERAGE(All_India_Index_Upto_April23__1___1[[#This Row],[Cereals and products]:[Pan, tobacco and intoxicants]])</f>
        <v>137.83571428571432</v>
      </c>
      <c r="AG126" s="12">
        <f>AVERAGE(All_India_Index_Upto_April23__1___1[[#This Row],[Household goods and services]],All_India_Index_Upto_April23__1___1[[#This Row],[Housing]])</f>
        <v>124.35</v>
      </c>
      <c r="AH126" s="12">
        <f>AVERAGE(All_India_Index_Upto_April23__1___1[[#This Row],[Miscellaneous]],All_India_Index_Upto_April23__1___1[[#This Row],[Personal care and effects]],All_India_Index_Upto_April23__1___1[[#This Row],[Education]],All_India_Index_Upto_April23__1___1[[#This Row],[Recreation and amusement]])</f>
        <v>121.9</v>
      </c>
      <c r="AI126" s="12">
        <f>SUM(All_India_Index_Upto_April23__1___1[[#This Row],[Cereals and products]:[Pan, tobacco and intoxicants]])</f>
        <v>1929.7000000000003</v>
      </c>
      <c r="AJ126" s="12">
        <f>SUM(All_India_Index_Upto_April23__1___1[[#This Row],[Household goods and services]],All_India_Index_Upto_April23__1___1[[#This Row],[Housing]])</f>
        <v>248.7</v>
      </c>
      <c r="AK126" s="12">
        <f>All_India_Index_Upto_April23__1___1[[#This Row],[Clothing]]+All_India_Index_Upto_April23__1___1[[#This Row],[Footwear]]</f>
        <v>248.7</v>
      </c>
      <c r="AL126" s="12">
        <f>All_India_Index_Upto_April23__1___1[[#This Row],[Miscellaneous]]+All_India_Index_Upto_April23__1___1[[#This Row],[Personal care and effects]]+All_India_Index_Upto_April23__1___1[[#This Row],[Education]]+All_India_Index_Upto_April23__1___1[[#This Row],[Recreation and amusement]]</f>
        <v>487.6</v>
      </c>
      <c r="AM12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3263.1000000000004</v>
      </c>
    </row>
    <row r="127" spans="1:39" hidden="1" x14ac:dyDescent="0.3">
      <c r="A127" t="s">
        <v>33</v>
      </c>
      <c r="B127">
        <v>2016</v>
      </c>
      <c r="C127" t="s">
        <v>38</v>
      </c>
      <c r="D127" t="str">
        <f t="shared" si="1"/>
        <v>Jun-16</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c r="AF127" s="12">
        <f>AVERAGE(All_India_Index_Upto_April23__1___1[[#This Row],[Cereals and products]:[Pan, tobacco and intoxicants]])</f>
        <v>135.66428571428571</v>
      </c>
      <c r="AG127" s="12">
        <f>AVERAGE(All_India_Index_Upto_April23__1___1[[#This Row],[Household goods and services]],All_India_Index_Upto_April23__1___1[[#This Row],[Housing]])</f>
        <v>125.95</v>
      </c>
      <c r="AH127" s="12">
        <f>AVERAGE(All_India_Index_Upto_April23__1___1[[#This Row],[Miscellaneous]],All_India_Index_Upto_April23__1___1[[#This Row],[Personal care and effects]],All_India_Index_Upto_April23__1___1[[#This Row],[Education]],All_India_Index_Upto_April23__1___1[[#This Row],[Recreation and amusement]])</f>
        <v>123.075</v>
      </c>
      <c r="AI127" s="12">
        <f>SUM(All_India_Index_Upto_April23__1___1[[#This Row],[Cereals and products]:[Pan, tobacco and intoxicants]])</f>
        <v>1899.3</v>
      </c>
      <c r="AJ127" s="12">
        <f>SUM(All_India_Index_Upto_April23__1___1[[#This Row],[Household goods and services]],All_India_Index_Upto_April23__1___1[[#This Row],[Housing]])</f>
        <v>251.9</v>
      </c>
      <c r="AK127" s="12">
        <f>All_India_Index_Upto_April23__1___1[[#This Row],[Clothing]]+All_India_Index_Upto_April23__1___1[[#This Row],[Footwear]]</f>
        <v>260.10000000000002</v>
      </c>
      <c r="AL127" s="12">
        <f>All_India_Index_Upto_April23__1___1[[#This Row],[Miscellaneous]]+All_India_Index_Upto_April23__1___1[[#This Row],[Personal care and effects]]+All_India_Index_Upto_April23__1___1[[#This Row],[Education]]+All_India_Index_Upto_April23__1___1[[#This Row],[Recreation and amusement]]</f>
        <v>492.3</v>
      </c>
      <c r="AM12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3265.2</v>
      </c>
    </row>
    <row r="128" spans="1:39" hidden="1" x14ac:dyDescent="0.3">
      <c r="A128" t="s">
        <v>30</v>
      </c>
      <c r="B128">
        <v>2016</v>
      </c>
      <c r="C128" t="s">
        <v>39</v>
      </c>
      <c r="D128" t="str">
        <f t="shared" si="1"/>
        <v>Jul-16</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s="12">
        <f>'Handle Missing Value Sheet only'!$F$5</f>
        <v>139.27096774193564</v>
      </c>
      <c r="W128">
        <v>128.19999999999999</v>
      </c>
      <c r="X128">
        <v>130</v>
      </c>
      <c r="Y128">
        <v>126.7</v>
      </c>
      <c r="Z128">
        <v>116.4</v>
      </c>
      <c r="AA128">
        <v>125.2</v>
      </c>
      <c r="AB128">
        <v>130.80000000000001</v>
      </c>
      <c r="AC128">
        <v>120.9</v>
      </c>
      <c r="AD128">
        <v>123.8</v>
      </c>
      <c r="AE128">
        <v>133</v>
      </c>
      <c r="AF128" s="12">
        <f>AVERAGE(All_India_Index_Upto_April23__1___1[[#This Row],[Cereals and products]:[Pan, tobacco and intoxicants]])</f>
        <v>136.30714285714285</v>
      </c>
      <c r="AG128" s="12">
        <f>AVERAGE(All_India_Index_Upto_April23__1___1[[#This Row],[Household goods and services]],All_India_Index_Upto_April23__1___1[[#This Row],[Housing]])</f>
        <v>134.63548387096782</v>
      </c>
      <c r="AH128" s="12">
        <f>AVERAGE(All_India_Index_Upto_April23__1___1[[#This Row],[Miscellaneous]],All_India_Index_Upto_April23__1___1[[#This Row],[Personal care and effects]],All_India_Index_Upto_April23__1___1[[#This Row],[Education]],All_India_Index_Upto_April23__1___1[[#This Row],[Recreation and amusement]])</f>
        <v>125.175</v>
      </c>
      <c r="AI128" s="12">
        <f>SUM(All_India_Index_Upto_April23__1___1[[#This Row],[Cereals and products]:[Pan, tobacco and intoxicants]])</f>
        <v>1908.2999999999997</v>
      </c>
      <c r="AJ128" s="12">
        <f>SUM(All_India_Index_Upto_April23__1___1[[#This Row],[Household goods and services]],All_India_Index_Upto_April23__1___1[[#This Row],[Housing]])</f>
        <v>269.27096774193564</v>
      </c>
      <c r="AK128" s="12">
        <f>All_India_Index_Upto_April23__1___1[[#This Row],[Clothing]]+All_India_Index_Upto_April23__1___1[[#This Row],[Footwear]]</f>
        <v>269.39999999999998</v>
      </c>
      <c r="AL128" s="12">
        <f>All_India_Index_Upto_April23__1___1[[#This Row],[Miscellaneous]]+All_India_Index_Upto_April23__1___1[[#This Row],[Personal care and effects]]+All_India_Index_Upto_April23__1___1[[#This Row],[Education]]+All_India_Index_Upto_April23__1___1[[#This Row],[Recreation and amusement]]</f>
        <v>500.7</v>
      </c>
      <c r="AM12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3318.9709677419351</v>
      </c>
    </row>
    <row r="129" spans="1:39" hidden="1" x14ac:dyDescent="0.3">
      <c r="A129" t="s">
        <v>32</v>
      </c>
      <c r="B129">
        <v>2016</v>
      </c>
      <c r="C129" t="s">
        <v>39</v>
      </c>
      <c r="D129" t="str">
        <f t="shared" si="1"/>
        <v>Jul-16</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c r="AF129" s="12">
        <f>AVERAGE(All_India_Index_Upto_April23__1___1[[#This Row],[Cereals and products]:[Pan, tobacco and intoxicants]])</f>
        <v>139.60000000000002</v>
      </c>
      <c r="AG129" s="12">
        <f>AVERAGE(All_India_Index_Upto_April23__1___1[[#This Row],[Household goods and services]],All_India_Index_Upto_April23__1___1[[#This Row],[Housing]])</f>
        <v>124.95</v>
      </c>
      <c r="AH129" s="12">
        <f>AVERAGE(All_India_Index_Upto_April23__1___1[[#This Row],[Miscellaneous]],All_India_Index_Upto_April23__1___1[[#This Row],[Personal care and effects]],All_India_Index_Upto_April23__1___1[[#This Row],[Education]],All_India_Index_Upto_April23__1___1[[#This Row],[Recreation and amusement]])</f>
        <v>122.75000000000001</v>
      </c>
      <c r="AI129" s="12">
        <f>SUM(All_India_Index_Upto_April23__1___1[[#This Row],[Cereals and products]:[Pan, tobacco and intoxicants]])</f>
        <v>1954.4000000000003</v>
      </c>
      <c r="AJ129" s="12">
        <f>SUM(All_India_Index_Upto_April23__1___1[[#This Row],[Household goods and services]],All_India_Index_Upto_April23__1___1[[#This Row],[Housing]])</f>
        <v>249.9</v>
      </c>
      <c r="AK129" s="12">
        <f>All_India_Index_Upto_April23__1___1[[#This Row],[Clothing]]+All_India_Index_Upto_April23__1___1[[#This Row],[Footwear]]</f>
        <v>249</v>
      </c>
      <c r="AL129" s="12">
        <f>All_India_Index_Upto_April23__1___1[[#This Row],[Miscellaneous]]+All_India_Index_Upto_April23__1___1[[#This Row],[Personal care and effects]]+All_India_Index_Upto_April23__1___1[[#This Row],[Education]]+All_India_Index_Upto_April23__1___1[[#This Row],[Recreation and amusement]]</f>
        <v>491.00000000000006</v>
      </c>
      <c r="AM12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3292.4</v>
      </c>
    </row>
    <row r="130" spans="1:39" hidden="1" x14ac:dyDescent="0.3">
      <c r="A130" t="s">
        <v>33</v>
      </c>
      <c r="B130">
        <v>2016</v>
      </c>
      <c r="C130" t="s">
        <v>39</v>
      </c>
      <c r="D130" t="str">
        <f t="shared" ref="D130:D193" si="2">TEXT(DATE(B130, MONTH(1&amp;C130), 1), "mmm-yy")</f>
        <v>Jul-16</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c r="AF130" s="12">
        <f>AVERAGE(All_India_Index_Upto_April23__1___1[[#This Row],[Cereals and products]:[Pan, tobacco and intoxicants]])</f>
        <v>137.34285714285713</v>
      </c>
      <c r="AG130" s="12">
        <f>AVERAGE(All_India_Index_Upto_April23__1___1[[#This Row],[Household goods and services]],All_India_Index_Upto_April23__1___1[[#This Row],[Housing]])</f>
        <v>126.65</v>
      </c>
      <c r="AH130" s="12">
        <f>AVERAGE(All_India_Index_Upto_April23__1___1[[#This Row],[Miscellaneous]],All_India_Index_Upto_April23__1___1[[#This Row],[Personal care and effects]],All_India_Index_Upto_April23__1___1[[#This Row],[Education]],All_India_Index_Upto_April23__1___1[[#This Row],[Recreation and amusement]])</f>
        <v>123.9</v>
      </c>
      <c r="AI130" s="12">
        <f>SUM(All_India_Index_Upto_April23__1___1[[#This Row],[Cereals and products]:[Pan, tobacco and intoxicants]])</f>
        <v>1922.8</v>
      </c>
      <c r="AJ130" s="12">
        <f>SUM(All_India_Index_Upto_April23__1___1[[#This Row],[Household goods and services]],All_India_Index_Upto_April23__1___1[[#This Row],[Housing]])</f>
        <v>253.3</v>
      </c>
      <c r="AK130" s="12">
        <f>All_India_Index_Upto_April23__1___1[[#This Row],[Clothing]]+All_India_Index_Upto_April23__1___1[[#This Row],[Footwear]]</f>
        <v>261.10000000000002</v>
      </c>
      <c r="AL130" s="12">
        <f>All_India_Index_Upto_April23__1___1[[#This Row],[Miscellaneous]]+All_India_Index_Upto_April23__1___1[[#This Row],[Personal care and effects]]+All_India_Index_Upto_April23__1___1[[#This Row],[Education]]+All_India_Index_Upto_April23__1___1[[#This Row],[Recreation and amusement]]</f>
        <v>495.6</v>
      </c>
      <c r="AM13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3294.6000000000004</v>
      </c>
    </row>
    <row r="131" spans="1:39" hidden="1" x14ac:dyDescent="0.3">
      <c r="A131" t="s">
        <v>30</v>
      </c>
      <c r="B131">
        <v>2016</v>
      </c>
      <c r="C131" t="s">
        <v>40</v>
      </c>
      <c r="D131" t="str">
        <f t="shared" si="2"/>
        <v>Aug-16</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s="12">
        <f>'Handle Missing Value Sheet only'!$F$5</f>
        <v>139.27096774193564</v>
      </c>
      <c r="W131">
        <v>129.1</v>
      </c>
      <c r="X131">
        <v>130.6</v>
      </c>
      <c r="Y131">
        <v>127</v>
      </c>
      <c r="Z131">
        <v>116</v>
      </c>
      <c r="AA131">
        <v>125.5</v>
      </c>
      <c r="AB131">
        <v>131.9</v>
      </c>
      <c r="AC131">
        <v>122</v>
      </c>
      <c r="AD131">
        <v>124.2</v>
      </c>
      <c r="AE131">
        <v>133.5</v>
      </c>
      <c r="AF131" s="12">
        <f>AVERAGE(All_India_Index_Upto_April23__1___1[[#This Row],[Cereals and products]:[Pan, tobacco and intoxicants]])</f>
        <v>136.88571428571427</v>
      </c>
      <c r="AG131" s="12">
        <f>AVERAGE(All_India_Index_Upto_April23__1___1[[#This Row],[Household goods and services]],All_India_Index_Upto_April23__1___1[[#This Row],[Housing]])</f>
        <v>134.9354838709678</v>
      </c>
      <c r="AH131" s="12">
        <f>AVERAGE(All_India_Index_Upto_April23__1___1[[#This Row],[Miscellaneous]],All_India_Index_Upto_April23__1___1[[#This Row],[Personal care and effects]],All_India_Index_Upto_April23__1___1[[#This Row],[Education]],All_India_Index_Upto_April23__1___1[[#This Row],[Recreation and amusement]])</f>
        <v>125.9</v>
      </c>
      <c r="AI131" s="12">
        <f>SUM(All_India_Index_Upto_April23__1___1[[#This Row],[Cereals and products]:[Pan, tobacco and intoxicants]])</f>
        <v>1916.3999999999999</v>
      </c>
      <c r="AJ131" s="12">
        <f>SUM(All_India_Index_Upto_April23__1___1[[#This Row],[Household goods and services]],All_India_Index_Upto_April23__1___1[[#This Row],[Housing]])</f>
        <v>269.8709677419356</v>
      </c>
      <c r="AK131" s="12">
        <f>All_India_Index_Upto_April23__1___1[[#This Row],[Clothing]]+All_India_Index_Upto_April23__1___1[[#This Row],[Footwear]]</f>
        <v>270.8</v>
      </c>
      <c r="AL131" s="12">
        <f>All_India_Index_Upto_April23__1___1[[#This Row],[Miscellaneous]]+All_India_Index_Upto_April23__1___1[[#This Row],[Personal care and effects]]+All_India_Index_Upto_April23__1___1[[#This Row],[Education]]+All_India_Index_Upto_April23__1___1[[#This Row],[Recreation and amusement]]</f>
        <v>503.6</v>
      </c>
      <c r="AM13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3332.7709677419357</v>
      </c>
    </row>
    <row r="132" spans="1:39" hidden="1" x14ac:dyDescent="0.3">
      <c r="A132" t="s">
        <v>32</v>
      </c>
      <c r="B132">
        <v>2016</v>
      </c>
      <c r="C132" t="s">
        <v>40</v>
      </c>
      <c r="D132" t="str">
        <f t="shared" si="2"/>
        <v>Aug-16</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c r="AF132" s="12">
        <f>AVERAGE(All_India_Index_Upto_April23__1___1[[#This Row],[Cereals and products]:[Pan, tobacco and intoxicants]])</f>
        <v>137.68571428571425</v>
      </c>
      <c r="AG132" s="12">
        <f>AVERAGE(All_India_Index_Upto_April23__1___1[[#This Row],[Household goods and services]],All_India_Index_Upto_April23__1___1[[#This Row],[Housing]])</f>
        <v>125.6</v>
      </c>
      <c r="AH132" s="12">
        <f>AVERAGE(All_India_Index_Upto_April23__1___1[[#This Row],[Miscellaneous]],All_India_Index_Upto_April23__1___1[[#This Row],[Personal care and effects]],All_India_Index_Upto_April23__1___1[[#This Row],[Education]],All_India_Index_Upto_April23__1___1[[#This Row],[Recreation and amusement]])</f>
        <v>123.22499999999999</v>
      </c>
      <c r="AI132" s="12">
        <f>SUM(All_India_Index_Upto_April23__1___1[[#This Row],[Cereals and products]:[Pan, tobacco and intoxicants]])</f>
        <v>1927.5999999999995</v>
      </c>
      <c r="AJ132" s="12">
        <f>SUM(All_India_Index_Upto_April23__1___1[[#This Row],[Household goods and services]],All_India_Index_Upto_April23__1___1[[#This Row],[Housing]])</f>
        <v>251.2</v>
      </c>
      <c r="AK132" s="12">
        <f>All_India_Index_Upto_April23__1___1[[#This Row],[Clothing]]+All_India_Index_Upto_April23__1___1[[#This Row],[Footwear]]</f>
        <v>249.70000000000002</v>
      </c>
      <c r="AL132" s="12">
        <f>All_India_Index_Upto_April23__1___1[[#This Row],[Miscellaneous]]+All_India_Index_Upto_April23__1___1[[#This Row],[Personal care and effects]]+All_India_Index_Upto_April23__1___1[[#This Row],[Education]]+All_India_Index_Upto_April23__1___1[[#This Row],[Recreation and amusement]]</f>
        <v>492.9</v>
      </c>
      <c r="AM13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3267.6999999999994</v>
      </c>
    </row>
    <row r="133" spans="1:39" hidden="1" x14ac:dyDescent="0.3">
      <c r="A133" t="s">
        <v>33</v>
      </c>
      <c r="B133">
        <v>2016</v>
      </c>
      <c r="C133" t="s">
        <v>40</v>
      </c>
      <c r="D133" t="str">
        <f t="shared" si="2"/>
        <v>Aug-16</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c r="AF133" s="12">
        <f>AVERAGE(All_India_Index_Upto_April23__1___1[[#This Row],[Cereals and products]:[Pan, tobacco and intoxicants]])</f>
        <v>137.00714285714287</v>
      </c>
      <c r="AG133" s="12">
        <f>AVERAGE(All_India_Index_Upto_April23__1___1[[#This Row],[Household goods and services]],All_India_Index_Upto_April23__1___1[[#This Row],[Housing]])</f>
        <v>127.35</v>
      </c>
      <c r="AH133" s="12">
        <f>AVERAGE(All_India_Index_Upto_April23__1___1[[#This Row],[Miscellaneous]],All_India_Index_Upto_April23__1___1[[#This Row],[Personal care and effects]],All_India_Index_Upto_April23__1___1[[#This Row],[Education]],All_India_Index_Upto_April23__1___1[[#This Row],[Recreation and amusement]])</f>
        <v>124.49999999999999</v>
      </c>
      <c r="AI133" s="12">
        <f>SUM(All_India_Index_Upto_April23__1___1[[#This Row],[Cereals and products]:[Pan, tobacco and intoxicants]])</f>
        <v>1918.1000000000001</v>
      </c>
      <c r="AJ133" s="12">
        <f>SUM(All_India_Index_Upto_April23__1___1[[#This Row],[Household goods and services]],All_India_Index_Upto_April23__1___1[[#This Row],[Housing]])</f>
        <v>254.7</v>
      </c>
      <c r="AK133" s="12">
        <f>All_India_Index_Upto_April23__1___1[[#This Row],[Clothing]]+All_India_Index_Upto_April23__1___1[[#This Row],[Footwear]]</f>
        <v>262.29999999999995</v>
      </c>
      <c r="AL133" s="12">
        <f>All_India_Index_Upto_April23__1___1[[#This Row],[Miscellaneous]]+All_India_Index_Upto_April23__1___1[[#This Row],[Personal care and effects]]+All_India_Index_Upto_April23__1___1[[#This Row],[Education]]+All_India_Index_Upto_April23__1___1[[#This Row],[Recreation and amusement]]</f>
        <v>497.99999999999994</v>
      </c>
      <c r="AM13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3294.6000000000004</v>
      </c>
    </row>
    <row r="134" spans="1:39" hidden="1" x14ac:dyDescent="0.3">
      <c r="A134" t="s">
        <v>30</v>
      </c>
      <c r="B134">
        <v>2016</v>
      </c>
      <c r="C134" t="s">
        <v>41</v>
      </c>
      <c r="D134" t="str">
        <f t="shared" si="2"/>
        <v>Sep-16</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s="12">
        <f>'Handle Missing Value Sheet only'!$F$5</f>
        <v>139.27096774193564</v>
      </c>
      <c r="W134">
        <v>129.69999999999999</v>
      </c>
      <c r="X134">
        <v>131.1</v>
      </c>
      <c r="Y134">
        <v>127.8</v>
      </c>
      <c r="Z134">
        <v>117</v>
      </c>
      <c r="AA134">
        <v>125.7</v>
      </c>
      <c r="AB134">
        <v>132.19999999999999</v>
      </c>
      <c r="AC134">
        <v>122.8</v>
      </c>
      <c r="AD134">
        <v>124.9</v>
      </c>
      <c r="AE134">
        <v>133.4</v>
      </c>
      <c r="AF134" s="12">
        <f>AVERAGE(All_India_Index_Upto_April23__1___1[[#This Row],[Cereals and products]:[Pan, tobacco and intoxicants]])</f>
        <v>136.47142857142859</v>
      </c>
      <c r="AG134" s="12">
        <f>AVERAGE(All_India_Index_Upto_April23__1___1[[#This Row],[Household goods and services]],All_India_Index_Upto_April23__1___1[[#This Row],[Housing]])</f>
        <v>135.1854838709678</v>
      </c>
      <c r="AH134" s="12">
        <f>AVERAGE(All_India_Index_Upto_April23__1___1[[#This Row],[Miscellaneous]],All_India_Index_Upto_April23__1___1[[#This Row],[Personal care and effects]],All_India_Index_Upto_April23__1___1[[#This Row],[Education]],All_India_Index_Upto_April23__1___1[[#This Row],[Recreation and amusement]])</f>
        <v>126.39999999999999</v>
      </c>
      <c r="AI134" s="12">
        <f>SUM(All_India_Index_Upto_April23__1___1[[#This Row],[Cereals and products]:[Pan, tobacco and intoxicants]])</f>
        <v>1910.6000000000001</v>
      </c>
      <c r="AJ134" s="12">
        <f>SUM(All_India_Index_Upto_April23__1___1[[#This Row],[Household goods and services]],All_India_Index_Upto_April23__1___1[[#This Row],[Housing]])</f>
        <v>270.3709677419356</v>
      </c>
      <c r="AK134" s="12">
        <f>All_India_Index_Upto_April23__1___1[[#This Row],[Clothing]]+All_India_Index_Upto_April23__1___1[[#This Row],[Footwear]]</f>
        <v>272</v>
      </c>
      <c r="AL134" s="12">
        <f>All_India_Index_Upto_April23__1___1[[#This Row],[Miscellaneous]]+All_India_Index_Upto_April23__1___1[[#This Row],[Personal care and effects]]+All_India_Index_Upto_April23__1___1[[#This Row],[Education]]+All_India_Index_Upto_April23__1___1[[#This Row],[Recreation and amusement]]</f>
        <v>505.59999999999997</v>
      </c>
      <c r="AM13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3333.0709677419354</v>
      </c>
    </row>
    <row r="135" spans="1:39" hidden="1" x14ac:dyDescent="0.3">
      <c r="A135" t="s">
        <v>32</v>
      </c>
      <c r="B135">
        <v>2016</v>
      </c>
      <c r="C135" t="s">
        <v>41</v>
      </c>
      <c r="D135" t="str">
        <f t="shared" si="2"/>
        <v>Sep-16</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c r="AF135" s="12">
        <f>AVERAGE(All_India_Index_Upto_April23__1___1[[#This Row],[Cereals and products]:[Pan, tobacco and intoxicants]])</f>
        <v>135.73571428571427</v>
      </c>
      <c r="AG135" s="12">
        <f>AVERAGE(All_India_Index_Upto_April23__1___1[[#This Row],[Household goods and services]],All_India_Index_Upto_April23__1___1[[#This Row],[Housing]])</f>
        <v>126.1</v>
      </c>
      <c r="AH135" s="12">
        <f>AVERAGE(All_India_Index_Upto_April23__1___1[[#This Row],[Miscellaneous]],All_India_Index_Upto_April23__1___1[[#This Row],[Personal care and effects]],All_India_Index_Upto_April23__1___1[[#This Row],[Education]],All_India_Index_Upto_April23__1___1[[#This Row],[Recreation and amusement]])</f>
        <v>123.52499999999999</v>
      </c>
      <c r="AI135" s="12">
        <f>SUM(All_India_Index_Upto_April23__1___1[[#This Row],[Cereals and products]:[Pan, tobacco and intoxicants]])</f>
        <v>1900.2999999999997</v>
      </c>
      <c r="AJ135" s="12">
        <f>SUM(All_India_Index_Upto_April23__1___1[[#This Row],[Household goods and services]],All_India_Index_Upto_April23__1___1[[#This Row],[Housing]])</f>
        <v>252.2</v>
      </c>
      <c r="AK135" s="12">
        <f>All_India_Index_Upto_April23__1___1[[#This Row],[Clothing]]+All_India_Index_Upto_April23__1___1[[#This Row],[Footwear]]</f>
        <v>250.29999999999998</v>
      </c>
      <c r="AL135" s="12">
        <f>All_India_Index_Upto_April23__1___1[[#This Row],[Miscellaneous]]+All_India_Index_Upto_April23__1___1[[#This Row],[Personal care and effects]]+All_India_Index_Upto_April23__1___1[[#This Row],[Education]]+All_India_Index_Upto_April23__1___1[[#This Row],[Recreation and amusement]]</f>
        <v>494.09999999999997</v>
      </c>
      <c r="AM13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3244.9</v>
      </c>
    </row>
    <row r="136" spans="1:39" hidden="1" x14ac:dyDescent="0.3">
      <c r="A136" t="s">
        <v>33</v>
      </c>
      <c r="B136">
        <v>2016</v>
      </c>
      <c r="C136" t="s">
        <v>41</v>
      </c>
      <c r="D136" t="str">
        <f t="shared" si="2"/>
        <v>Sep-16</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c r="AF136" s="12">
        <f>AVERAGE(All_India_Index_Upto_April23__1___1[[#This Row],[Cereals and products]:[Pan, tobacco and intoxicants]])</f>
        <v>136.04999999999998</v>
      </c>
      <c r="AG136" s="12">
        <f>AVERAGE(All_India_Index_Upto_April23__1___1[[#This Row],[Household goods and services]],All_India_Index_Upto_April23__1___1[[#This Row],[Housing]])</f>
        <v>127.9</v>
      </c>
      <c r="AH136" s="12">
        <f>AVERAGE(All_India_Index_Upto_April23__1___1[[#This Row],[Miscellaneous]],All_India_Index_Upto_April23__1___1[[#This Row],[Personal care and effects]],All_India_Index_Upto_April23__1___1[[#This Row],[Education]],All_India_Index_Upto_April23__1___1[[#This Row],[Recreation and amusement]])</f>
        <v>124.9</v>
      </c>
      <c r="AI136" s="12">
        <f>SUM(All_India_Index_Upto_April23__1___1[[#This Row],[Cereals and products]:[Pan, tobacco and intoxicants]])</f>
        <v>1904.6999999999998</v>
      </c>
      <c r="AJ136" s="12">
        <f>SUM(All_India_Index_Upto_April23__1___1[[#This Row],[Household goods and services]],All_India_Index_Upto_April23__1___1[[#This Row],[Housing]])</f>
        <v>255.8</v>
      </c>
      <c r="AK136" s="12">
        <f>All_India_Index_Upto_April23__1___1[[#This Row],[Clothing]]+All_India_Index_Upto_April23__1___1[[#This Row],[Footwear]]</f>
        <v>263.2</v>
      </c>
      <c r="AL136" s="12">
        <f>All_India_Index_Upto_April23__1___1[[#This Row],[Miscellaneous]]+All_India_Index_Upto_April23__1___1[[#This Row],[Personal care and effects]]+All_India_Index_Upto_April23__1___1[[#This Row],[Education]]+All_India_Index_Upto_April23__1___1[[#This Row],[Recreation and amusement]]</f>
        <v>499.6</v>
      </c>
      <c r="AM13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3287.1</v>
      </c>
    </row>
    <row r="137" spans="1:39" hidden="1" x14ac:dyDescent="0.3">
      <c r="A137" t="s">
        <v>30</v>
      </c>
      <c r="B137">
        <v>2016</v>
      </c>
      <c r="C137" t="s">
        <v>42</v>
      </c>
      <c r="D137" t="str">
        <f t="shared" si="2"/>
        <v>Oct-16</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s="12">
        <f>'Handle Missing Value Sheet only'!$F$5</f>
        <v>139.27096774193564</v>
      </c>
      <c r="W137">
        <v>129.80000000000001</v>
      </c>
      <c r="X137">
        <v>131.80000000000001</v>
      </c>
      <c r="Y137">
        <v>128.69999999999999</v>
      </c>
      <c r="Z137">
        <v>117.8</v>
      </c>
      <c r="AA137">
        <v>126.5</v>
      </c>
      <c r="AB137">
        <v>133</v>
      </c>
      <c r="AC137">
        <v>123</v>
      </c>
      <c r="AD137">
        <v>125.7</v>
      </c>
      <c r="AE137">
        <v>133.80000000000001</v>
      </c>
      <c r="AF137" s="12">
        <f>AVERAGE(All_India_Index_Upto_April23__1___1[[#This Row],[Cereals and products]:[Pan, tobacco and intoxicants]])</f>
        <v>136.62142857142859</v>
      </c>
      <c r="AG137" s="12">
        <f>AVERAGE(All_India_Index_Upto_April23__1___1[[#This Row],[Household goods and services]],All_India_Index_Upto_April23__1___1[[#This Row],[Housing]])</f>
        <v>135.53548387096782</v>
      </c>
      <c r="AH137" s="12">
        <f>AVERAGE(All_India_Index_Upto_April23__1___1[[#This Row],[Miscellaneous]],All_India_Index_Upto_April23__1___1[[#This Row],[Personal care and effects]],All_India_Index_Upto_April23__1___1[[#This Row],[Education]],All_India_Index_Upto_April23__1___1[[#This Row],[Recreation and amusement]])</f>
        <v>127.05</v>
      </c>
      <c r="AI137" s="12">
        <f>SUM(All_India_Index_Upto_April23__1___1[[#This Row],[Cereals and products]:[Pan, tobacco and intoxicants]])</f>
        <v>1912.7000000000003</v>
      </c>
      <c r="AJ137" s="12">
        <f>SUM(All_India_Index_Upto_April23__1___1[[#This Row],[Household goods and services]],All_India_Index_Upto_April23__1___1[[#This Row],[Housing]])</f>
        <v>271.07096774193565</v>
      </c>
      <c r="AK137" s="12">
        <f>All_India_Index_Upto_April23__1___1[[#This Row],[Clothing]]+All_India_Index_Upto_April23__1___1[[#This Row],[Footwear]]</f>
        <v>273.89999999999998</v>
      </c>
      <c r="AL137" s="12">
        <f>All_India_Index_Upto_April23__1___1[[#This Row],[Miscellaneous]]+All_India_Index_Upto_April23__1___1[[#This Row],[Personal care and effects]]+All_India_Index_Upto_April23__1___1[[#This Row],[Education]]+All_India_Index_Upto_April23__1___1[[#This Row],[Recreation and amusement]]</f>
        <v>508.2</v>
      </c>
      <c r="AM13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3342.1709677419358</v>
      </c>
    </row>
    <row r="138" spans="1:39" hidden="1" x14ac:dyDescent="0.3">
      <c r="A138" t="s">
        <v>32</v>
      </c>
      <c r="B138">
        <v>2016</v>
      </c>
      <c r="C138" t="s">
        <v>42</v>
      </c>
      <c r="D138" t="str">
        <f t="shared" si="2"/>
        <v>Oct-16</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c r="AF138" s="12">
        <f>AVERAGE(All_India_Index_Upto_April23__1___1[[#This Row],[Cereals and products]:[Pan, tobacco and intoxicants]])</f>
        <v>136.22857142857143</v>
      </c>
      <c r="AG138" s="12">
        <f>AVERAGE(All_India_Index_Upto_April23__1___1[[#This Row],[Household goods and services]],All_India_Index_Upto_April23__1___1[[#This Row],[Housing]])</f>
        <v>126.6</v>
      </c>
      <c r="AH138" s="12">
        <f>AVERAGE(All_India_Index_Upto_April23__1___1[[#This Row],[Miscellaneous]],All_India_Index_Upto_April23__1___1[[#This Row],[Personal care and effects]],All_India_Index_Upto_April23__1___1[[#This Row],[Education]],All_India_Index_Upto_April23__1___1[[#This Row],[Recreation and amusement]])</f>
        <v>123.7</v>
      </c>
      <c r="AI138" s="12">
        <f>SUM(All_India_Index_Upto_April23__1___1[[#This Row],[Cereals and products]:[Pan, tobacco and intoxicants]])</f>
        <v>1907.1999999999998</v>
      </c>
      <c r="AJ138" s="12">
        <f>SUM(All_India_Index_Upto_April23__1___1[[#This Row],[Household goods and services]],All_India_Index_Upto_April23__1___1[[#This Row],[Housing]])</f>
        <v>253.2</v>
      </c>
      <c r="AK138" s="12">
        <f>All_India_Index_Upto_April23__1___1[[#This Row],[Clothing]]+All_India_Index_Upto_April23__1___1[[#This Row],[Footwear]]</f>
        <v>251</v>
      </c>
      <c r="AL138" s="12">
        <f>All_India_Index_Upto_April23__1___1[[#This Row],[Miscellaneous]]+All_India_Index_Upto_April23__1___1[[#This Row],[Personal care and effects]]+All_India_Index_Upto_April23__1___1[[#This Row],[Education]]+All_India_Index_Upto_April23__1___1[[#This Row],[Recreation and amusement]]</f>
        <v>494.8</v>
      </c>
      <c r="AM13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3256</v>
      </c>
    </row>
    <row r="139" spans="1:39" hidden="1" x14ac:dyDescent="0.3">
      <c r="A139" t="s">
        <v>33</v>
      </c>
      <c r="B139">
        <v>2016</v>
      </c>
      <c r="C139" t="s">
        <v>42</v>
      </c>
      <c r="D139" t="str">
        <f t="shared" si="2"/>
        <v>Oct-16</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c r="AF139" s="12">
        <f>AVERAGE(All_India_Index_Upto_April23__1___1[[#This Row],[Cereals and products]:[Pan, tobacco and intoxicants]])</f>
        <v>136.32857142857139</v>
      </c>
      <c r="AG139" s="12">
        <f>AVERAGE(All_India_Index_Upto_April23__1___1[[#This Row],[Household goods and services]],All_India_Index_Upto_April23__1___1[[#This Row],[Housing]])</f>
        <v>128.55000000000001</v>
      </c>
      <c r="AH139" s="12">
        <f>AVERAGE(All_India_Index_Upto_April23__1___1[[#This Row],[Miscellaneous]],All_India_Index_Upto_April23__1___1[[#This Row],[Personal care and effects]],All_India_Index_Upto_April23__1___1[[#This Row],[Education]],All_India_Index_Upto_April23__1___1[[#This Row],[Recreation and amusement]])</f>
        <v>125.35</v>
      </c>
      <c r="AI139" s="12">
        <f>SUM(All_India_Index_Upto_April23__1___1[[#This Row],[Cereals and products]:[Pan, tobacco and intoxicants]])</f>
        <v>1908.5999999999995</v>
      </c>
      <c r="AJ139" s="12">
        <f>SUM(All_India_Index_Upto_April23__1___1[[#This Row],[Household goods and services]],All_India_Index_Upto_April23__1___1[[#This Row],[Housing]])</f>
        <v>257.10000000000002</v>
      </c>
      <c r="AK139" s="12">
        <f>All_India_Index_Upto_April23__1___1[[#This Row],[Clothing]]+All_India_Index_Upto_April23__1___1[[#This Row],[Footwear]]</f>
        <v>264.60000000000002</v>
      </c>
      <c r="AL139" s="12">
        <f>All_India_Index_Upto_April23__1___1[[#This Row],[Miscellaneous]]+All_India_Index_Upto_April23__1___1[[#This Row],[Personal care and effects]]+All_India_Index_Upto_April23__1___1[[#This Row],[Education]]+All_India_Index_Upto_April23__1___1[[#This Row],[Recreation and amusement]]</f>
        <v>501.4</v>
      </c>
      <c r="AM13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3297.2999999999993</v>
      </c>
    </row>
    <row r="140" spans="1:39" hidden="1" x14ac:dyDescent="0.3">
      <c r="A140" t="s">
        <v>30</v>
      </c>
      <c r="B140">
        <v>2016</v>
      </c>
      <c r="C140" t="s">
        <v>44</v>
      </c>
      <c r="D140" t="str">
        <f t="shared" si="2"/>
        <v>Nov-16</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s="12">
        <f>'Handle Missing Value Sheet only'!$F$5</f>
        <v>139.27096774193564</v>
      </c>
      <c r="W140">
        <v>130.30000000000001</v>
      </c>
      <c r="X140">
        <v>132.1</v>
      </c>
      <c r="Y140">
        <v>129.1</v>
      </c>
      <c r="Z140">
        <v>118.2</v>
      </c>
      <c r="AA140">
        <v>126.9</v>
      </c>
      <c r="AB140">
        <v>133.69999999999999</v>
      </c>
      <c r="AC140">
        <v>123.5</v>
      </c>
      <c r="AD140">
        <v>126.1</v>
      </c>
      <c r="AE140">
        <v>133.6</v>
      </c>
      <c r="AF140" s="12">
        <f>AVERAGE(All_India_Index_Upto_April23__1___1[[#This Row],[Cereals and products]:[Pan, tobacco and intoxicants]])</f>
        <v>136.12857142857143</v>
      </c>
      <c r="AG140" s="12">
        <f>AVERAGE(All_India_Index_Upto_April23__1___1[[#This Row],[Household goods and services]],All_India_Index_Upto_April23__1___1[[#This Row],[Housing]])</f>
        <v>135.6854838709678</v>
      </c>
      <c r="AH140" s="12">
        <f>AVERAGE(All_India_Index_Upto_April23__1___1[[#This Row],[Miscellaneous]],All_India_Index_Upto_April23__1___1[[#This Row],[Personal care and effects]],All_India_Index_Upto_April23__1___1[[#This Row],[Education]],All_India_Index_Upto_April23__1___1[[#This Row],[Recreation and amusement]])</f>
        <v>127.54999999999998</v>
      </c>
      <c r="AI140" s="12">
        <f>SUM(All_India_Index_Upto_April23__1___1[[#This Row],[Cereals and products]:[Pan, tobacco and intoxicants]])</f>
        <v>1905.8</v>
      </c>
      <c r="AJ140" s="12">
        <f>SUM(All_India_Index_Upto_April23__1___1[[#This Row],[Household goods and services]],All_India_Index_Upto_April23__1___1[[#This Row],[Housing]])</f>
        <v>271.3709677419356</v>
      </c>
      <c r="AK140" s="12">
        <f>All_India_Index_Upto_April23__1___1[[#This Row],[Clothing]]+All_India_Index_Upto_April23__1___1[[#This Row],[Footwear]]</f>
        <v>274.39999999999998</v>
      </c>
      <c r="AL140" s="12">
        <f>All_India_Index_Upto_April23__1___1[[#This Row],[Miscellaneous]]+All_India_Index_Upto_April23__1___1[[#This Row],[Personal care and effects]]+All_India_Index_Upto_April23__1___1[[#This Row],[Education]]+All_India_Index_Upto_April23__1___1[[#This Row],[Recreation and amusement]]</f>
        <v>510.19999999999993</v>
      </c>
      <c r="AM14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3339.3709677419351</v>
      </c>
    </row>
    <row r="141" spans="1:39" hidden="1" x14ac:dyDescent="0.3">
      <c r="A141" t="s">
        <v>32</v>
      </c>
      <c r="B141">
        <v>2016</v>
      </c>
      <c r="C141" t="s">
        <v>44</v>
      </c>
      <c r="D141" t="str">
        <f t="shared" si="2"/>
        <v>Nov-16</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c r="AF141" s="12">
        <f>AVERAGE(All_India_Index_Upto_April23__1___1[[#This Row],[Cereals and products]:[Pan, tobacco and intoxicants]])</f>
        <v>135.67857142857142</v>
      </c>
      <c r="AG141" s="12">
        <f>AVERAGE(All_India_Index_Upto_April23__1___1[[#This Row],[Household goods and services]],All_India_Index_Upto_April23__1___1[[#This Row],[Housing]])</f>
        <v>126.9</v>
      </c>
      <c r="AH141" s="12">
        <f>AVERAGE(All_India_Index_Upto_April23__1___1[[#This Row],[Miscellaneous]],All_India_Index_Upto_April23__1___1[[#This Row],[Personal care and effects]],All_India_Index_Upto_April23__1___1[[#This Row],[Education]],All_India_Index_Upto_April23__1___1[[#This Row],[Recreation and amusement]])</f>
        <v>124.1</v>
      </c>
      <c r="AI141" s="12">
        <f>SUM(All_India_Index_Upto_April23__1___1[[#This Row],[Cereals and products]:[Pan, tobacco and intoxicants]])</f>
        <v>1899.5</v>
      </c>
      <c r="AJ141" s="12">
        <f>SUM(All_India_Index_Upto_April23__1___1[[#This Row],[Household goods and services]],All_India_Index_Upto_April23__1___1[[#This Row],[Housing]])</f>
        <v>253.8</v>
      </c>
      <c r="AK141" s="12">
        <f>All_India_Index_Upto_April23__1___1[[#This Row],[Clothing]]+All_India_Index_Upto_April23__1___1[[#This Row],[Footwear]]</f>
        <v>251.7</v>
      </c>
      <c r="AL141" s="12">
        <f>All_India_Index_Upto_April23__1___1[[#This Row],[Miscellaneous]]+All_India_Index_Upto_April23__1___1[[#This Row],[Personal care and effects]]+All_India_Index_Upto_April23__1___1[[#This Row],[Education]]+All_India_Index_Upto_April23__1___1[[#This Row],[Recreation and amusement]]</f>
        <v>496.4</v>
      </c>
      <c r="AM14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3253.0999999999995</v>
      </c>
    </row>
    <row r="142" spans="1:39" hidden="1" x14ac:dyDescent="0.3">
      <c r="A142" t="s">
        <v>33</v>
      </c>
      <c r="B142">
        <v>2016</v>
      </c>
      <c r="C142" t="s">
        <v>44</v>
      </c>
      <c r="D142" t="str">
        <f t="shared" si="2"/>
        <v>Nov-16</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c r="AF142" s="12">
        <f>AVERAGE(All_India_Index_Upto_April23__1___1[[#This Row],[Cereals and products]:[Pan, tobacco and intoxicants]])</f>
        <v>135.84285714285713</v>
      </c>
      <c r="AG142" s="12">
        <f>AVERAGE(All_India_Index_Upto_April23__1___1[[#This Row],[Household goods and services]],All_India_Index_Upto_April23__1___1[[#This Row],[Housing]])</f>
        <v>128.85</v>
      </c>
      <c r="AH142" s="12">
        <f>AVERAGE(All_India_Index_Upto_April23__1___1[[#This Row],[Miscellaneous]],All_India_Index_Upto_April23__1___1[[#This Row],[Personal care and effects]],All_India_Index_Upto_April23__1___1[[#This Row],[Education]],All_India_Index_Upto_April23__1___1[[#This Row],[Recreation and amusement]])</f>
        <v>125.8</v>
      </c>
      <c r="AI142" s="12">
        <f>SUM(All_India_Index_Upto_April23__1___1[[#This Row],[Cereals and products]:[Pan, tobacco and intoxicants]])</f>
        <v>1901.8</v>
      </c>
      <c r="AJ142" s="12">
        <f>SUM(All_India_Index_Upto_April23__1___1[[#This Row],[Household goods and services]],All_India_Index_Upto_April23__1___1[[#This Row],[Housing]])</f>
        <v>257.7</v>
      </c>
      <c r="AK142" s="12">
        <f>All_India_Index_Upto_April23__1___1[[#This Row],[Clothing]]+All_India_Index_Upto_April23__1___1[[#This Row],[Footwear]]</f>
        <v>265.10000000000002</v>
      </c>
      <c r="AL142" s="12">
        <f>All_India_Index_Upto_April23__1___1[[#This Row],[Miscellaneous]]+All_India_Index_Upto_April23__1___1[[#This Row],[Personal care and effects]]+All_India_Index_Upto_April23__1___1[[#This Row],[Education]]+All_India_Index_Upto_April23__1___1[[#This Row],[Recreation and amusement]]</f>
        <v>503.2</v>
      </c>
      <c r="AM14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3294.9</v>
      </c>
    </row>
    <row r="143" spans="1:39" hidden="1" x14ac:dyDescent="0.3">
      <c r="A143" t="s">
        <v>30</v>
      </c>
      <c r="B143">
        <v>2016</v>
      </c>
      <c r="C143" t="s">
        <v>45</v>
      </c>
      <c r="D143" t="str">
        <f t="shared" si="2"/>
        <v>Dec-16</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s="12">
        <f>'Handle Missing Value Sheet only'!$F$5</f>
        <v>139.27096774193564</v>
      </c>
      <c r="W143">
        <v>132</v>
      </c>
      <c r="X143">
        <v>132.9</v>
      </c>
      <c r="Y143">
        <v>129.69999999999999</v>
      </c>
      <c r="Z143">
        <v>118.6</v>
      </c>
      <c r="AA143">
        <v>127.3</v>
      </c>
      <c r="AB143">
        <v>134.19999999999999</v>
      </c>
      <c r="AC143">
        <v>121.9</v>
      </c>
      <c r="AD143">
        <v>126.3</v>
      </c>
      <c r="AE143">
        <v>132.80000000000001</v>
      </c>
      <c r="AF143" s="12">
        <f>AVERAGE(All_India_Index_Upto_April23__1___1[[#This Row],[Cereals and products]:[Pan, tobacco and intoxicants]])</f>
        <v>135.10714285714286</v>
      </c>
      <c r="AG143" s="12">
        <f>AVERAGE(All_India_Index_Upto_April23__1___1[[#This Row],[Household goods and services]],All_India_Index_Upto_April23__1___1[[#This Row],[Housing]])</f>
        <v>136.08548387096783</v>
      </c>
      <c r="AH143" s="12">
        <f>AVERAGE(All_India_Index_Upto_April23__1___1[[#This Row],[Miscellaneous]],All_India_Index_Upto_April23__1___1[[#This Row],[Personal care and effects]],All_India_Index_Upto_April23__1___1[[#This Row],[Education]],All_India_Index_Upto_April23__1___1[[#This Row],[Recreation and amusement]])</f>
        <v>127.425</v>
      </c>
      <c r="AI143" s="12">
        <f>SUM(All_India_Index_Upto_April23__1___1[[#This Row],[Cereals and products]:[Pan, tobacco and intoxicants]])</f>
        <v>1891.5</v>
      </c>
      <c r="AJ143" s="12">
        <f>SUM(All_India_Index_Upto_April23__1___1[[#This Row],[Household goods and services]],All_India_Index_Upto_April23__1___1[[#This Row],[Housing]])</f>
        <v>272.17096774193567</v>
      </c>
      <c r="AK143" s="12">
        <f>All_India_Index_Upto_April23__1___1[[#This Row],[Clothing]]+All_India_Index_Upto_April23__1___1[[#This Row],[Footwear]]</f>
        <v>275.60000000000002</v>
      </c>
      <c r="AL143" s="12">
        <f>All_India_Index_Upto_April23__1___1[[#This Row],[Miscellaneous]]+All_India_Index_Upto_April23__1___1[[#This Row],[Personal care and effects]]+All_India_Index_Upto_April23__1___1[[#This Row],[Education]]+All_India_Index_Upto_April23__1___1[[#This Row],[Recreation and amusement]]</f>
        <v>509.7</v>
      </c>
      <c r="AM14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3329.2709677419352</v>
      </c>
    </row>
    <row r="144" spans="1:39" hidden="1" x14ac:dyDescent="0.3">
      <c r="A144" t="s">
        <v>32</v>
      </c>
      <c r="B144">
        <v>2016</v>
      </c>
      <c r="C144" t="s">
        <v>45</v>
      </c>
      <c r="D144" t="str">
        <f t="shared" si="2"/>
        <v>Dec-16</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c r="AF144" s="12">
        <f>AVERAGE(All_India_Index_Upto_April23__1___1[[#This Row],[Cereals and products]:[Pan, tobacco and intoxicants]])</f>
        <v>133.91428571428571</v>
      </c>
      <c r="AG144" s="12">
        <f>AVERAGE(All_India_Index_Upto_April23__1___1[[#This Row],[Household goods and services]],All_India_Index_Upto_April23__1___1[[#This Row],[Housing]])</f>
        <v>126.75</v>
      </c>
      <c r="AH144" s="12">
        <f>AVERAGE(All_India_Index_Upto_April23__1___1[[#This Row],[Miscellaneous]],All_India_Index_Upto_April23__1___1[[#This Row],[Personal care and effects]],All_India_Index_Upto_April23__1___1[[#This Row],[Education]],All_India_Index_Upto_April23__1___1[[#This Row],[Recreation and amusement]])</f>
        <v>123.85000000000001</v>
      </c>
      <c r="AI144" s="12">
        <f>SUM(All_India_Index_Upto_April23__1___1[[#This Row],[Cereals and products]:[Pan, tobacco and intoxicants]])</f>
        <v>1874.8</v>
      </c>
      <c r="AJ144" s="12">
        <f>SUM(All_India_Index_Upto_April23__1___1[[#This Row],[Household goods and services]],All_India_Index_Upto_April23__1___1[[#This Row],[Housing]])</f>
        <v>253.5</v>
      </c>
      <c r="AK144" s="12">
        <f>All_India_Index_Upto_April23__1___1[[#This Row],[Clothing]]+All_India_Index_Upto_April23__1___1[[#This Row],[Footwear]]</f>
        <v>252.2</v>
      </c>
      <c r="AL144" s="12">
        <f>All_India_Index_Upto_April23__1___1[[#This Row],[Miscellaneous]]+All_India_Index_Upto_April23__1___1[[#This Row],[Personal care and effects]]+All_India_Index_Upto_April23__1___1[[#This Row],[Education]]+All_India_Index_Upto_April23__1___1[[#This Row],[Recreation and amusement]]</f>
        <v>495.40000000000003</v>
      </c>
      <c r="AM14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3229.7000000000003</v>
      </c>
    </row>
    <row r="145" spans="1:39" hidden="1" x14ac:dyDescent="0.3">
      <c r="A145" t="s">
        <v>33</v>
      </c>
      <c r="B145">
        <v>2016</v>
      </c>
      <c r="C145" t="s">
        <v>45</v>
      </c>
      <c r="D145" t="str">
        <f t="shared" si="2"/>
        <v>Dec-16</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c r="AF145" s="12">
        <f>AVERAGE(All_India_Index_Upto_April23__1___1[[#This Row],[Cereals and products]:[Pan, tobacco and intoxicants]])</f>
        <v>134.55714285714285</v>
      </c>
      <c r="AG145" s="12">
        <f>AVERAGE(All_India_Index_Upto_April23__1___1[[#This Row],[Household goods and services]],All_India_Index_Upto_April23__1___1[[#This Row],[Housing]])</f>
        <v>128.85</v>
      </c>
      <c r="AH145" s="12">
        <f>AVERAGE(All_India_Index_Upto_April23__1___1[[#This Row],[Miscellaneous]],All_India_Index_Upto_April23__1___1[[#This Row],[Personal care and effects]],All_India_Index_Upto_April23__1___1[[#This Row],[Education]],All_India_Index_Upto_April23__1___1[[#This Row],[Recreation and amusement]])</f>
        <v>125.575</v>
      </c>
      <c r="AI145" s="12">
        <f>SUM(All_India_Index_Upto_April23__1___1[[#This Row],[Cereals and products]:[Pan, tobacco and intoxicants]])</f>
        <v>1883.8</v>
      </c>
      <c r="AJ145" s="12">
        <f>SUM(All_India_Index_Upto_April23__1___1[[#This Row],[Household goods and services]],All_India_Index_Upto_April23__1___1[[#This Row],[Housing]])</f>
        <v>257.7</v>
      </c>
      <c r="AK145" s="12">
        <f>All_India_Index_Upto_April23__1___1[[#This Row],[Clothing]]+All_India_Index_Upto_April23__1___1[[#This Row],[Footwear]]</f>
        <v>266.10000000000002</v>
      </c>
      <c r="AL145" s="12">
        <f>All_India_Index_Upto_April23__1___1[[#This Row],[Miscellaneous]]+All_India_Index_Upto_April23__1___1[[#This Row],[Personal care and effects]]+All_India_Index_Upto_April23__1___1[[#This Row],[Education]]+All_India_Index_Upto_April23__1___1[[#This Row],[Recreation and amusement]]</f>
        <v>502.3</v>
      </c>
      <c r="AM14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3279.4</v>
      </c>
    </row>
    <row r="146" spans="1:39" hidden="1" x14ac:dyDescent="0.3">
      <c r="A146" t="s">
        <v>30</v>
      </c>
      <c r="B146">
        <v>2017</v>
      </c>
      <c r="C146" t="s">
        <v>31</v>
      </c>
      <c r="D146" t="str">
        <f t="shared" si="2"/>
        <v>Jan-17</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s="12">
        <f>'Handle Missing Value Sheet only'!$F$5</f>
        <v>139.27096774193564</v>
      </c>
      <c r="W146">
        <v>132.1</v>
      </c>
      <c r="X146">
        <v>133.19999999999999</v>
      </c>
      <c r="Y146">
        <v>129.9</v>
      </c>
      <c r="Z146">
        <v>119.1</v>
      </c>
      <c r="AA146">
        <v>127</v>
      </c>
      <c r="AB146">
        <v>134.6</v>
      </c>
      <c r="AC146">
        <v>122.3</v>
      </c>
      <c r="AD146">
        <v>126.6</v>
      </c>
      <c r="AE146">
        <v>132.4</v>
      </c>
      <c r="AF146" s="12">
        <f>AVERAGE(All_India_Index_Upto_April23__1___1[[#This Row],[Cereals and products]:[Pan, tobacco and intoxicants]])</f>
        <v>134.31428571428572</v>
      </c>
      <c r="AG146" s="12">
        <f>AVERAGE(All_India_Index_Upto_April23__1___1[[#This Row],[Household goods and services]],All_India_Index_Upto_April23__1___1[[#This Row],[Housing]])</f>
        <v>136.23548387096781</v>
      </c>
      <c r="AH146" s="12">
        <f>AVERAGE(All_India_Index_Upto_April23__1___1[[#This Row],[Miscellaneous]],All_India_Index_Upto_April23__1___1[[#This Row],[Personal care and effects]],All_India_Index_Upto_April23__1___1[[#This Row],[Education]],All_India_Index_Upto_April23__1___1[[#This Row],[Recreation and amusement]])</f>
        <v>127.625</v>
      </c>
      <c r="AI146" s="12">
        <f>SUM(All_India_Index_Upto_April23__1___1[[#This Row],[Cereals and products]:[Pan, tobacco and intoxicants]])</f>
        <v>1880.4</v>
      </c>
      <c r="AJ146" s="12">
        <f>SUM(All_India_Index_Upto_April23__1___1[[#This Row],[Household goods and services]],All_India_Index_Upto_April23__1___1[[#This Row],[Housing]])</f>
        <v>272.47096774193562</v>
      </c>
      <c r="AK146" s="12">
        <f>All_India_Index_Upto_April23__1___1[[#This Row],[Clothing]]+All_India_Index_Upto_April23__1___1[[#This Row],[Footwear]]</f>
        <v>276.5</v>
      </c>
      <c r="AL146" s="12">
        <f>All_India_Index_Upto_April23__1___1[[#This Row],[Miscellaneous]]+All_India_Index_Upto_April23__1___1[[#This Row],[Personal care and effects]]+All_India_Index_Upto_April23__1___1[[#This Row],[Education]]+All_India_Index_Upto_April23__1___1[[#This Row],[Recreation and amusement]]</f>
        <v>510.5</v>
      </c>
      <c r="AM14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3320.9709677419355</v>
      </c>
    </row>
    <row r="147" spans="1:39" hidden="1" x14ac:dyDescent="0.3">
      <c r="A147" t="s">
        <v>32</v>
      </c>
      <c r="B147">
        <v>2017</v>
      </c>
      <c r="C147" t="s">
        <v>31</v>
      </c>
      <c r="D147" t="str">
        <f t="shared" si="2"/>
        <v>Jan-17</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c r="AF147" s="12">
        <f>AVERAGE(All_India_Index_Upto_April23__1___1[[#This Row],[Cereals and products]:[Pan, tobacco and intoxicants]])</f>
        <v>132.77142857142857</v>
      </c>
      <c r="AG147" s="12">
        <f>AVERAGE(All_India_Index_Upto_April23__1___1[[#This Row],[Household goods and services]],All_India_Index_Upto_April23__1___1[[#This Row],[Housing]])</f>
        <v>127.35</v>
      </c>
      <c r="AH147" s="12">
        <f>AVERAGE(All_India_Index_Upto_April23__1___1[[#This Row],[Miscellaneous]],All_India_Index_Upto_April23__1___1[[#This Row],[Personal care and effects]],All_India_Index_Upto_April23__1___1[[#This Row],[Education]],All_India_Index_Upto_April23__1___1[[#This Row],[Recreation and amusement]])</f>
        <v>124.35</v>
      </c>
      <c r="AI147" s="12">
        <f>SUM(All_India_Index_Upto_April23__1___1[[#This Row],[Cereals and products]:[Pan, tobacco and intoxicants]])</f>
        <v>1858.8</v>
      </c>
      <c r="AJ147" s="12">
        <f>SUM(All_India_Index_Upto_April23__1___1[[#This Row],[Household goods and services]],All_India_Index_Upto_April23__1___1[[#This Row],[Housing]])</f>
        <v>254.7</v>
      </c>
      <c r="AK147" s="12">
        <f>All_India_Index_Upto_April23__1___1[[#This Row],[Clothing]]+All_India_Index_Upto_April23__1___1[[#This Row],[Footwear]]</f>
        <v>252.5</v>
      </c>
      <c r="AL147" s="12">
        <f>All_India_Index_Upto_April23__1___1[[#This Row],[Miscellaneous]]+All_India_Index_Upto_April23__1___1[[#This Row],[Personal care and effects]]+All_India_Index_Upto_April23__1___1[[#This Row],[Education]]+All_India_Index_Upto_April23__1___1[[#This Row],[Recreation and amusement]]</f>
        <v>497.4</v>
      </c>
      <c r="AM14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3219.1999999999994</v>
      </c>
    </row>
    <row r="148" spans="1:39" hidden="1" x14ac:dyDescent="0.3">
      <c r="A148" t="s">
        <v>33</v>
      </c>
      <c r="B148">
        <v>2017</v>
      </c>
      <c r="C148" t="s">
        <v>31</v>
      </c>
      <c r="D148" t="str">
        <f t="shared" si="2"/>
        <v>Jan-17</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c r="AF148" s="12">
        <f>AVERAGE(All_India_Index_Upto_April23__1___1[[#This Row],[Cereals and products]:[Pan, tobacco and intoxicants]])</f>
        <v>133.64999999999995</v>
      </c>
      <c r="AG148" s="12">
        <f>AVERAGE(All_India_Index_Upto_April23__1___1[[#This Row],[Household goods and services]],All_India_Index_Upto_April23__1___1[[#This Row],[Housing]])</f>
        <v>129.5</v>
      </c>
      <c r="AH148" s="12">
        <f>AVERAGE(All_India_Index_Upto_April23__1___1[[#This Row],[Miscellaneous]],All_India_Index_Upto_April23__1___1[[#This Row],[Personal care and effects]],All_India_Index_Upto_April23__1___1[[#This Row],[Education]],All_India_Index_Upto_April23__1___1[[#This Row],[Recreation and amusement]])</f>
        <v>125.9</v>
      </c>
      <c r="AI148" s="12">
        <f>SUM(All_India_Index_Upto_April23__1___1[[#This Row],[Cereals and products]:[Pan, tobacco and intoxicants]])</f>
        <v>1871.0999999999995</v>
      </c>
      <c r="AJ148" s="12">
        <f>SUM(All_India_Index_Upto_April23__1___1[[#This Row],[Household goods and services]],All_India_Index_Upto_April23__1___1[[#This Row],[Housing]])</f>
        <v>259</v>
      </c>
      <c r="AK148" s="12">
        <f>All_India_Index_Upto_April23__1___1[[#This Row],[Clothing]]+All_India_Index_Upto_April23__1___1[[#This Row],[Footwear]]</f>
        <v>266.79999999999995</v>
      </c>
      <c r="AL148" s="12">
        <f>All_India_Index_Upto_April23__1___1[[#This Row],[Miscellaneous]]+All_India_Index_Upto_April23__1___1[[#This Row],[Personal care and effects]]+All_India_Index_Upto_April23__1___1[[#This Row],[Education]]+All_India_Index_Upto_April23__1___1[[#This Row],[Recreation and amusement]]</f>
        <v>503.6</v>
      </c>
      <c r="AM14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3271.3999999999996</v>
      </c>
    </row>
    <row r="149" spans="1:39" hidden="1" x14ac:dyDescent="0.3">
      <c r="A149" t="s">
        <v>30</v>
      </c>
      <c r="B149">
        <v>2017</v>
      </c>
      <c r="C149" t="s">
        <v>34</v>
      </c>
      <c r="D149" t="str">
        <f t="shared" si="2"/>
        <v>Feb-17</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s="12">
        <f>'Handle Missing Value Sheet only'!$F$5</f>
        <v>139.27096774193564</v>
      </c>
      <c r="W149">
        <v>133.19999999999999</v>
      </c>
      <c r="X149">
        <v>133.6</v>
      </c>
      <c r="Y149">
        <v>130.1</v>
      </c>
      <c r="Z149">
        <v>119.5</v>
      </c>
      <c r="AA149">
        <v>127.7</v>
      </c>
      <c r="AB149">
        <v>134.9</v>
      </c>
      <c r="AC149">
        <v>123.2</v>
      </c>
      <c r="AD149">
        <v>127</v>
      </c>
      <c r="AE149">
        <v>132.6</v>
      </c>
      <c r="AF149" s="12">
        <f>AVERAGE(All_India_Index_Upto_April23__1___1[[#This Row],[Cereals and products]:[Pan, tobacco and intoxicants]])</f>
        <v>134.15714285714287</v>
      </c>
      <c r="AG149" s="12">
        <f>AVERAGE(All_India_Index_Upto_April23__1___1[[#This Row],[Household goods and services]],All_India_Index_Upto_April23__1___1[[#This Row],[Housing]])</f>
        <v>136.4354838709678</v>
      </c>
      <c r="AH149" s="12">
        <f>AVERAGE(All_India_Index_Upto_April23__1___1[[#This Row],[Miscellaneous]],All_India_Index_Upto_April23__1___1[[#This Row],[Personal care and effects]],All_India_Index_Upto_April23__1___1[[#This Row],[Education]],All_India_Index_Upto_April23__1___1[[#This Row],[Recreation and amusement]])</f>
        <v>128.20000000000002</v>
      </c>
      <c r="AI149" s="12">
        <f>SUM(All_India_Index_Upto_April23__1___1[[#This Row],[Cereals and products]:[Pan, tobacco and intoxicants]])</f>
        <v>1878.2000000000003</v>
      </c>
      <c r="AJ149" s="12">
        <f>SUM(All_India_Index_Upto_April23__1___1[[#This Row],[Household goods and services]],All_India_Index_Upto_April23__1___1[[#This Row],[Housing]])</f>
        <v>272.8709677419356</v>
      </c>
      <c r="AK149" s="12">
        <f>All_India_Index_Upto_April23__1___1[[#This Row],[Clothing]]+All_India_Index_Upto_April23__1___1[[#This Row],[Footwear]]</f>
        <v>276.70000000000005</v>
      </c>
      <c r="AL149" s="12">
        <f>All_India_Index_Upto_April23__1___1[[#This Row],[Miscellaneous]]+All_India_Index_Upto_April23__1___1[[#This Row],[Personal care and effects]]+All_India_Index_Upto_April23__1___1[[#This Row],[Education]]+All_India_Index_Upto_April23__1___1[[#This Row],[Recreation and amusement]]</f>
        <v>512.80000000000007</v>
      </c>
      <c r="AM14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3323.3709677419356</v>
      </c>
    </row>
    <row r="150" spans="1:39" hidden="1" x14ac:dyDescent="0.3">
      <c r="A150" t="s">
        <v>32</v>
      </c>
      <c r="B150">
        <v>2017</v>
      </c>
      <c r="C150" t="s">
        <v>34</v>
      </c>
      <c r="D150" t="str">
        <f t="shared" si="2"/>
        <v>Feb-17</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c r="AF150" s="12">
        <f>AVERAGE(All_India_Index_Upto_April23__1___1[[#This Row],[Cereals and products]:[Pan, tobacco and intoxicants]])</f>
        <v>132.25714285714287</v>
      </c>
      <c r="AG150" s="12">
        <f>AVERAGE(All_India_Index_Upto_April23__1___1[[#This Row],[Household goods and services]],All_India_Index_Upto_April23__1___1[[#This Row],[Housing]])</f>
        <v>127.9</v>
      </c>
      <c r="AH150" s="12">
        <f>AVERAGE(All_India_Index_Upto_April23__1___1[[#This Row],[Miscellaneous]],All_India_Index_Upto_April23__1___1[[#This Row],[Personal care and effects]],All_India_Index_Upto_April23__1___1[[#This Row],[Education]],All_India_Index_Upto_April23__1___1[[#This Row],[Recreation and amusement]])</f>
        <v>124.675</v>
      </c>
      <c r="AI150" s="12">
        <f>SUM(All_India_Index_Upto_April23__1___1[[#This Row],[Cereals and products]:[Pan, tobacco and intoxicants]])</f>
        <v>1851.6000000000001</v>
      </c>
      <c r="AJ150" s="12">
        <f>SUM(All_India_Index_Upto_April23__1___1[[#This Row],[Household goods and services]],All_India_Index_Upto_April23__1___1[[#This Row],[Housing]])</f>
        <v>255.8</v>
      </c>
      <c r="AK150" s="12">
        <f>All_India_Index_Upto_April23__1___1[[#This Row],[Clothing]]+All_India_Index_Upto_April23__1___1[[#This Row],[Footwear]]</f>
        <v>253</v>
      </c>
      <c r="AL150" s="12">
        <f>All_India_Index_Upto_April23__1___1[[#This Row],[Miscellaneous]]+All_India_Index_Upto_April23__1___1[[#This Row],[Personal care and effects]]+All_India_Index_Upto_April23__1___1[[#This Row],[Education]]+All_India_Index_Upto_April23__1___1[[#This Row],[Recreation and amusement]]</f>
        <v>498.7</v>
      </c>
      <c r="AM15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3216.7000000000003</v>
      </c>
    </row>
    <row r="151" spans="1:39" hidden="1" x14ac:dyDescent="0.3">
      <c r="A151" t="s">
        <v>33</v>
      </c>
      <c r="B151">
        <v>2017</v>
      </c>
      <c r="C151" t="s">
        <v>34</v>
      </c>
      <c r="D151" t="str">
        <f t="shared" si="2"/>
        <v>Feb-17</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c r="AF151" s="12">
        <f>AVERAGE(All_India_Index_Upto_April23__1___1[[#This Row],[Cereals and products]:[Pan, tobacco and intoxicants]])</f>
        <v>133.33571428571432</v>
      </c>
      <c r="AG151" s="12">
        <f>AVERAGE(All_India_Index_Upto_April23__1___1[[#This Row],[Household goods and services]],All_India_Index_Upto_April23__1___1[[#This Row],[Housing]])</f>
        <v>130.1</v>
      </c>
      <c r="AH151" s="12">
        <f>AVERAGE(All_India_Index_Upto_April23__1___1[[#This Row],[Miscellaneous]],All_India_Index_Upto_April23__1___1[[#This Row],[Personal care and effects]],All_India_Index_Upto_April23__1___1[[#This Row],[Education]],All_India_Index_Upto_April23__1___1[[#This Row],[Recreation and amusement]])</f>
        <v>126.35</v>
      </c>
      <c r="AI151" s="12">
        <f>SUM(All_India_Index_Upto_April23__1___1[[#This Row],[Cereals and products]:[Pan, tobacco and intoxicants]])</f>
        <v>1866.7000000000003</v>
      </c>
      <c r="AJ151" s="12">
        <f>SUM(All_India_Index_Upto_April23__1___1[[#This Row],[Household goods and services]],All_India_Index_Upto_April23__1___1[[#This Row],[Housing]])</f>
        <v>260.2</v>
      </c>
      <c r="AK151" s="12">
        <f>All_India_Index_Upto_April23__1___1[[#This Row],[Clothing]]+All_India_Index_Upto_April23__1___1[[#This Row],[Footwear]]</f>
        <v>267.10000000000002</v>
      </c>
      <c r="AL151" s="12">
        <f>All_India_Index_Upto_April23__1___1[[#This Row],[Miscellaneous]]+All_India_Index_Upto_April23__1___1[[#This Row],[Personal care and effects]]+All_India_Index_Upto_April23__1___1[[#This Row],[Education]]+All_India_Index_Upto_April23__1___1[[#This Row],[Recreation and amusement]]</f>
        <v>505.4</v>
      </c>
      <c r="AM15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3272.1000000000008</v>
      </c>
    </row>
    <row r="152" spans="1:39" hidden="1" x14ac:dyDescent="0.3">
      <c r="A152" t="s">
        <v>30</v>
      </c>
      <c r="B152">
        <v>2017</v>
      </c>
      <c r="C152" t="s">
        <v>35</v>
      </c>
      <c r="D152" t="str">
        <f t="shared" si="2"/>
        <v>Mar-17</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s="12">
        <f>'Handle Missing Value Sheet only'!$F$5</f>
        <v>139.27096774193564</v>
      </c>
      <c r="W152">
        <v>134.19999999999999</v>
      </c>
      <c r="X152">
        <v>134.1</v>
      </c>
      <c r="Y152">
        <v>130.6</v>
      </c>
      <c r="Z152">
        <v>119.8</v>
      </c>
      <c r="AA152">
        <v>128.30000000000001</v>
      </c>
      <c r="AB152">
        <v>135.19999999999999</v>
      </c>
      <c r="AC152">
        <v>123.3</v>
      </c>
      <c r="AD152">
        <v>127.4</v>
      </c>
      <c r="AE152">
        <v>132.80000000000001</v>
      </c>
      <c r="AF152" s="12">
        <f>AVERAGE(All_India_Index_Upto_April23__1___1[[#This Row],[Cereals and products]:[Pan, tobacco and intoxicants]])</f>
        <v>133.76428571428573</v>
      </c>
      <c r="AG152" s="12">
        <f>AVERAGE(All_India_Index_Upto_April23__1___1[[#This Row],[Household goods and services]],All_India_Index_Upto_April23__1___1[[#This Row],[Housing]])</f>
        <v>136.6854838709678</v>
      </c>
      <c r="AH152" s="12">
        <f>AVERAGE(All_India_Index_Upto_April23__1___1[[#This Row],[Miscellaneous]],All_India_Index_Upto_April23__1___1[[#This Row],[Personal care and effects]],All_India_Index_Upto_April23__1___1[[#This Row],[Education]],All_India_Index_Upto_April23__1___1[[#This Row],[Recreation and amusement]])</f>
        <v>128.55000000000001</v>
      </c>
      <c r="AI152" s="12">
        <f>SUM(All_India_Index_Upto_April23__1___1[[#This Row],[Cereals and products]:[Pan, tobacco and intoxicants]])</f>
        <v>1872.7000000000003</v>
      </c>
      <c r="AJ152" s="12">
        <f>SUM(All_India_Index_Upto_April23__1___1[[#This Row],[Household goods and services]],All_India_Index_Upto_April23__1___1[[#This Row],[Housing]])</f>
        <v>273.3709677419356</v>
      </c>
      <c r="AK152" s="12">
        <f>All_India_Index_Upto_April23__1___1[[#This Row],[Clothing]]+All_India_Index_Upto_April23__1___1[[#This Row],[Footwear]]</f>
        <v>277.79999999999995</v>
      </c>
      <c r="AL152" s="12">
        <f>All_India_Index_Upto_April23__1___1[[#This Row],[Miscellaneous]]+All_India_Index_Upto_April23__1___1[[#This Row],[Personal care and effects]]+All_India_Index_Upto_April23__1___1[[#This Row],[Education]]+All_India_Index_Upto_April23__1___1[[#This Row],[Recreation and amusement]]</f>
        <v>514.20000000000005</v>
      </c>
      <c r="AM15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3322.6709677419358</v>
      </c>
    </row>
    <row r="153" spans="1:39" hidden="1" x14ac:dyDescent="0.3">
      <c r="A153" t="s">
        <v>32</v>
      </c>
      <c r="B153">
        <v>2017</v>
      </c>
      <c r="C153" t="s">
        <v>35</v>
      </c>
      <c r="D153" t="str">
        <f t="shared" si="2"/>
        <v>Mar-17</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c r="AF153" s="12">
        <f>AVERAGE(All_India_Index_Upto_April23__1___1[[#This Row],[Cereals and products]:[Pan, tobacco and intoxicants]])</f>
        <v>132.37142857142857</v>
      </c>
      <c r="AG153" s="12">
        <f>AVERAGE(All_India_Index_Upto_April23__1___1[[#This Row],[Household goods and services]],All_India_Index_Upto_April23__1___1[[#This Row],[Housing]])</f>
        <v>128.35</v>
      </c>
      <c r="AH153" s="12">
        <f>AVERAGE(All_India_Index_Upto_April23__1___1[[#This Row],[Miscellaneous]],All_India_Index_Upto_April23__1___1[[#This Row],[Personal care and effects]],All_India_Index_Upto_April23__1___1[[#This Row],[Education]],All_India_Index_Upto_April23__1___1[[#This Row],[Recreation and amusement]])</f>
        <v>124.875</v>
      </c>
      <c r="AI153" s="12">
        <f>SUM(All_India_Index_Upto_April23__1___1[[#This Row],[Cereals and products]:[Pan, tobacco and intoxicants]])</f>
        <v>1853.1999999999998</v>
      </c>
      <c r="AJ153" s="12">
        <f>SUM(All_India_Index_Upto_April23__1___1[[#This Row],[Household goods and services]],All_India_Index_Upto_April23__1___1[[#This Row],[Housing]])</f>
        <v>256.7</v>
      </c>
      <c r="AK153" s="12">
        <f>All_India_Index_Upto_April23__1___1[[#This Row],[Clothing]]+All_India_Index_Upto_April23__1___1[[#This Row],[Footwear]]</f>
        <v>253.60000000000002</v>
      </c>
      <c r="AL153" s="12">
        <f>All_India_Index_Upto_April23__1___1[[#This Row],[Miscellaneous]]+All_India_Index_Upto_April23__1___1[[#This Row],[Personal care and effects]]+All_India_Index_Upto_April23__1___1[[#This Row],[Education]]+All_India_Index_Upto_April23__1___1[[#This Row],[Recreation and amusement]]</f>
        <v>499.5</v>
      </c>
      <c r="AM15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3222.5</v>
      </c>
    </row>
    <row r="154" spans="1:39" hidden="1" x14ac:dyDescent="0.3">
      <c r="A154" t="s">
        <v>33</v>
      </c>
      <c r="B154">
        <v>2017</v>
      </c>
      <c r="C154" t="s">
        <v>35</v>
      </c>
      <c r="D154" t="str">
        <f t="shared" si="2"/>
        <v>Mar-17</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c r="AF154" s="12">
        <f>AVERAGE(All_India_Index_Upto_April23__1___1[[#This Row],[Cereals and products]:[Pan, tobacco and intoxicants]])</f>
        <v>133.14285714285714</v>
      </c>
      <c r="AG154" s="12">
        <f>AVERAGE(All_India_Index_Upto_April23__1___1[[#This Row],[Household goods and services]],All_India_Index_Upto_April23__1___1[[#This Row],[Housing]])</f>
        <v>130.6</v>
      </c>
      <c r="AH154" s="12">
        <f>AVERAGE(All_India_Index_Upto_April23__1___1[[#This Row],[Miscellaneous]],All_India_Index_Upto_April23__1___1[[#This Row],[Personal care and effects]],All_India_Index_Upto_April23__1___1[[#This Row],[Education]],All_India_Index_Upto_April23__1___1[[#This Row],[Recreation and amusement]])</f>
        <v>126.625</v>
      </c>
      <c r="AI154" s="12">
        <f>SUM(All_India_Index_Upto_April23__1___1[[#This Row],[Cereals and products]:[Pan, tobacco and intoxicants]])</f>
        <v>1864</v>
      </c>
      <c r="AJ154" s="12">
        <f>SUM(All_India_Index_Upto_April23__1___1[[#This Row],[Household goods and services]],All_India_Index_Upto_April23__1___1[[#This Row],[Housing]])</f>
        <v>261.2</v>
      </c>
      <c r="AK154" s="12">
        <f>All_India_Index_Upto_April23__1___1[[#This Row],[Clothing]]+All_India_Index_Upto_April23__1___1[[#This Row],[Footwear]]</f>
        <v>267.89999999999998</v>
      </c>
      <c r="AL154" s="12">
        <f>All_India_Index_Upto_April23__1___1[[#This Row],[Miscellaneous]]+All_India_Index_Upto_April23__1___1[[#This Row],[Personal care and effects]]+All_India_Index_Upto_April23__1___1[[#This Row],[Education]]+All_India_Index_Upto_April23__1___1[[#This Row],[Recreation and amusement]]</f>
        <v>506.5</v>
      </c>
      <c r="AM15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3274.1</v>
      </c>
    </row>
    <row r="155" spans="1:39" hidden="1" x14ac:dyDescent="0.3">
      <c r="A155" t="s">
        <v>30</v>
      </c>
      <c r="B155">
        <v>2017</v>
      </c>
      <c r="C155" t="s">
        <v>36</v>
      </c>
      <c r="D155" t="str">
        <f t="shared" si="2"/>
        <v>Apr-17</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s="12">
        <f>'Handle Missing Value Sheet only'!$F$5</f>
        <v>139.27096774193564</v>
      </c>
      <c r="W155">
        <v>135</v>
      </c>
      <c r="X155">
        <v>134.30000000000001</v>
      </c>
      <c r="Y155">
        <v>131</v>
      </c>
      <c r="Z155">
        <v>119.2</v>
      </c>
      <c r="AA155">
        <v>128.30000000000001</v>
      </c>
      <c r="AB155">
        <v>135.69999999999999</v>
      </c>
      <c r="AC155">
        <v>123.7</v>
      </c>
      <c r="AD155">
        <v>127.5</v>
      </c>
      <c r="AE155">
        <v>132.9</v>
      </c>
      <c r="AF155" s="12">
        <f>AVERAGE(All_India_Index_Upto_April23__1___1[[#This Row],[Cereals and products]:[Pan, tobacco and intoxicants]])</f>
        <v>133.62142857142857</v>
      </c>
      <c r="AG155" s="12">
        <f>AVERAGE(All_India_Index_Upto_April23__1___1[[#This Row],[Household goods and services]],All_India_Index_Upto_April23__1___1[[#This Row],[Housing]])</f>
        <v>136.78548387096782</v>
      </c>
      <c r="AH155" s="12">
        <f>AVERAGE(All_India_Index_Upto_April23__1___1[[#This Row],[Miscellaneous]],All_India_Index_Upto_April23__1___1[[#This Row],[Personal care and effects]],All_India_Index_Upto_April23__1___1[[#This Row],[Education]],All_India_Index_Upto_April23__1___1[[#This Row],[Recreation and amusement]])</f>
        <v>128.80000000000001</v>
      </c>
      <c r="AI155" s="12">
        <f>SUM(All_India_Index_Upto_April23__1___1[[#This Row],[Cereals and products]:[Pan, tobacco and intoxicants]])</f>
        <v>1870.7</v>
      </c>
      <c r="AJ155" s="12">
        <f>SUM(All_India_Index_Upto_April23__1___1[[#This Row],[Household goods and services]],All_India_Index_Upto_April23__1___1[[#This Row],[Housing]])</f>
        <v>273.57096774193565</v>
      </c>
      <c r="AK155" s="12">
        <f>All_India_Index_Upto_April23__1___1[[#This Row],[Clothing]]+All_India_Index_Upto_April23__1___1[[#This Row],[Footwear]]</f>
        <v>279.20000000000005</v>
      </c>
      <c r="AL155" s="12">
        <f>All_India_Index_Upto_April23__1___1[[#This Row],[Miscellaneous]]+All_India_Index_Upto_April23__1___1[[#This Row],[Personal care and effects]]+All_India_Index_Upto_April23__1___1[[#This Row],[Education]]+All_India_Index_Upto_April23__1___1[[#This Row],[Recreation and amusement]]</f>
        <v>515.20000000000005</v>
      </c>
      <c r="AM15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3323.8709677419356</v>
      </c>
    </row>
    <row r="156" spans="1:39" hidden="1" x14ac:dyDescent="0.3">
      <c r="A156" t="s">
        <v>32</v>
      </c>
      <c r="B156">
        <v>2017</v>
      </c>
      <c r="C156" t="s">
        <v>36</v>
      </c>
      <c r="D156" t="str">
        <f t="shared" si="2"/>
        <v>Apr-17</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c r="AF156" s="12">
        <f>AVERAGE(All_India_Index_Upto_April23__1___1[[#This Row],[Cereals and products]:[Pan, tobacco and intoxicants]])</f>
        <v>132.57857142857142</v>
      </c>
      <c r="AG156" s="12">
        <f>AVERAGE(All_India_Index_Upto_April23__1___1[[#This Row],[Household goods and services]],All_India_Index_Upto_April23__1___1[[#This Row],[Housing]])</f>
        <v>128.85</v>
      </c>
      <c r="AH156" s="12">
        <f>AVERAGE(All_India_Index_Upto_April23__1___1[[#This Row],[Miscellaneous]],All_India_Index_Upto_April23__1___1[[#This Row],[Personal care and effects]],All_India_Index_Upto_April23__1___1[[#This Row],[Education]],All_India_Index_Upto_April23__1___1[[#This Row],[Recreation and amusement]])</f>
        <v>125.22499999999999</v>
      </c>
      <c r="AI156" s="12">
        <f>SUM(All_India_Index_Upto_April23__1___1[[#This Row],[Cereals and products]:[Pan, tobacco and intoxicants]])</f>
        <v>1856.1</v>
      </c>
      <c r="AJ156" s="12">
        <f>SUM(All_India_Index_Upto_April23__1___1[[#This Row],[Household goods and services]],All_India_Index_Upto_April23__1___1[[#This Row],[Housing]])</f>
        <v>257.7</v>
      </c>
      <c r="AK156" s="12">
        <f>All_India_Index_Upto_April23__1___1[[#This Row],[Clothing]]+All_India_Index_Upto_April23__1___1[[#This Row],[Footwear]]</f>
        <v>254.2</v>
      </c>
      <c r="AL156" s="12">
        <f>All_India_Index_Upto_April23__1___1[[#This Row],[Miscellaneous]]+All_India_Index_Upto_April23__1___1[[#This Row],[Personal care and effects]]+All_India_Index_Upto_April23__1___1[[#This Row],[Education]]+All_India_Index_Upto_April23__1___1[[#This Row],[Recreation and amusement]]</f>
        <v>500.9</v>
      </c>
      <c r="AM15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3228</v>
      </c>
    </row>
    <row r="157" spans="1:39" hidden="1" x14ac:dyDescent="0.3">
      <c r="A157" t="s">
        <v>33</v>
      </c>
      <c r="B157">
        <v>2017</v>
      </c>
      <c r="C157" t="s">
        <v>36</v>
      </c>
      <c r="D157" t="str">
        <f t="shared" si="2"/>
        <v>Apr-17</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c r="AF157" s="12">
        <f>AVERAGE(All_India_Index_Upto_April23__1___1[[#This Row],[Cereals and products]:[Pan, tobacco and intoxicants]])</f>
        <v>133.12857142857143</v>
      </c>
      <c r="AG157" s="12">
        <f>AVERAGE(All_India_Index_Upto_April23__1___1[[#This Row],[Household goods and services]],All_India_Index_Upto_April23__1___1[[#This Row],[Housing]])</f>
        <v>131.05000000000001</v>
      </c>
      <c r="AH157" s="12">
        <f>AVERAGE(All_India_Index_Upto_April23__1___1[[#This Row],[Miscellaneous]],All_India_Index_Upto_April23__1___1[[#This Row],[Personal care and effects]],All_India_Index_Upto_April23__1___1[[#This Row],[Education]],All_India_Index_Upto_April23__1___1[[#This Row],[Recreation and amusement]])</f>
        <v>126.94999999999999</v>
      </c>
      <c r="AI157" s="12">
        <f>SUM(All_India_Index_Upto_April23__1___1[[#This Row],[Cereals and products]:[Pan, tobacco and intoxicants]])</f>
        <v>1863.8000000000002</v>
      </c>
      <c r="AJ157" s="12">
        <f>SUM(All_India_Index_Upto_April23__1___1[[#This Row],[Household goods and services]],All_India_Index_Upto_April23__1___1[[#This Row],[Housing]])</f>
        <v>262.10000000000002</v>
      </c>
      <c r="AK157" s="12">
        <f>All_India_Index_Upto_April23__1___1[[#This Row],[Clothing]]+All_India_Index_Upto_April23__1___1[[#This Row],[Footwear]]</f>
        <v>269.10000000000002</v>
      </c>
      <c r="AL157" s="12">
        <f>All_India_Index_Upto_April23__1___1[[#This Row],[Miscellaneous]]+All_India_Index_Upto_April23__1___1[[#This Row],[Personal care and effects]]+All_India_Index_Upto_April23__1___1[[#This Row],[Education]]+All_India_Index_Upto_April23__1___1[[#This Row],[Recreation and amusement]]</f>
        <v>507.79999999999995</v>
      </c>
      <c r="AM15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3277.3</v>
      </c>
    </row>
    <row r="158" spans="1:39" hidden="1" x14ac:dyDescent="0.3">
      <c r="A158" t="s">
        <v>30</v>
      </c>
      <c r="B158">
        <v>2017</v>
      </c>
      <c r="C158" t="s">
        <v>37</v>
      </c>
      <c r="D158" t="str">
        <f t="shared" si="2"/>
        <v>May-17</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s="12">
        <f>'Handle Missing Value Sheet only'!$F$5</f>
        <v>139.27096774193564</v>
      </c>
      <c r="W158">
        <v>135</v>
      </c>
      <c r="X158">
        <v>134.9</v>
      </c>
      <c r="Y158">
        <v>131.4</v>
      </c>
      <c r="Z158">
        <v>119.4</v>
      </c>
      <c r="AA158">
        <v>129.4</v>
      </c>
      <c r="AB158">
        <v>136.30000000000001</v>
      </c>
      <c r="AC158">
        <v>123.7</v>
      </c>
      <c r="AD158">
        <v>127.9</v>
      </c>
      <c r="AE158">
        <v>133.30000000000001</v>
      </c>
      <c r="AF158" s="12">
        <f>AVERAGE(All_India_Index_Upto_April23__1___1[[#This Row],[Cereals and products]:[Pan, tobacco and intoxicants]])</f>
        <v>133.78571428571425</v>
      </c>
      <c r="AG158" s="12">
        <f>AVERAGE(All_India_Index_Upto_April23__1___1[[#This Row],[Household goods and services]],All_India_Index_Upto_April23__1___1[[#This Row],[Housing]])</f>
        <v>137.08548387096783</v>
      </c>
      <c r="AH158" s="12">
        <f>AVERAGE(All_India_Index_Upto_April23__1___1[[#This Row],[Miscellaneous]],All_India_Index_Upto_April23__1___1[[#This Row],[Personal care and effects]],All_India_Index_Upto_April23__1___1[[#This Row],[Education]],All_India_Index_Upto_April23__1___1[[#This Row],[Recreation and amusement]])</f>
        <v>129.32500000000002</v>
      </c>
      <c r="AI158" s="12">
        <f>SUM(All_India_Index_Upto_April23__1___1[[#This Row],[Cereals and products]:[Pan, tobacco and intoxicants]])</f>
        <v>1872.9999999999995</v>
      </c>
      <c r="AJ158" s="12">
        <f>SUM(All_India_Index_Upto_April23__1___1[[#This Row],[Household goods and services]],All_India_Index_Upto_April23__1___1[[#This Row],[Housing]])</f>
        <v>274.17096774193567</v>
      </c>
      <c r="AK158" s="12">
        <f>All_India_Index_Upto_April23__1___1[[#This Row],[Clothing]]+All_India_Index_Upto_April23__1___1[[#This Row],[Footwear]]</f>
        <v>279.8</v>
      </c>
      <c r="AL158" s="12">
        <f>All_India_Index_Upto_April23__1___1[[#This Row],[Miscellaneous]]+All_India_Index_Upto_April23__1___1[[#This Row],[Personal care and effects]]+All_India_Index_Upto_April23__1___1[[#This Row],[Education]]+All_India_Index_Upto_April23__1___1[[#This Row],[Recreation and amusement]]</f>
        <v>517.30000000000007</v>
      </c>
      <c r="AM15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3330.0709677419354</v>
      </c>
    </row>
    <row r="159" spans="1:39" hidden="1" x14ac:dyDescent="0.3">
      <c r="A159" t="s">
        <v>32</v>
      </c>
      <c r="B159">
        <v>2017</v>
      </c>
      <c r="C159" t="s">
        <v>37</v>
      </c>
      <c r="D159" t="str">
        <f t="shared" si="2"/>
        <v>May-17</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c r="AF159" s="12">
        <f>AVERAGE(All_India_Index_Upto_April23__1___1[[#This Row],[Cereals and products]:[Pan, tobacco and intoxicants]])</f>
        <v>132.70714285714286</v>
      </c>
      <c r="AG159" s="12">
        <f>AVERAGE(All_India_Index_Upto_April23__1___1[[#This Row],[Household goods and services]],All_India_Index_Upto_April23__1___1[[#This Row],[Housing]])</f>
        <v>129.30000000000001</v>
      </c>
      <c r="AH159" s="12">
        <f>AVERAGE(All_India_Index_Upto_April23__1___1[[#This Row],[Miscellaneous]],All_India_Index_Upto_April23__1___1[[#This Row],[Personal care and effects]],All_India_Index_Upto_April23__1___1[[#This Row],[Education]],All_India_Index_Upto_April23__1___1[[#This Row],[Recreation and amusement]])</f>
        <v>125.3</v>
      </c>
      <c r="AI159" s="12">
        <f>SUM(All_India_Index_Upto_April23__1___1[[#This Row],[Cereals and products]:[Pan, tobacco and intoxicants]])</f>
        <v>1857.8999999999999</v>
      </c>
      <c r="AJ159" s="12">
        <f>SUM(All_India_Index_Upto_April23__1___1[[#This Row],[Household goods and services]],All_India_Index_Upto_April23__1___1[[#This Row],[Housing]])</f>
        <v>258.60000000000002</v>
      </c>
      <c r="AK159" s="12">
        <f>All_India_Index_Upto_April23__1___1[[#This Row],[Clothing]]+All_India_Index_Upto_April23__1___1[[#This Row],[Footwear]]</f>
        <v>254.7</v>
      </c>
      <c r="AL159" s="12">
        <f>All_India_Index_Upto_April23__1___1[[#This Row],[Miscellaneous]]+All_India_Index_Upto_April23__1___1[[#This Row],[Personal care and effects]]+All_India_Index_Upto_April23__1___1[[#This Row],[Education]]+All_India_Index_Upto_April23__1___1[[#This Row],[Recreation and amusement]]</f>
        <v>501.2</v>
      </c>
      <c r="AM15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3230.3999999999996</v>
      </c>
    </row>
    <row r="160" spans="1:39" hidden="1" x14ac:dyDescent="0.3">
      <c r="A160" t="s">
        <v>33</v>
      </c>
      <c r="B160">
        <v>2017</v>
      </c>
      <c r="C160" t="s">
        <v>37</v>
      </c>
      <c r="D160" t="str">
        <f t="shared" si="2"/>
        <v>May-17</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c r="AF160" s="12">
        <f>AVERAGE(All_India_Index_Upto_April23__1___1[[#This Row],[Cereals and products]:[Pan, tobacco and intoxicants]])</f>
        <v>133.27142857142857</v>
      </c>
      <c r="AG160" s="12">
        <f>AVERAGE(All_India_Index_Upto_April23__1___1[[#This Row],[Household goods and services]],All_India_Index_Upto_April23__1___1[[#This Row],[Housing]])</f>
        <v>131.5</v>
      </c>
      <c r="AH160" s="12">
        <f>AVERAGE(All_India_Index_Upto_April23__1___1[[#This Row],[Miscellaneous]],All_India_Index_Upto_April23__1___1[[#This Row],[Personal care and effects]],All_India_Index_Upto_April23__1___1[[#This Row],[Education]],All_India_Index_Upto_April23__1___1[[#This Row],[Recreation and amusement]])</f>
        <v>127.2</v>
      </c>
      <c r="AI160" s="12">
        <f>SUM(All_India_Index_Upto_April23__1___1[[#This Row],[Cereals and products]:[Pan, tobacco and intoxicants]])</f>
        <v>1865.8000000000002</v>
      </c>
      <c r="AJ160" s="12">
        <f>SUM(All_India_Index_Upto_April23__1___1[[#This Row],[Household goods and services]],All_India_Index_Upto_April23__1___1[[#This Row],[Housing]])</f>
        <v>263</v>
      </c>
      <c r="AK160" s="12">
        <f>All_India_Index_Upto_April23__1___1[[#This Row],[Clothing]]+All_India_Index_Upto_April23__1___1[[#This Row],[Footwear]]</f>
        <v>269.60000000000002</v>
      </c>
      <c r="AL160" s="12">
        <f>All_India_Index_Upto_April23__1___1[[#This Row],[Miscellaneous]]+All_India_Index_Upto_April23__1___1[[#This Row],[Personal care and effects]]+All_India_Index_Upto_April23__1___1[[#This Row],[Education]]+All_India_Index_Upto_April23__1___1[[#This Row],[Recreation and amusement]]</f>
        <v>508.8</v>
      </c>
      <c r="AM16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3281.7000000000003</v>
      </c>
    </row>
    <row r="161" spans="1:39" hidden="1" x14ac:dyDescent="0.3">
      <c r="A161" t="s">
        <v>30</v>
      </c>
      <c r="B161">
        <v>2017</v>
      </c>
      <c r="C161" t="s">
        <v>38</v>
      </c>
      <c r="D161" t="str">
        <f t="shared" si="2"/>
        <v>Jun-17</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s="12">
        <f>'Handle Missing Value Sheet only'!$F$5</f>
        <v>139.27096774193564</v>
      </c>
      <c r="W161">
        <v>134.80000000000001</v>
      </c>
      <c r="X161">
        <v>135.19999999999999</v>
      </c>
      <c r="Y161">
        <v>131.30000000000001</v>
      </c>
      <c r="Z161">
        <v>119.4</v>
      </c>
      <c r="AA161">
        <v>129.80000000000001</v>
      </c>
      <c r="AB161">
        <v>136.9</v>
      </c>
      <c r="AC161">
        <v>124.1</v>
      </c>
      <c r="AD161">
        <v>128.1</v>
      </c>
      <c r="AE161">
        <v>133.9</v>
      </c>
      <c r="AF161" s="12">
        <f>AVERAGE(All_India_Index_Upto_April23__1___1[[#This Row],[Cereals and products]:[Pan, tobacco and intoxicants]])</f>
        <v>134.61428571428573</v>
      </c>
      <c r="AG161" s="12">
        <f>AVERAGE(All_India_Index_Upto_April23__1___1[[#This Row],[Household goods and services]],All_India_Index_Upto_April23__1___1[[#This Row],[Housing]])</f>
        <v>137.23548387096781</v>
      </c>
      <c r="AH161" s="12">
        <f>AVERAGE(All_India_Index_Upto_April23__1___1[[#This Row],[Miscellaneous]],All_India_Index_Upto_April23__1___1[[#This Row],[Personal care and effects]],All_India_Index_Upto_April23__1___1[[#This Row],[Education]],All_India_Index_Upto_April23__1___1[[#This Row],[Recreation and amusement]])</f>
        <v>129.72500000000002</v>
      </c>
      <c r="AI161" s="12">
        <f>SUM(All_India_Index_Upto_April23__1___1[[#This Row],[Cereals and products]:[Pan, tobacco and intoxicants]])</f>
        <v>1884.6000000000001</v>
      </c>
      <c r="AJ161" s="12">
        <f>SUM(All_India_Index_Upto_April23__1___1[[#This Row],[Household goods and services]],All_India_Index_Upto_April23__1___1[[#This Row],[Housing]])</f>
        <v>274.47096774193562</v>
      </c>
      <c r="AK161" s="12">
        <f>All_India_Index_Upto_April23__1___1[[#This Row],[Clothing]]+All_India_Index_Upto_April23__1___1[[#This Row],[Footwear]]</f>
        <v>280.79999999999995</v>
      </c>
      <c r="AL161" s="12">
        <f>All_India_Index_Upto_April23__1___1[[#This Row],[Miscellaneous]]+All_India_Index_Upto_April23__1___1[[#This Row],[Personal care and effects]]+All_India_Index_Upto_April23__1___1[[#This Row],[Education]]+All_India_Index_Upto_April23__1___1[[#This Row],[Recreation and amusement]]</f>
        <v>518.90000000000009</v>
      </c>
      <c r="AM16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3344.2709677419366</v>
      </c>
    </row>
    <row r="162" spans="1:39" hidden="1" x14ac:dyDescent="0.3">
      <c r="A162" t="s">
        <v>32</v>
      </c>
      <c r="B162">
        <v>2017</v>
      </c>
      <c r="C162" t="s">
        <v>38</v>
      </c>
      <c r="D162" t="str">
        <f t="shared" si="2"/>
        <v>Jun-17</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c r="AF162" s="12">
        <f>AVERAGE(All_India_Index_Upto_April23__1___1[[#This Row],[Cereals and products]:[Pan, tobacco and intoxicants]])</f>
        <v>134.25714285714287</v>
      </c>
      <c r="AG162" s="12">
        <f>AVERAGE(All_India_Index_Upto_April23__1___1[[#This Row],[Household goods and services]],All_India_Index_Upto_April23__1___1[[#This Row],[Housing]])</f>
        <v>129.1</v>
      </c>
      <c r="AH162" s="12">
        <f>AVERAGE(All_India_Index_Upto_April23__1___1[[#This Row],[Miscellaneous]],All_India_Index_Upto_April23__1___1[[#This Row],[Personal care and effects]],All_India_Index_Upto_April23__1___1[[#This Row],[Education]],All_India_Index_Upto_April23__1___1[[#This Row],[Recreation and amusement]])</f>
        <v>125.6</v>
      </c>
      <c r="AI162" s="12">
        <f>SUM(All_India_Index_Upto_April23__1___1[[#This Row],[Cereals and products]:[Pan, tobacco and intoxicants]])</f>
        <v>1879.6000000000001</v>
      </c>
      <c r="AJ162" s="12">
        <f>SUM(All_India_Index_Upto_April23__1___1[[#This Row],[Household goods and services]],All_India_Index_Upto_April23__1___1[[#This Row],[Housing]])</f>
        <v>258.2</v>
      </c>
      <c r="AK162" s="12">
        <f>All_India_Index_Upto_April23__1___1[[#This Row],[Clothing]]+All_India_Index_Upto_April23__1___1[[#This Row],[Footwear]]</f>
        <v>254.7</v>
      </c>
      <c r="AL162" s="12">
        <f>All_India_Index_Upto_April23__1___1[[#This Row],[Miscellaneous]]+All_India_Index_Upto_April23__1___1[[#This Row],[Personal care and effects]]+All_India_Index_Upto_April23__1___1[[#This Row],[Education]]+All_India_Index_Upto_April23__1___1[[#This Row],[Recreation and amusement]]</f>
        <v>502.4</v>
      </c>
      <c r="AM16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3251.6000000000004</v>
      </c>
    </row>
    <row r="163" spans="1:39" hidden="1" x14ac:dyDescent="0.3">
      <c r="A163" t="s">
        <v>33</v>
      </c>
      <c r="B163">
        <v>2017</v>
      </c>
      <c r="C163" t="s">
        <v>38</v>
      </c>
      <c r="D163" t="str">
        <f t="shared" si="2"/>
        <v>Jun-17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c r="AF163" s="12">
        <f>AVERAGE(All_India_Index_Upto_April23__1___1[[#This Row],[Cereals and products]:[Pan, tobacco and intoxicants]])</f>
        <v>134.37142857142857</v>
      </c>
      <c r="AG163" s="12">
        <f>AVERAGE(All_India_Index_Upto_April23__1___1[[#This Row],[Household goods and services]],All_India_Index_Upto_April23__1___1[[#This Row],[Housing]])</f>
        <v>131.30000000000001</v>
      </c>
      <c r="AH163" s="12">
        <f>AVERAGE(All_India_Index_Upto_April23__1___1[[#This Row],[Miscellaneous]],All_India_Index_Upto_April23__1___1[[#This Row],[Personal care and effects]],All_India_Index_Upto_April23__1___1[[#This Row],[Education]],All_India_Index_Upto_April23__1___1[[#This Row],[Recreation and amusement]])</f>
        <v>127.55000000000001</v>
      </c>
      <c r="AI163" s="12">
        <f>SUM(All_India_Index_Upto_April23__1___1[[#This Row],[Cereals and products]:[Pan, tobacco and intoxicants]])</f>
        <v>1881.2</v>
      </c>
      <c r="AJ163" s="12">
        <f>SUM(All_India_Index_Upto_April23__1___1[[#This Row],[Household goods and services]],All_India_Index_Upto_April23__1___1[[#This Row],[Housing]])</f>
        <v>262.60000000000002</v>
      </c>
      <c r="AK163" s="12">
        <f>All_India_Index_Upto_April23__1___1[[#This Row],[Clothing]]+All_India_Index_Upto_April23__1___1[[#This Row],[Footwear]]</f>
        <v>270.2</v>
      </c>
      <c r="AL163" s="12">
        <f>All_India_Index_Upto_April23__1___1[[#This Row],[Miscellaneous]]+All_India_Index_Upto_April23__1___1[[#This Row],[Personal care and effects]]+All_India_Index_Upto_April23__1___1[[#This Row],[Education]]+All_India_Index_Upto_April23__1___1[[#This Row],[Recreation and amusement]]</f>
        <v>510.20000000000005</v>
      </c>
      <c r="AM16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3298</v>
      </c>
    </row>
    <row r="164" spans="1:39" hidden="1" x14ac:dyDescent="0.3">
      <c r="A164" t="s">
        <v>30</v>
      </c>
      <c r="B164">
        <v>2017</v>
      </c>
      <c r="C164" t="s">
        <v>39</v>
      </c>
      <c r="D164" t="str">
        <f t="shared" si="2"/>
        <v>Jul-17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s="12">
        <f>'Handle Missing Value Sheet only'!$F$5</f>
        <v>139.27096774193564</v>
      </c>
      <c r="W164">
        <v>135.30000000000001</v>
      </c>
      <c r="X164">
        <v>136.1</v>
      </c>
      <c r="Y164">
        <v>132.1</v>
      </c>
      <c r="Z164">
        <v>119.1</v>
      </c>
      <c r="AA164">
        <v>130.6</v>
      </c>
      <c r="AB164">
        <v>138.6</v>
      </c>
      <c r="AC164">
        <v>124.4</v>
      </c>
      <c r="AD164">
        <v>128.6</v>
      </c>
      <c r="AE164">
        <v>136.19999999999999</v>
      </c>
      <c r="AF164" s="12">
        <f>AVERAGE(All_India_Index_Upto_April23__1___1[[#This Row],[Cereals and products]:[Pan, tobacco and intoxicants]])</f>
        <v>137.16428571428574</v>
      </c>
      <c r="AG164" s="12">
        <f>AVERAGE(All_India_Index_Upto_April23__1___1[[#This Row],[Household goods and services]],All_India_Index_Upto_April23__1___1[[#This Row],[Housing]])</f>
        <v>137.6854838709678</v>
      </c>
      <c r="AH164" s="12">
        <f>AVERAGE(All_India_Index_Upto_April23__1___1[[#This Row],[Miscellaneous]],All_India_Index_Upto_April23__1___1[[#This Row],[Personal care and effects]],All_India_Index_Upto_April23__1___1[[#This Row],[Education]],All_India_Index_Upto_April23__1___1[[#This Row],[Recreation and amusement]])</f>
        <v>130.55000000000001</v>
      </c>
      <c r="AI164" s="12">
        <f>SUM(All_India_Index_Upto_April23__1___1[[#This Row],[Cereals and products]:[Pan, tobacco and intoxicants]])</f>
        <v>1920.3000000000002</v>
      </c>
      <c r="AJ164" s="12">
        <f>SUM(All_India_Index_Upto_April23__1___1[[#This Row],[Household goods and services]],All_India_Index_Upto_April23__1___1[[#This Row],[Housing]])</f>
        <v>275.3709677419356</v>
      </c>
      <c r="AK164" s="12">
        <f>All_India_Index_Upto_April23__1___1[[#This Row],[Clothing]]+All_India_Index_Upto_April23__1___1[[#This Row],[Footwear]]</f>
        <v>282.39999999999998</v>
      </c>
      <c r="AL164" s="12">
        <f>All_India_Index_Upto_April23__1___1[[#This Row],[Miscellaneous]]+All_India_Index_Upto_April23__1___1[[#This Row],[Personal care and effects]]+All_India_Index_Upto_April23__1___1[[#This Row],[Education]]+All_India_Index_Upto_April23__1___1[[#This Row],[Recreation and amusement]]</f>
        <v>522.20000000000005</v>
      </c>
      <c r="AM16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3386.7709677419357</v>
      </c>
    </row>
    <row r="165" spans="1:39" hidden="1" x14ac:dyDescent="0.3">
      <c r="A165" t="s">
        <v>32</v>
      </c>
      <c r="B165">
        <v>2017</v>
      </c>
      <c r="C165" t="s">
        <v>39</v>
      </c>
      <c r="D165" t="str">
        <f t="shared" si="2"/>
        <v>Jul-17</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c r="AF165" s="12">
        <f>AVERAGE(All_India_Index_Upto_April23__1___1[[#This Row],[Cereals and products]:[Pan, tobacco and intoxicants]])</f>
        <v>137.04285714285714</v>
      </c>
      <c r="AG165" s="12">
        <f>AVERAGE(All_India_Index_Upto_April23__1___1[[#This Row],[Household goods and services]],All_India_Index_Upto_April23__1___1[[#This Row],[Housing]])</f>
        <v>129.9</v>
      </c>
      <c r="AH165" s="12">
        <f>AVERAGE(All_India_Index_Upto_April23__1___1[[#This Row],[Miscellaneous]],All_India_Index_Upto_April23__1___1[[#This Row],[Personal care and effects]],All_India_Index_Upto_April23__1___1[[#This Row],[Education]],All_India_Index_Upto_April23__1___1[[#This Row],[Recreation and amusement]])</f>
        <v>126.1</v>
      </c>
      <c r="AI165" s="12">
        <f>SUM(All_India_Index_Upto_April23__1___1[[#This Row],[Cereals and products]:[Pan, tobacco and intoxicants]])</f>
        <v>1918.6</v>
      </c>
      <c r="AJ165" s="12">
        <f>SUM(All_India_Index_Upto_April23__1___1[[#This Row],[Household goods and services]],All_India_Index_Upto_April23__1___1[[#This Row],[Housing]])</f>
        <v>259.8</v>
      </c>
      <c r="AK165" s="12">
        <f>All_India_Index_Upto_April23__1___1[[#This Row],[Clothing]]+All_India_Index_Upto_April23__1___1[[#This Row],[Footwear]]</f>
        <v>255.3</v>
      </c>
      <c r="AL165" s="12">
        <f>All_India_Index_Upto_April23__1___1[[#This Row],[Miscellaneous]]+All_India_Index_Upto_April23__1___1[[#This Row],[Personal care and effects]]+All_India_Index_Upto_April23__1___1[[#This Row],[Education]]+All_India_Index_Upto_April23__1___1[[#This Row],[Recreation and amusement]]</f>
        <v>504.4</v>
      </c>
      <c r="AM16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3295.9999999999995</v>
      </c>
    </row>
    <row r="166" spans="1:39" hidden="1" x14ac:dyDescent="0.3">
      <c r="A166" t="s">
        <v>33</v>
      </c>
      <c r="B166">
        <v>2017</v>
      </c>
      <c r="C166" t="s">
        <v>39</v>
      </c>
      <c r="D166" t="str">
        <f t="shared" si="2"/>
        <v>Jul-17</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c r="AF166" s="12">
        <f>AVERAGE(All_India_Index_Upto_April23__1___1[[#This Row],[Cereals and products]:[Pan, tobacco and intoxicants]])</f>
        <v>136.97142857142856</v>
      </c>
      <c r="AG166" s="12">
        <f>AVERAGE(All_India_Index_Upto_April23__1___1[[#This Row],[Household goods and services]],All_India_Index_Upto_April23__1___1[[#This Row],[Housing]])</f>
        <v>132.25</v>
      </c>
      <c r="AH166" s="12">
        <f>AVERAGE(All_India_Index_Upto_April23__1___1[[#This Row],[Miscellaneous]],All_India_Index_Upto_April23__1___1[[#This Row],[Personal care and effects]],All_India_Index_Upto_April23__1___1[[#This Row],[Education]],All_India_Index_Upto_April23__1___1[[#This Row],[Recreation and amusement]])</f>
        <v>128.22499999999999</v>
      </c>
      <c r="AI166" s="12">
        <f>SUM(All_India_Index_Upto_April23__1___1[[#This Row],[Cereals and products]:[Pan, tobacco and intoxicants]])</f>
        <v>1917.6</v>
      </c>
      <c r="AJ166" s="12">
        <f>SUM(All_India_Index_Upto_April23__1___1[[#This Row],[Household goods and services]],All_India_Index_Upto_April23__1___1[[#This Row],[Housing]])</f>
        <v>264.5</v>
      </c>
      <c r="AK166" s="12">
        <f>All_India_Index_Upto_April23__1___1[[#This Row],[Clothing]]+All_India_Index_Upto_April23__1___1[[#This Row],[Footwear]]</f>
        <v>271.39999999999998</v>
      </c>
      <c r="AL166" s="12">
        <f>All_India_Index_Upto_April23__1___1[[#This Row],[Miscellaneous]]+All_India_Index_Upto_April23__1___1[[#This Row],[Personal care and effects]]+All_India_Index_Upto_April23__1___1[[#This Row],[Education]]+All_India_Index_Upto_April23__1___1[[#This Row],[Recreation and amusement]]</f>
        <v>512.9</v>
      </c>
      <c r="AM16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3341.2</v>
      </c>
    </row>
    <row r="167" spans="1:39" hidden="1" x14ac:dyDescent="0.3">
      <c r="A167" t="s">
        <v>30</v>
      </c>
      <c r="B167">
        <v>2017</v>
      </c>
      <c r="C167" t="s">
        <v>40</v>
      </c>
      <c r="D167" t="str">
        <f t="shared" si="2"/>
        <v>Aug-17</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s="12">
        <f>'Handle Missing Value Sheet only'!$F$5</f>
        <v>139.27096774193564</v>
      </c>
      <c r="W167">
        <v>136.4</v>
      </c>
      <c r="X167">
        <v>137.30000000000001</v>
      </c>
      <c r="Y167">
        <v>133</v>
      </c>
      <c r="Z167">
        <v>120.3</v>
      </c>
      <c r="AA167">
        <v>131.5</v>
      </c>
      <c r="AB167">
        <v>140.19999999999999</v>
      </c>
      <c r="AC167">
        <v>125.4</v>
      </c>
      <c r="AD167">
        <v>129.69999999999999</v>
      </c>
      <c r="AE167">
        <v>137.80000000000001</v>
      </c>
      <c r="AF167" s="12">
        <f>AVERAGE(All_India_Index_Upto_April23__1___1[[#This Row],[Cereals and products]:[Pan, tobacco and intoxicants]])</f>
        <v>138.67857142857142</v>
      </c>
      <c r="AG167" s="12">
        <f>AVERAGE(All_India_Index_Upto_April23__1___1[[#This Row],[Household goods and services]],All_India_Index_Upto_April23__1___1[[#This Row],[Housing]])</f>
        <v>138.28548387096782</v>
      </c>
      <c r="AH167" s="12">
        <f>AVERAGE(All_India_Index_Upto_April23__1___1[[#This Row],[Miscellaneous]],All_India_Index_Upto_April23__1___1[[#This Row],[Personal care and effects]],All_India_Index_Upto_April23__1___1[[#This Row],[Education]],All_India_Index_Upto_April23__1___1[[#This Row],[Recreation and amusement]])</f>
        <v>131.69999999999999</v>
      </c>
      <c r="AI167" s="12">
        <f>SUM(All_India_Index_Upto_April23__1___1[[#This Row],[Cereals and products]:[Pan, tobacco and intoxicants]])</f>
        <v>1941.4999999999998</v>
      </c>
      <c r="AJ167" s="12">
        <f>SUM(All_India_Index_Upto_April23__1___1[[#This Row],[Household goods and services]],All_India_Index_Upto_April23__1___1[[#This Row],[Housing]])</f>
        <v>276.57096774193565</v>
      </c>
      <c r="AK167" s="12">
        <f>All_India_Index_Upto_April23__1___1[[#This Row],[Clothing]]+All_India_Index_Upto_April23__1___1[[#This Row],[Footwear]]</f>
        <v>284.5</v>
      </c>
      <c r="AL167" s="12">
        <f>All_India_Index_Upto_April23__1___1[[#This Row],[Miscellaneous]]+All_India_Index_Upto_April23__1___1[[#This Row],[Personal care and effects]]+All_India_Index_Upto_April23__1___1[[#This Row],[Education]]+All_India_Index_Upto_April23__1___1[[#This Row],[Recreation and amusement]]</f>
        <v>526.79999999999995</v>
      </c>
      <c r="AM16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3419.0709677419359</v>
      </c>
    </row>
    <row r="168" spans="1:39" hidden="1" x14ac:dyDescent="0.3">
      <c r="A168" t="s">
        <v>32</v>
      </c>
      <c r="B168">
        <v>2017</v>
      </c>
      <c r="C168" t="s">
        <v>40</v>
      </c>
      <c r="D168" t="str">
        <f t="shared" si="2"/>
        <v>Aug-17</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c r="AF168" s="12">
        <f>AVERAGE(All_India_Index_Upto_April23__1___1[[#This Row],[Cereals and products]:[Pan, tobacco and intoxicants]])</f>
        <v>137.50714285714284</v>
      </c>
      <c r="AG168" s="12">
        <f>AVERAGE(All_India_Index_Upto_April23__1___1[[#This Row],[Household goods and services]],All_India_Index_Upto_April23__1___1[[#This Row],[Housing]])</f>
        <v>131.05000000000001</v>
      </c>
      <c r="AH168" s="12">
        <f>AVERAGE(All_India_Index_Upto_April23__1___1[[#This Row],[Miscellaneous]],All_India_Index_Upto_April23__1___1[[#This Row],[Personal care and effects]],All_India_Index_Upto_April23__1___1[[#This Row],[Education]],All_India_Index_Upto_April23__1___1[[#This Row],[Recreation and amusement]])</f>
        <v>126.72499999999999</v>
      </c>
      <c r="AI168" s="12">
        <f>SUM(All_India_Index_Upto_April23__1___1[[#This Row],[Cereals and products]:[Pan, tobacco and intoxicants]])</f>
        <v>1925.0999999999997</v>
      </c>
      <c r="AJ168" s="12">
        <f>SUM(All_India_Index_Upto_April23__1___1[[#This Row],[Household goods and services]],All_India_Index_Upto_April23__1___1[[#This Row],[Housing]])</f>
        <v>262.10000000000002</v>
      </c>
      <c r="AK168" s="12">
        <f>All_India_Index_Upto_April23__1___1[[#This Row],[Clothing]]+All_India_Index_Upto_April23__1___1[[#This Row],[Footwear]]</f>
        <v>257</v>
      </c>
      <c r="AL168" s="12">
        <f>All_India_Index_Upto_April23__1___1[[#This Row],[Miscellaneous]]+All_India_Index_Upto_April23__1___1[[#This Row],[Personal care and effects]]+All_India_Index_Upto_April23__1___1[[#This Row],[Education]]+All_India_Index_Upto_April23__1___1[[#This Row],[Recreation and amusement]]</f>
        <v>506.9</v>
      </c>
      <c r="AM16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3310.2999999999993</v>
      </c>
    </row>
    <row r="169" spans="1:39" hidden="1" x14ac:dyDescent="0.3">
      <c r="A169" t="s">
        <v>33</v>
      </c>
      <c r="B169">
        <v>2017</v>
      </c>
      <c r="C169" t="s">
        <v>40</v>
      </c>
      <c r="D169" t="str">
        <f t="shared" si="2"/>
        <v>Aug-17</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c r="AF169" s="12">
        <f>AVERAGE(All_India_Index_Upto_April23__1___1[[#This Row],[Cereals and products]:[Pan, tobacco and intoxicants]])</f>
        <v>138.1142857142857</v>
      </c>
      <c r="AG169" s="12">
        <f>AVERAGE(All_India_Index_Upto_April23__1___1[[#This Row],[Household goods and services]],All_India_Index_Upto_April23__1___1[[#This Row],[Housing]])</f>
        <v>133.60000000000002</v>
      </c>
      <c r="AH169" s="12">
        <f>AVERAGE(All_India_Index_Upto_April23__1___1[[#This Row],[Miscellaneous]],All_India_Index_Upto_April23__1___1[[#This Row],[Personal care and effects]],All_India_Index_Upto_April23__1___1[[#This Row],[Education]],All_India_Index_Upto_April23__1___1[[#This Row],[Recreation and amusement]])</f>
        <v>129.04999999999998</v>
      </c>
      <c r="AI169" s="12">
        <f>SUM(All_India_Index_Upto_April23__1___1[[#This Row],[Cereals and products]:[Pan, tobacco and intoxicants]])</f>
        <v>1933.6</v>
      </c>
      <c r="AJ169" s="12">
        <f>SUM(All_India_Index_Upto_April23__1___1[[#This Row],[Household goods and services]],All_India_Index_Upto_April23__1___1[[#This Row],[Housing]])</f>
        <v>267.20000000000005</v>
      </c>
      <c r="AK169" s="12">
        <f>All_India_Index_Upto_April23__1___1[[#This Row],[Clothing]]+All_India_Index_Upto_April23__1___1[[#This Row],[Footwear]]</f>
        <v>273.3</v>
      </c>
      <c r="AL169" s="12">
        <f>All_India_Index_Upto_April23__1___1[[#This Row],[Miscellaneous]]+All_India_Index_Upto_April23__1___1[[#This Row],[Personal care and effects]]+All_India_Index_Upto_April23__1___1[[#This Row],[Education]]+All_India_Index_Upto_April23__1___1[[#This Row],[Recreation and amusement]]</f>
        <v>516.19999999999993</v>
      </c>
      <c r="AM16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3367.6000000000004</v>
      </c>
    </row>
    <row r="170" spans="1:39" hidden="1" x14ac:dyDescent="0.3">
      <c r="A170" t="s">
        <v>30</v>
      </c>
      <c r="B170">
        <v>2017</v>
      </c>
      <c r="C170" t="s">
        <v>41</v>
      </c>
      <c r="D170" t="str">
        <f t="shared" si="2"/>
        <v>Sep-17</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s="12">
        <f>'Handle Missing Value Sheet only'!$F$5</f>
        <v>139.27096774193564</v>
      </c>
      <c r="W170">
        <v>137.4</v>
      </c>
      <c r="X170">
        <v>137.9</v>
      </c>
      <c r="Y170">
        <v>133.4</v>
      </c>
      <c r="Z170">
        <v>121.2</v>
      </c>
      <c r="AA170">
        <v>132.30000000000001</v>
      </c>
      <c r="AB170">
        <v>139.6</v>
      </c>
      <c r="AC170">
        <v>126.7</v>
      </c>
      <c r="AD170">
        <v>130.30000000000001</v>
      </c>
      <c r="AE170">
        <v>137.6</v>
      </c>
      <c r="AF170" s="12">
        <f>AVERAGE(All_India_Index_Upto_April23__1___1[[#This Row],[Cereals and products]:[Pan, tobacco and intoxicants]])</f>
        <v>138.15</v>
      </c>
      <c r="AG170" s="12">
        <f>AVERAGE(All_India_Index_Upto_April23__1___1[[#This Row],[Household goods and services]],All_India_Index_Upto_April23__1___1[[#This Row],[Housing]])</f>
        <v>138.58548387096783</v>
      </c>
      <c r="AH170" s="12">
        <f>AVERAGE(All_India_Index_Upto_April23__1___1[[#This Row],[Miscellaneous]],All_India_Index_Upto_April23__1___1[[#This Row],[Personal care and effects]],All_India_Index_Upto_April23__1___1[[#This Row],[Education]],All_India_Index_Upto_April23__1___1[[#This Row],[Recreation and amusement]])</f>
        <v>132.22500000000002</v>
      </c>
      <c r="AI170" s="12">
        <f>SUM(All_India_Index_Upto_April23__1___1[[#This Row],[Cereals and products]:[Pan, tobacco and intoxicants]])</f>
        <v>1934.1</v>
      </c>
      <c r="AJ170" s="12">
        <f>SUM(All_India_Index_Upto_April23__1___1[[#This Row],[Household goods and services]],All_India_Index_Upto_April23__1___1[[#This Row],[Housing]])</f>
        <v>277.17096774193567</v>
      </c>
      <c r="AK170" s="12">
        <f>All_India_Index_Upto_April23__1___1[[#This Row],[Clothing]]+All_India_Index_Upto_April23__1___1[[#This Row],[Footwear]]</f>
        <v>285.79999999999995</v>
      </c>
      <c r="AL170" s="12">
        <f>All_India_Index_Upto_April23__1___1[[#This Row],[Miscellaneous]]+All_India_Index_Upto_April23__1___1[[#This Row],[Personal care and effects]]+All_India_Index_Upto_April23__1___1[[#This Row],[Education]]+All_India_Index_Upto_April23__1___1[[#This Row],[Recreation and amusement]]</f>
        <v>528.90000000000009</v>
      </c>
      <c r="AM17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3417.9709677419355</v>
      </c>
    </row>
    <row r="171" spans="1:39" hidden="1" x14ac:dyDescent="0.3">
      <c r="A171" t="s">
        <v>32</v>
      </c>
      <c r="B171">
        <v>2017</v>
      </c>
      <c r="C171" t="s">
        <v>41</v>
      </c>
      <c r="D171" t="str">
        <f t="shared" si="2"/>
        <v>Sep-17</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c r="AF171" s="12">
        <f>AVERAGE(All_India_Index_Upto_April23__1___1[[#This Row],[Cereals and products]:[Pan, tobacco and intoxicants]])</f>
        <v>135.94999999999999</v>
      </c>
      <c r="AG171" s="12">
        <f>AVERAGE(All_India_Index_Upto_April23__1___1[[#This Row],[Household goods and services]],All_India_Index_Upto_April23__1___1[[#This Row],[Housing]])</f>
        <v>131.89999999999998</v>
      </c>
      <c r="AH171" s="12">
        <f>AVERAGE(All_India_Index_Upto_April23__1___1[[#This Row],[Miscellaneous]],All_India_Index_Upto_April23__1___1[[#This Row],[Personal care and effects]],All_India_Index_Upto_April23__1___1[[#This Row],[Education]],All_India_Index_Upto_April23__1___1[[#This Row],[Recreation and amusement]])</f>
        <v>127.325</v>
      </c>
      <c r="AI171" s="12">
        <f>SUM(All_India_Index_Upto_April23__1___1[[#This Row],[Cereals and products]:[Pan, tobacco and intoxicants]])</f>
        <v>1903.3</v>
      </c>
      <c r="AJ171" s="12">
        <f>SUM(All_India_Index_Upto_April23__1___1[[#This Row],[Household goods and services]],All_India_Index_Upto_April23__1___1[[#This Row],[Housing]])</f>
        <v>263.79999999999995</v>
      </c>
      <c r="AK171" s="12">
        <f>All_India_Index_Upto_April23__1___1[[#This Row],[Clothing]]+All_India_Index_Upto_April23__1___1[[#This Row],[Footwear]]</f>
        <v>257.89999999999998</v>
      </c>
      <c r="AL171" s="12">
        <f>All_India_Index_Upto_April23__1___1[[#This Row],[Miscellaneous]]+All_India_Index_Upto_April23__1___1[[#This Row],[Personal care and effects]]+All_India_Index_Upto_April23__1___1[[#This Row],[Education]]+All_India_Index_Upto_April23__1___1[[#This Row],[Recreation and amusement]]</f>
        <v>509.3</v>
      </c>
      <c r="AM17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3296.7</v>
      </c>
    </row>
    <row r="172" spans="1:39" hidden="1" x14ac:dyDescent="0.3">
      <c r="A172" t="s">
        <v>33</v>
      </c>
      <c r="B172">
        <v>2017</v>
      </c>
      <c r="C172" t="s">
        <v>41</v>
      </c>
      <c r="D172" t="str">
        <f t="shared" si="2"/>
        <v>Sep-17</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c r="AF172" s="12">
        <f>AVERAGE(All_India_Index_Upto_April23__1___1[[#This Row],[Cereals and products]:[Pan, tobacco and intoxicants]])</f>
        <v>137.19999999999999</v>
      </c>
      <c r="AG172" s="12">
        <f>AVERAGE(All_India_Index_Upto_April23__1___1[[#This Row],[Household goods and services]],All_India_Index_Upto_April23__1___1[[#This Row],[Housing]])</f>
        <v>134.5</v>
      </c>
      <c r="AH172" s="12">
        <f>AVERAGE(All_India_Index_Upto_April23__1___1[[#This Row],[Miscellaneous]],All_India_Index_Upto_April23__1___1[[#This Row],[Personal care and effects]],All_India_Index_Upto_April23__1___1[[#This Row],[Education]],All_India_Index_Upto_April23__1___1[[#This Row],[Recreation and amusement]])</f>
        <v>129.625</v>
      </c>
      <c r="AI172" s="12">
        <f>SUM(All_India_Index_Upto_April23__1___1[[#This Row],[Cereals and products]:[Pan, tobacco and intoxicants]])</f>
        <v>1920.7999999999997</v>
      </c>
      <c r="AJ172" s="12">
        <f>SUM(All_India_Index_Upto_April23__1___1[[#This Row],[Household goods and services]],All_India_Index_Upto_April23__1___1[[#This Row],[Housing]])</f>
        <v>269</v>
      </c>
      <c r="AK172" s="12">
        <f>All_India_Index_Upto_April23__1___1[[#This Row],[Clothing]]+All_India_Index_Upto_April23__1___1[[#This Row],[Footwear]]</f>
        <v>274.5</v>
      </c>
      <c r="AL172" s="12">
        <f>All_India_Index_Upto_April23__1___1[[#This Row],[Miscellaneous]]+All_India_Index_Upto_April23__1___1[[#This Row],[Personal care and effects]]+All_India_Index_Upto_April23__1___1[[#This Row],[Education]]+All_India_Index_Upto_April23__1___1[[#This Row],[Recreation and amusement]]</f>
        <v>518.5</v>
      </c>
      <c r="AM17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3362.7</v>
      </c>
    </row>
    <row r="173" spans="1:39" hidden="1" x14ac:dyDescent="0.3">
      <c r="A173" t="s">
        <v>30</v>
      </c>
      <c r="B173">
        <v>2017</v>
      </c>
      <c r="C173" t="s">
        <v>42</v>
      </c>
      <c r="D173" t="str">
        <f t="shared" si="2"/>
        <v>Oct-17</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s="12">
        <f>'Handle Missing Value Sheet only'!$F$5</f>
        <v>139.27096774193564</v>
      </c>
      <c r="W173">
        <v>138.1</v>
      </c>
      <c r="X173">
        <v>138.4</v>
      </c>
      <c r="Y173">
        <v>134.19999999999999</v>
      </c>
      <c r="Z173">
        <v>121</v>
      </c>
      <c r="AA173">
        <v>133</v>
      </c>
      <c r="AB173">
        <v>140.1</v>
      </c>
      <c r="AC173">
        <v>127.4</v>
      </c>
      <c r="AD173">
        <v>130.69999999999999</v>
      </c>
      <c r="AE173">
        <v>138.30000000000001</v>
      </c>
      <c r="AF173" s="12">
        <f>AVERAGE(All_India_Index_Upto_April23__1___1[[#This Row],[Cereals and products]:[Pan, tobacco and intoxicants]])</f>
        <v>138.67142857142855</v>
      </c>
      <c r="AG173" s="12">
        <f>AVERAGE(All_India_Index_Upto_April23__1___1[[#This Row],[Household goods and services]],All_India_Index_Upto_April23__1___1[[#This Row],[Housing]])</f>
        <v>138.83548387096783</v>
      </c>
      <c r="AH173" s="12">
        <f>AVERAGE(All_India_Index_Upto_April23__1___1[[#This Row],[Miscellaneous]],All_India_Index_Upto_April23__1___1[[#This Row],[Personal care and effects]],All_India_Index_Upto_April23__1___1[[#This Row],[Education]],All_India_Index_Upto_April23__1___1[[#This Row],[Recreation and amusement]])</f>
        <v>132.80000000000001</v>
      </c>
      <c r="AI173" s="12">
        <f>SUM(All_India_Index_Upto_April23__1___1[[#This Row],[Cereals and products]:[Pan, tobacco and intoxicants]])</f>
        <v>1941.3999999999999</v>
      </c>
      <c r="AJ173" s="12">
        <f>SUM(All_India_Index_Upto_April23__1___1[[#This Row],[Household goods and services]],All_India_Index_Upto_April23__1___1[[#This Row],[Housing]])</f>
        <v>277.67096774193567</v>
      </c>
      <c r="AK173" s="12">
        <f>All_India_Index_Upto_April23__1___1[[#This Row],[Clothing]]+All_India_Index_Upto_April23__1___1[[#This Row],[Footwear]]</f>
        <v>287.79999999999995</v>
      </c>
      <c r="AL173" s="12">
        <f>All_India_Index_Upto_April23__1___1[[#This Row],[Miscellaneous]]+All_India_Index_Upto_April23__1___1[[#This Row],[Personal care and effects]]+All_India_Index_Upto_April23__1___1[[#This Row],[Education]]+All_India_Index_Upto_April23__1___1[[#This Row],[Recreation and amusement]]</f>
        <v>531.20000000000005</v>
      </c>
      <c r="AM17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3431.3709677419351</v>
      </c>
    </row>
    <row r="174" spans="1:39" hidden="1" x14ac:dyDescent="0.3">
      <c r="A174" t="s">
        <v>32</v>
      </c>
      <c r="B174">
        <v>2017</v>
      </c>
      <c r="C174" t="s">
        <v>42</v>
      </c>
      <c r="D174" t="str">
        <f t="shared" si="2"/>
        <v>Oct-17</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c r="AF174" s="12">
        <f>AVERAGE(All_India_Index_Upto_April23__1___1[[#This Row],[Cereals and products]:[Pan, tobacco and intoxicants]])</f>
        <v>137.16428571428568</v>
      </c>
      <c r="AG174" s="12">
        <f>AVERAGE(All_India_Index_Upto_April23__1___1[[#This Row],[Household goods and services]],All_India_Index_Upto_April23__1___1[[#This Row],[Housing]])</f>
        <v>132.80000000000001</v>
      </c>
      <c r="AH174" s="12">
        <f>AVERAGE(All_India_Index_Upto_April23__1___1[[#This Row],[Miscellaneous]],All_India_Index_Upto_April23__1___1[[#This Row],[Personal care and effects]],All_India_Index_Upto_April23__1___1[[#This Row],[Education]],All_India_Index_Upto_April23__1___1[[#This Row],[Recreation and amusement]])</f>
        <v>127.55</v>
      </c>
      <c r="AI174" s="12">
        <f>SUM(All_India_Index_Upto_April23__1___1[[#This Row],[Cereals and products]:[Pan, tobacco and intoxicants]])</f>
        <v>1920.2999999999997</v>
      </c>
      <c r="AJ174" s="12">
        <f>SUM(All_India_Index_Upto_April23__1___1[[#This Row],[Household goods and services]],All_India_Index_Upto_April23__1___1[[#This Row],[Housing]])</f>
        <v>265.60000000000002</v>
      </c>
      <c r="AK174" s="12">
        <f>All_India_Index_Upto_April23__1___1[[#This Row],[Clothing]]+All_India_Index_Upto_April23__1___1[[#This Row],[Footwear]]</f>
        <v>258.89999999999998</v>
      </c>
      <c r="AL174" s="12">
        <f>All_India_Index_Upto_April23__1___1[[#This Row],[Miscellaneous]]+All_India_Index_Upto_April23__1___1[[#This Row],[Personal care and effects]]+All_India_Index_Upto_April23__1___1[[#This Row],[Education]]+All_India_Index_Upto_April23__1___1[[#This Row],[Recreation and amusement]]</f>
        <v>510.2</v>
      </c>
      <c r="AM17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3319.1999999999994</v>
      </c>
    </row>
    <row r="175" spans="1:39" hidden="1" x14ac:dyDescent="0.3">
      <c r="A175" t="s">
        <v>33</v>
      </c>
      <c r="B175">
        <v>2017</v>
      </c>
      <c r="C175" t="s">
        <v>42</v>
      </c>
      <c r="D175" t="str">
        <f t="shared" si="2"/>
        <v>Oct-17</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c r="AF175" s="12">
        <f>AVERAGE(All_India_Index_Upto_April23__1___1[[#This Row],[Cereals and products]:[Pan, tobacco and intoxicants]])</f>
        <v>137.94999999999999</v>
      </c>
      <c r="AG175" s="12">
        <f>AVERAGE(All_India_Index_Upto_April23__1___1[[#This Row],[Household goods and services]],All_India_Index_Upto_April23__1___1[[#This Row],[Housing]])</f>
        <v>135.44999999999999</v>
      </c>
      <c r="AH175" s="12">
        <f>AVERAGE(All_India_Index_Upto_April23__1___1[[#This Row],[Miscellaneous]],All_India_Index_Upto_April23__1___1[[#This Row],[Personal care and effects]],All_India_Index_Upto_April23__1___1[[#This Row],[Education]],All_India_Index_Upto_April23__1___1[[#This Row],[Recreation and amusement]])</f>
        <v>130.05000000000001</v>
      </c>
      <c r="AI175" s="12">
        <f>SUM(All_India_Index_Upto_April23__1___1[[#This Row],[Cereals and products]:[Pan, tobacco and intoxicants]])</f>
        <v>1931.2999999999997</v>
      </c>
      <c r="AJ175" s="12">
        <f>SUM(All_India_Index_Upto_April23__1___1[[#This Row],[Household goods and services]],All_India_Index_Upto_April23__1___1[[#This Row],[Housing]])</f>
        <v>270.89999999999998</v>
      </c>
      <c r="AK175" s="12">
        <f>All_India_Index_Upto_April23__1___1[[#This Row],[Clothing]]+All_India_Index_Upto_April23__1___1[[#This Row],[Footwear]]</f>
        <v>276.10000000000002</v>
      </c>
      <c r="AL175" s="12">
        <f>All_India_Index_Upto_April23__1___1[[#This Row],[Miscellaneous]]+All_India_Index_Upto_April23__1___1[[#This Row],[Personal care and effects]]+All_India_Index_Upto_April23__1___1[[#This Row],[Education]]+All_India_Index_Upto_April23__1___1[[#This Row],[Recreation and amusement]]</f>
        <v>520.20000000000005</v>
      </c>
      <c r="AM17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3379.8</v>
      </c>
    </row>
    <row r="176" spans="1:39" hidden="1" x14ac:dyDescent="0.3">
      <c r="A176" t="s">
        <v>30</v>
      </c>
      <c r="B176">
        <v>2017</v>
      </c>
      <c r="C176" t="s">
        <v>44</v>
      </c>
      <c r="D176" t="str">
        <f t="shared" si="2"/>
        <v>Nov-17</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s="12">
        <f>'Handle Missing Value Sheet only'!$F$5</f>
        <v>139.27096774193564</v>
      </c>
      <c r="W176">
        <v>141.1</v>
      </c>
      <c r="X176">
        <v>139.4</v>
      </c>
      <c r="Y176">
        <v>135.80000000000001</v>
      </c>
      <c r="Z176">
        <v>121.6</v>
      </c>
      <c r="AA176">
        <v>133.69999999999999</v>
      </c>
      <c r="AB176">
        <v>141.5</v>
      </c>
      <c r="AC176">
        <v>128.1</v>
      </c>
      <c r="AD176">
        <v>131.69999999999999</v>
      </c>
      <c r="AE176">
        <v>140</v>
      </c>
      <c r="AF176" s="12">
        <f>AVERAGE(All_India_Index_Upto_April23__1___1[[#This Row],[Cereals and products]:[Pan, tobacco and intoxicants]])</f>
        <v>140.70000000000002</v>
      </c>
      <c r="AG176" s="12">
        <f>AVERAGE(All_India_Index_Upto_April23__1___1[[#This Row],[Household goods and services]],All_India_Index_Upto_April23__1___1[[#This Row],[Housing]])</f>
        <v>139.33548387096783</v>
      </c>
      <c r="AH176" s="12">
        <f>AVERAGE(All_India_Index_Upto_April23__1___1[[#This Row],[Miscellaneous]],All_India_Index_Upto_April23__1___1[[#This Row],[Personal care and effects]],All_India_Index_Upto_April23__1___1[[#This Row],[Education]],All_India_Index_Upto_April23__1___1[[#This Row],[Recreation and amusement]])</f>
        <v>133.75</v>
      </c>
      <c r="AI176" s="12">
        <f>SUM(All_India_Index_Upto_April23__1___1[[#This Row],[Cereals and products]:[Pan, tobacco and intoxicants]])</f>
        <v>1969.8000000000002</v>
      </c>
      <c r="AJ176" s="12">
        <f>SUM(All_India_Index_Upto_April23__1___1[[#This Row],[Household goods and services]],All_India_Index_Upto_April23__1___1[[#This Row],[Housing]])</f>
        <v>278.67096774193567</v>
      </c>
      <c r="AK176" s="12">
        <f>All_India_Index_Upto_April23__1___1[[#This Row],[Clothing]]+All_India_Index_Upto_April23__1___1[[#This Row],[Footwear]]</f>
        <v>289.7</v>
      </c>
      <c r="AL176" s="12">
        <f>All_India_Index_Upto_April23__1___1[[#This Row],[Miscellaneous]]+All_India_Index_Upto_April23__1___1[[#This Row],[Personal care and effects]]+All_India_Index_Upto_April23__1___1[[#This Row],[Education]]+All_India_Index_Upto_April23__1___1[[#This Row],[Recreation and amusement]]</f>
        <v>535</v>
      </c>
      <c r="AM17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3471.6709677419358</v>
      </c>
    </row>
    <row r="177" spans="1:39" hidden="1" x14ac:dyDescent="0.3">
      <c r="A177" t="s">
        <v>32</v>
      </c>
      <c r="B177">
        <v>2017</v>
      </c>
      <c r="C177" t="s">
        <v>44</v>
      </c>
      <c r="D177" t="str">
        <f t="shared" si="2"/>
        <v>Nov-17</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c r="AF177" s="12">
        <f>AVERAGE(All_India_Index_Upto_April23__1___1[[#This Row],[Cereals and products]:[Pan, tobacco and intoxicants]])</f>
        <v>139.49285714285716</v>
      </c>
      <c r="AG177" s="12">
        <f>AVERAGE(All_India_Index_Upto_April23__1___1[[#This Row],[Household goods and services]],All_India_Index_Upto_April23__1___1[[#This Row],[Housing]])</f>
        <v>133.69999999999999</v>
      </c>
      <c r="AH177" s="12">
        <f>AVERAGE(All_India_Index_Upto_April23__1___1[[#This Row],[Miscellaneous]],All_India_Index_Upto_April23__1___1[[#This Row],[Personal care and effects]],All_India_Index_Upto_April23__1___1[[#This Row],[Education]],All_India_Index_Upto_April23__1___1[[#This Row],[Recreation and amusement]])</f>
        <v>127.875</v>
      </c>
      <c r="AI177" s="12">
        <f>SUM(All_India_Index_Upto_April23__1___1[[#This Row],[Cereals and products]:[Pan, tobacco and intoxicants]])</f>
        <v>1952.9</v>
      </c>
      <c r="AJ177" s="12">
        <f>SUM(All_India_Index_Upto_April23__1___1[[#This Row],[Household goods and services]],All_India_Index_Upto_April23__1___1[[#This Row],[Housing]])</f>
        <v>267.39999999999998</v>
      </c>
      <c r="AK177" s="12">
        <f>All_India_Index_Upto_April23__1___1[[#This Row],[Clothing]]+All_India_Index_Upto_April23__1___1[[#This Row],[Footwear]]</f>
        <v>260.39999999999998</v>
      </c>
      <c r="AL177" s="12">
        <f>All_India_Index_Upto_April23__1___1[[#This Row],[Miscellaneous]]+All_India_Index_Upto_April23__1___1[[#This Row],[Personal care and effects]]+All_India_Index_Upto_April23__1___1[[#This Row],[Education]]+All_India_Index_Upto_April23__1___1[[#This Row],[Recreation and amusement]]</f>
        <v>511.5</v>
      </c>
      <c r="AM17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3360.6</v>
      </c>
    </row>
    <row r="178" spans="1:39" hidden="1" x14ac:dyDescent="0.3">
      <c r="A178" t="s">
        <v>33</v>
      </c>
      <c r="B178">
        <v>2017</v>
      </c>
      <c r="C178" t="s">
        <v>44</v>
      </c>
      <c r="D178" t="str">
        <f t="shared" si="2"/>
        <v>Nov-17</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c r="AF178" s="12">
        <f>AVERAGE(All_India_Index_Upto_April23__1___1[[#This Row],[Cereals and products]:[Pan, tobacco and intoxicants]])</f>
        <v>140.1</v>
      </c>
      <c r="AG178" s="12">
        <f>AVERAGE(All_India_Index_Upto_April23__1___1[[#This Row],[Household goods and services]],All_India_Index_Upto_April23__1___1[[#This Row],[Housing]])</f>
        <v>136.5</v>
      </c>
      <c r="AH178" s="12">
        <f>AVERAGE(All_India_Index_Upto_April23__1___1[[#This Row],[Miscellaneous]],All_India_Index_Upto_April23__1___1[[#This Row],[Personal care and effects]],All_India_Index_Upto_April23__1___1[[#This Row],[Education]],All_India_Index_Upto_April23__1___1[[#This Row],[Recreation and amusement]])</f>
        <v>130.67499999999998</v>
      </c>
      <c r="AI178" s="12">
        <f>SUM(All_India_Index_Upto_April23__1___1[[#This Row],[Cereals and products]:[Pan, tobacco and intoxicants]])</f>
        <v>1961.4</v>
      </c>
      <c r="AJ178" s="12">
        <f>SUM(All_India_Index_Upto_April23__1___1[[#This Row],[Household goods and services]],All_India_Index_Upto_April23__1___1[[#This Row],[Housing]])</f>
        <v>273</v>
      </c>
      <c r="AK178" s="12">
        <f>All_India_Index_Upto_April23__1___1[[#This Row],[Clothing]]+All_India_Index_Upto_April23__1___1[[#This Row],[Footwear]]</f>
        <v>277.8</v>
      </c>
      <c r="AL178" s="12">
        <f>All_India_Index_Upto_April23__1___1[[#This Row],[Miscellaneous]]+All_India_Index_Upto_April23__1___1[[#This Row],[Personal care and effects]]+All_India_Index_Upto_April23__1___1[[#This Row],[Education]]+All_India_Index_Upto_April23__1___1[[#This Row],[Recreation and amusement]]</f>
        <v>522.69999999999993</v>
      </c>
      <c r="AM17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3421.1000000000004</v>
      </c>
    </row>
    <row r="179" spans="1:39" hidden="1" x14ac:dyDescent="0.3">
      <c r="A179" t="s">
        <v>30</v>
      </c>
      <c r="B179">
        <v>2017</v>
      </c>
      <c r="C179" t="s">
        <v>45</v>
      </c>
      <c r="D179" t="str">
        <f t="shared" si="2"/>
        <v>Dec-17</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s="12">
        <f>'Handle Missing Value Sheet only'!$F$5</f>
        <v>139.27096774193564</v>
      </c>
      <c r="W179">
        <v>142.6</v>
      </c>
      <c r="X179">
        <v>139.5</v>
      </c>
      <c r="Y179">
        <v>136.1</v>
      </c>
      <c r="Z179">
        <v>122</v>
      </c>
      <c r="AA179">
        <v>133.4</v>
      </c>
      <c r="AB179">
        <v>141.1</v>
      </c>
      <c r="AC179">
        <v>127.8</v>
      </c>
      <c r="AD179">
        <v>131.9</v>
      </c>
      <c r="AE179">
        <v>139.80000000000001</v>
      </c>
      <c r="AF179" s="12">
        <f>AVERAGE(All_India_Index_Upto_April23__1___1[[#This Row],[Cereals and products]:[Pan, tobacco and intoxicants]])</f>
        <v>140.48571428571429</v>
      </c>
      <c r="AG179" s="12">
        <f>AVERAGE(All_India_Index_Upto_April23__1___1[[#This Row],[Household goods and services]],All_India_Index_Upto_April23__1___1[[#This Row],[Housing]])</f>
        <v>139.38548387096782</v>
      </c>
      <c r="AH179" s="12">
        <f>AVERAGE(All_India_Index_Upto_April23__1___1[[#This Row],[Miscellaneous]],All_India_Index_Upto_April23__1___1[[#This Row],[Personal care and effects]],All_India_Index_Upto_April23__1___1[[#This Row],[Education]],All_India_Index_Upto_April23__1___1[[#This Row],[Recreation and amusement]])</f>
        <v>133.54999999999998</v>
      </c>
      <c r="AI179" s="12">
        <f>SUM(All_India_Index_Upto_April23__1___1[[#This Row],[Cereals and products]:[Pan, tobacco and intoxicants]])</f>
        <v>1966.8000000000002</v>
      </c>
      <c r="AJ179" s="12">
        <f>SUM(All_India_Index_Upto_April23__1___1[[#This Row],[Household goods and services]],All_India_Index_Upto_April23__1___1[[#This Row],[Housing]])</f>
        <v>278.77096774193564</v>
      </c>
      <c r="AK179" s="12">
        <f>All_India_Index_Upto_April23__1___1[[#This Row],[Clothing]]+All_India_Index_Upto_April23__1___1[[#This Row],[Footwear]]</f>
        <v>289.89999999999998</v>
      </c>
      <c r="AL179" s="12">
        <f>All_India_Index_Upto_April23__1___1[[#This Row],[Miscellaneous]]+All_India_Index_Upto_April23__1___1[[#This Row],[Personal care and effects]]+All_India_Index_Upto_April23__1___1[[#This Row],[Education]]+All_India_Index_Upto_April23__1___1[[#This Row],[Recreation and amusement]]</f>
        <v>534.19999999999993</v>
      </c>
      <c r="AM17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3470.3709677419356</v>
      </c>
    </row>
    <row r="180" spans="1:39" hidden="1" x14ac:dyDescent="0.3">
      <c r="A180" t="s">
        <v>32</v>
      </c>
      <c r="B180">
        <v>2017</v>
      </c>
      <c r="C180" t="s">
        <v>45</v>
      </c>
      <c r="D180" t="str">
        <f t="shared" si="2"/>
        <v>Dec-17</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c r="AF180" s="12">
        <f>AVERAGE(All_India_Index_Upto_April23__1___1[[#This Row],[Cereals and products]:[Pan, tobacco and intoxicants]])</f>
        <v>137.46428571428572</v>
      </c>
      <c r="AG180" s="12">
        <f>AVERAGE(All_India_Index_Upto_April23__1___1[[#This Row],[Household goods and services]],All_India_Index_Upto_April23__1___1[[#This Row],[Housing]])</f>
        <v>134.19999999999999</v>
      </c>
      <c r="AH180" s="12">
        <f>AVERAGE(All_India_Index_Upto_April23__1___1[[#This Row],[Miscellaneous]],All_India_Index_Upto_April23__1___1[[#This Row],[Personal care and effects]],All_India_Index_Upto_April23__1___1[[#This Row],[Education]],All_India_Index_Upto_April23__1___1[[#This Row],[Recreation and amusement]])</f>
        <v>128</v>
      </c>
      <c r="AI180" s="12">
        <f>SUM(All_India_Index_Upto_April23__1___1[[#This Row],[Cereals and products]:[Pan, tobacco and intoxicants]])</f>
        <v>1924.5</v>
      </c>
      <c r="AJ180" s="12">
        <f>SUM(All_India_Index_Upto_April23__1___1[[#This Row],[Household goods and services]],All_India_Index_Upto_April23__1___1[[#This Row],[Housing]])</f>
        <v>268.39999999999998</v>
      </c>
      <c r="AK180" s="12">
        <f>All_India_Index_Upto_April23__1___1[[#This Row],[Clothing]]+All_India_Index_Upto_April23__1___1[[#This Row],[Footwear]]</f>
        <v>261.2</v>
      </c>
      <c r="AL180" s="12">
        <f>All_India_Index_Upto_April23__1___1[[#This Row],[Miscellaneous]]+All_India_Index_Upto_April23__1___1[[#This Row],[Personal care and effects]]+All_India_Index_Upto_April23__1___1[[#This Row],[Education]]+All_India_Index_Upto_April23__1___1[[#This Row],[Recreation and amusement]]</f>
        <v>512</v>
      </c>
      <c r="AM18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3336.4</v>
      </c>
    </row>
    <row r="181" spans="1:39" hidden="1" x14ac:dyDescent="0.3">
      <c r="A181" t="s">
        <v>33</v>
      </c>
      <c r="B181">
        <v>2017</v>
      </c>
      <c r="C181" t="s">
        <v>45</v>
      </c>
      <c r="D181" t="str">
        <f t="shared" si="2"/>
        <v>Dec-17</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c r="AF181" s="12">
        <f>AVERAGE(All_India_Index_Upto_April23__1___1[[#This Row],[Cereals and products]:[Pan, tobacco and intoxicants]])</f>
        <v>139.22857142857143</v>
      </c>
      <c r="AG181" s="12">
        <f>AVERAGE(All_India_Index_Upto_April23__1___1[[#This Row],[Household goods and services]],All_India_Index_Upto_April23__1___1[[#This Row],[Housing]])</f>
        <v>136.89999999999998</v>
      </c>
      <c r="AH181" s="12">
        <f>AVERAGE(All_India_Index_Upto_April23__1___1[[#This Row],[Miscellaneous]],All_India_Index_Upto_April23__1___1[[#This Row],[Personal care and effects]],All_India_Index_Upto_April23__1___1[[#This Row],[Education]],All_India_Index_Upto_April23__1___1[[#This Row],[Recreation and amusement]])</f>
        <v>130.65</v>
      </c>
      <c r="AI181" s="12">
        <f>SUM(All_India_Index_Upto_April23__1___1[[#This Row],[Cereals and products]:[Pan, tobacco and intoxicants]])</f>
        <v>1949.1999999999998</v>
      </c>
      <c r="AJ181" s="12">
        <f>SUM(All_India_Index_Upto_April23__1___1[[#This Row],[Household goods and services]],All_India_Index_Upto_April23__1___1[[#This Row],[Housing]])</f>
        <v>273.79999999999995</v>
      </c>
      <c r="AK181" s="12">
        <f>All_India_Index_Upto_April23__1___1[[#This Row],[Clothing]]+All_India_Index_Upto_April23__1___1[[#This Row],[Footwear]]</f>
        <v>278.2</v>
      </c>
      <c r="AL181" s="12">
        <f>All_India_Index_Upto_April23__1___1[[#This Row],[Miscellaneous]]+All_India_Index_Upto_April23__1___1[[#This Row],[Personal care and effects]]+All_India_Index_Upto_April23__1___1[[#This Row],[Education]]+All_India_Index_Upto_April23__1___1[[#This Row],[Recreation and amusement]]</f>
        <v>522.6</v>
      </c>
      <c r="AM18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3411.9999999999995</v>
      </c>
    </row>
    <row r="182" spans="1:39" hidden="1" x14ac:dyDescent="0.3">
      <c r="A182" t="s">
        <v>30</v>
      </c>
      <c r="B182">
        <v>2018</v>
      </c>
      <c r="C182" t="s">
        <v>31</v>
      </c>
      <c r="D182" t="str">
        <f t="shared" si="2"/>
        <v>Jan-18</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s="12">
        <f>'Handle Missing Value Sheet only'!$F$5</f>
        <v>139.27096774193564</v>
      </c>
      <c r="W182">
        <v>142.30000000000001</v>
      </c>
      <c r="X182">
        <v>139.80000000000001</v>
      </c>
      <c r="Y182">
        <v>136</v>
      </c>
      <c r="Z182">
        <v>122.7</v>
      </c>
      <c r="AA182">
        <v>134.30000000000001</v>
      </c>
      <c r="AB182">
        <v>141.6</v>
      </c>
      <c r="AC182">
        <v>128.6</v>
      </c>
      <c r="AD182">
        <v>132.30000000000001</v>
      </c>
      <c r="AE182">
        <v>139.30000000000001</v>
      </c>
      <c r="AF182" s="12">
        <f>AVERAGE(All_India_Index_Upto_April23__1___1[[#This Row],[Cereals and products]:[Pan, tobacco and intoxicants]])</f>
        <v>139.59285714285713</v>
      </c>
      <c r="AG182" s="12">
        <f>AVERAGE(All_India_Index_Upto_April23__1___1[[#This Row],[Household goods and services]],All_India_Index_Upto_April23__1___1[[#This Row],[Housing]])</f>
        <v>139.53548387096782</v>
      </c>
      <c r="AH182" s="12">
        <f>AVERAGE(All_India_Index_Upto_April23__1___1[[#This Row],[Miscellaneous]],All_India_Index_Upto_April23__1___1[[#This Row],[Personal care and effects]],All_India_Index_Upto_April23__1___1[[#This Row],[Education]],All_India_Index_Upto_April23__1___1[[#This Row],[Recreation and amusement]])</f>
        <v>134.19999999999999</v>
      </c>
      <c r="AI182" s="12">
        <f>SUM(All_India_Index_Upto_April23__1___1[[#This Row],[Cereals and products]:[Pan, tobacco and intoxicants]])</f>
        <v>1954.3</v>
      </c>
      <c r="AJ182" s="12">
        <f>SUM(All_India_Index_Upto_April23__1___1[[#This Row],[Household goods and services]],All_India_Index_Upto_April23__1___1[[#This Row],[Housing]])</f>
        <v>279.07096774193565</v>
      </c>
      <c r="AK182" s="12">
        <f>All_India_Index_Upto_April23__1___1[[#This Row],[Clothing]]+All_India_Index_Upto_April23__1___1[[#This Row],[Footwear]]</f>
        <v>290.60000000000002</v>
      </c>
      <c r="AL182" s="12">
        <f>All_India_Index_Upto_April23__1___1[[#This Row],[Miscellaneous]]+All_India_Index_Upto_April23__1___1[[#This Row],[Personal care and effects]]+All_India_Index_Upto_April23__1___1[[#This Row],[Education]]+All_India_Index_Upto_April23__1___1[[#This Row],[Recreation and amusement]]</f>
        <v>536.79999999999995</v>
      </c>
      <c r="AM18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3461.7709677419352</v>
      </c>
    </row>
    <row r="183" spans="1:39" hidden="1" x14ac:dyDescent="0.3">
      <c r="A183" t="s">
        <v>32</v>
      </c>
      <c r="B183">
        <v>2018</v>
      </c>
      <c r="C183" t="s">
        <v>31</v>
      </c>
      <c r="D183" t="str">
        <f t="shared" si="2"/>
        <v>Jan-18</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c r="AF183" s="12">
        <f>AVERAGE(All_India_Index_Upto_April23__1___1[[#This Row],[Cereals and products]:[Pan, tobacco and intoxicants]])</f>
        <v>136.14285714285717</v>
      </c>
      <c r="AG183" s="12">
        <f>AVERAGE(All_India_Index_Upto_April23__1___1[[#This Row],[Household goods and services]],All_India_Index_Upto_April23__1___1[[#This Row],[Housing]])</f>
        <v>134.94999999999999</v>
      </c>
      <c r="AH183" s="12">
        <f>AVERAGE(All_India_Index_Upto_April23__1___1[[#This Row],[Miscellaneous]],All_India_Index_Upto_April23__1___1[[#This Row],[Personal care and effects]],All_India_Index_Upto_April23__1___1[[#This Row],[Education]],All_India_Index_Upto_April23__1___1[[#This Row],[Recreation and amusement]])</f>
        <v>128.65</v>
      </c>
      <c r="AI183" s="12">
        <f>SUM(All_India_Index_Upto_April23__1___1[[#This Row],[Cereals and products]:[Pan, tobacco and intoxicants]])</f>
        <v>1906.0000000000002</v>
      </c>
      <c r="AJ183" s="12">
        <f>SUM(All_India_Index_Upto_April23__1___1[[#This Row],[Household goods and services]],All_India_Index_Upto_April23__1___1[[#This Row],[Housing]])</f>
        <v>269.89999999999998</v>
      </c>
      <c r="AK183" s="12">
        <f>All_India_Index_Upto_April23__1___1[[#This Row],[Clothing]]+All_India_Index_Upto_April23__1___1[[#This Row],[Footwear]]</f>
        <v>261.89999999999998</v>
      </c>
      <c r="AL183" s="12">
        <f>All_India_Index_Upto_April23__1___1[[#This Row],[Miscellaneous]]+All_India_Index_Upto_April23__1___1[[#This Row],[Personal care and effects]]+All_India_Index_Upto_April23__1___1[[#This Row],[Education]]+All_India_Index_Upto_April23__1___1[[#This Row],[Recreation and amusement]]</f>
        <v>514.6</v>
      </c>
      <c r="AM18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3325.0000000000009</v>
      </c>
    </row>
    <row r="184" spans="1:39" hidden="1" x14ac:dyDescent="0.3">
      <c r="A184" t="s">
        <v>33</v>
      </c>
      <c r="B184">
        <v>2018</v>
      </c>
      <c r="C184" t="s">
        <v>31</v>
      </c>
      <c r="D184" t="str">
        <f t="shared" si="2"/>
        <v>Jan-18</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c r="AF184" s="12">
        <f>AVERAGE(All_India_Index_Upto_April23__1___1[[#This Row],[Cereals and products]:[Pan, tobacco and intoxicants]])</f>
        <v>138.18571428571428</v>
      </c>
      <c r="AG184" s="12">
        <f>AVERAGE(All_India_Index_Upto_April23__1___1[[#This Row],[Household goods and services]],All_India_Index_Upto_April23__1___1[[#This Row],[Housing]])</f>
        <v>137.65</v>
      </c>
      <c r="AH184" s="12">
        <f>AVERAGE(All_India_Index_Upto_April23__1___1[[#This Row],[Miscellaneous]],All_India_Index_Upto_April23__1___1[[#This Row],[Personal care and effects]],All_India_Index_Upto_April23__1___1[[#This Row],[Education]],All_India_Index_Upto_April23__1___1[[#This Row],[Recreation and amusement]])</f>
        <v>131.27499999999998</v>
      </c>
      <c r="AI184" s="12">
        <f>SUM(All_India_Index_Upto_April23__1___1[[#This Row],[Cereals and products]:[Pan, tobacco and intoxicants]])</f>
        <v>1934.6000000000001</v>
      </c>
      <c r="AJ184" s="12">
        <f>SUM(All_India_Index_Upto_April23__1___1[[#This Row],[Household goods and services]],All_India_Index_Upto_April23__1___1[[#This Row],[Housing]])</f>
        <v>275.3</v>
      </c>
      <c r="AK184" s="12">
        <f>All_India_Index_Upto_April23__1___1[[#This Row],[Clothing]]+All_India_Index_Upto_April23__1___1[[#This Row],[Footwear]]</f>
        <v>279</v>
      </c>
      <c r="AL184" s="12">
        <f>All_India_Index_Upto_April23__1___1[[#This Row],[Miscellaneous]]+All_India_Index_Upto_April23__1___1[[#This Row],[Personal care and effects]]+All_India_Index_Upto_April23__1___1[[#This Row],[Education]]+All_India_Index_Upto_April23__1___1[[#This Row],[Recreation and amusement]]</f>
        <v>525.09999999999991</v>
      </c>
      <c r="AM18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3403.2000000000003</v>
      </c>
    </row>
    <row r="185" spans="1:39" hidden="1" x14ac:dyDescent="0.3">
      <c r="A185" t="s">
        <v>30</v>
      </c>
      <c r="B185">
        <v>2018</v>
      </c>
      <c r="C185" t="s">
        <v>34</v>
      </c>
      <c r="D185" t="str">
        <f t="shared" si="2"/>
        <v>Feb-18</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s="12">
        <f>'Handle Missing Value Sheet only'!$F$5</f>
        <v>139.27096774193564</v>
      </c>
      <c r="W185">
        <v>142.4</v>
      </c>
      <c r="X185">
        <v>139.9</v>
      </c>
      <c r="Y185">
        <v>136.19999999999999</v>
      </c>
      <c r="Z185">
        <v>123.3</v>
      </c>
      <c r="AA185">
        <v>134.30000000000001</v>
      </c>
      <c r="AB185">
        <v>141.5</v>
      </c>
      <c r="AC185">
        <v>128.80000000000001</v>
      </c>
      <c r="AD185">
        <v>132.5</v>
      </c>
      <c r="AE185">
        <v>138.5</v>
      </c>
      <c r="AF185" s="12">
        <f>AVERAGE(All_India_Index_Upto_April23__1___1[[#This Row],[Cereals and products]:[Pan, tobacco and intoxicants]])</f>
        <v>138.19999999999999</v>
      </c>
      <c r="AG185" s="12">
        <f>AVERAGE(All_India_Index_Upto_April23__1___1[[#This Row],[Household goods and services]],All_India_Index_Upto_April23__1___1[[#This Row],[Housing]])</f>
        <v>139.58548387096783</v>
      </c>
      <c r="AH185" s="12">
        <f>AVERAGE(All_India_Index_Upto_April23__1___1[[#This Row],[Miscellaneous]],All_India_Index_Upto_April23__1___1[[#This Row],[Personal care and effects]],All_India_Index_Upto_April23__1___1[[#This Row],[Education]],All_India_Index_Upto_April23__1___1[[#This Row],[Recreation and amusement]])</f>
        <v>134.27500000000001</v>
      </c>
      <c r="AI185" s="12">
        <f>SUM(All_India_Index_Upto_April23__1___1[[#This Row],[Cereals and products]:[Pan, tobacco and intoxicants]])</f>
        <v>1934.8</v>
      </c>
      <c r="AJ185" s="12">
        <f>SUM(All_India_Index_Upto_April23__1___1[[#This Row],[Household goods and services]],All_India_Index_Upto_April23__1___1[[#This Row],[Housing]])</f>
        <v>279.17096774193567</v>
      </c>
      <c r="AK185" s="12">
        <f>All_India_Index_Upto_April23__1___1[[#This Row],[Clothing]]+All_India_Index_Upto_April23__1___1[[#This Row],[Footwear]]</f>
        <v>291.10000000000002</v>
      </c>
      <c r="AL185" s="12">
        <f>All_India_Index_Upto_April23__1___1[[#This Row],[Miscellaneous]]+All_India_Index_Upto_April23__1___1[[#This Row],[Personal care and effects]]+All_India_Index_Upto_April23__1___1[[#This Row],[Education]]+All_India_Index_Upto_April23__1___1[[#This Row],[Recreation and amusement]]</f>
        <v>537.1</v>
      </c>
      <c r="AM18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3444.0709677419359</v>
      </c>
    </row>
    <row r="186" spans="1:39" hidden="1" x14ac:dyDescent="0.3">
      <c r="A186" t="s">
        <v>32</v>
      </c>
      <c r="B186">
        <v>2018</v>
      </c>
      <c r="C186" t="s">
        <v>34</v>
      </c>
      <c r="D186" t="str">
        <f t="shared" si="2"/>
        <v>Feb-18</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c r="AF186" s="12">
        <f>AVERAGE(All_India_Index_Upto_April23__1___1[[#This Row],[Cereals and products]:[Pan, tobacco and intoxicants]])</f>
        <v>134.80000000000001</v>
      </c>
      <c r="AG186" s="12">
        <f>AVERAGE(All_India_Index_Upto_April23__1___1[[#This Row],[Household goods and services]],All_India_Index_Upto_April23__1___1[[#This Row],[Housing]])</f>
        <v>135.60000000000002</v>
      </c>
      <c r="AH186" s="12">
        <f>AVERAGE(All_India_Index_Upto_April23__1___1[[#This Row],[Miscellaneous]],All_India_Index_Upto_April23__1___1[[#This Row],[Personal care and effects]],All_India_Index_Upto_April23__1___1[[#This Row],[Education]],All_India_Index_Upto_April23__1___1[[#This Row],[Recreation and amusement]])</f>
        <v>129.1</v>
      </c>
      <c r="AI186" s="12">
        <f>SUM(All_India_Index_Upto_April23__1___1[[#This Row],[Cereals and products]:[Pan, tobacco and intoxicants]])</f>
        <v>1887.2</v>
      </c>
      <c r="AJ186" s="12">
        <f>SUM(All_India_Index_Upto_April23__1___1[[#This Row],[Household goods and services]],All_India_Index_Upto_April23__1___1[[#This Row],[Housing]])</f>
        <v>271.20000000000005</v>
      </c>
      <c r="AK186" s="12">
        <f>All_India_Index_Upto_April23__1___1[[#This Row],[Clothing]]+All_India_Index_Upto_April23__1___1[[#This Row],[Footwear]]</f>
        <v>262.39999999999998</v>
      </c>
      <c r="AL186" s="12">
        <f>All_India_Index_Upto_April23__1___1[[#This Row],[Miscellaneous]]+All_India_Index_Upto_April23__1___1[[#This Row],[Personal care and effects]]+All_India_Index_Upto_April23__1___1[[#This Row],[Education]]+All_India_Index_Upto_April23__1___1[[#This Row],[Recreation and amusement]]</f>
        <v>516.4</v>
      </c>
      <c r="AM18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3311.7000000000003</v>
      </c>
    </row>
    <row r="187" spans="1:39" hidden="1" x14ac:dyDescent="0.3">
      <c r="A187" t="s">
        <v>33</v>
      </c>
      <c r="B187">
        <v>2018</v>
      </c>
      <c r="C187" t="s">
        <v>34</v>
      </c>
      <c r="D187" t="str">
        <f t="shared" si="2"/>
        <v>Feb-18</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c r="AF187" s="12">
        <f>AVERAGE(All_India_Index_Upto_April23__1___1[[#This Row],[Cereals and products]:[Pan, tobacco and intoxicants]])</f>
        <v>136.80714285714285</v>
      </c>
      <c r="AG187" s="12">
        <f>AVERAGE(All_India_Index_Upto_April23__1___1[[#This Row],[Household goods and services]],All_India_Index_Upto_April23__1___1[[#This Row],[Housing]])</f>
        <v>138.25</v>
      </c>
      <c r="AH187" s="12">
        <f>AVERAGE(All_India_Index_Upto_April23__1___1[[#This Row],[Miscellaneous]],All_India_Index_Upto_April23__1___1[[#This Row],[Personal care and effects]],All_India_Index_Upto_April23__1___1[[#This Row],[Education]],All_India_Index_Upto_April23__1___1[[#This Row],[Recreation and amusement]])</f>
        <v>131.55000000000001</v>
      </c>
      <c r="AI187" s="12">
        <f>SUM(All_India_Index_Upto_April23__1___1[[#This Row],[Cereals and products]:[Pan, tobacco and intoxicants]])</f>
        <v>1915.2999999999997</v>
      </c>
      <c r="AJ187" s="12">
        <f>SUM(All_India_Index_Upto_April23__1___1[[#This Row],[Household goods and services]],All_India_Index_Upto_April23__1___1[[#This Row],[Housing]])</f>
        <v>276.5</v>
      </c>
      <c r="AK187" s="12">
        <f>All_India_Index_Upto_April23__1___1[[#This Row],[Clothing]]+All_India_Index_Upto_April23__1___1[[#This Row],[Footwear]]</f>
        <v>279.39999999999998</v>
      </c>
      <c r="AL187" s="12">
        <f>All_India_Index_Upto_April23__1___1[[#This Row],[Miscellaneous]]+All_India_Index_Upto_April23__1___1[[#This Row],[Personal care and effects]]+All_India_Index_Upto_April23__1___1[[#This Row],[Education]]+All_India_Index_Upto_April23__1___1[[#This Row],[Recreation and amusement]]</f>
        <v>526.20000000000005</v>
      </c>
      <c r="AM18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3388.0999999999995</v>
      </c>
    </row>
    <row r="188" spans="1:39" hidden="1" x14ac:dyDescent="0.3">
      <c r="A188" t="s">
        <v>30</v>
      </c>
      <c r="B188">
        <v>2018</v>
      </c>
      <c r="C188" t="s">
        <v>35</v>
      </c>
      <c r="D188" t="str">
        <f t="shared" si="2"/>
        <v>Mar-18</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s="12">
        <f>'Handle Missing Value Sheet only'!$F$5</f>
        <v>139.27096774193564</v>
      </c>
      <c r="W188">
        <v>142.6</v>
      </c>
      <c r="X188">
        <v>139.9</v>
      </c>
      <c r="Y188">
        <v>136.69999999999999</v>
      </c>
      <c r="Z188">
        <v>124.6</v>
      </c>
      <c r="AA188">
        <v>135.1</v>
      </c>
      <c r="AB188">
        <v>142.69999999999999</v>
      </c>
      <c r="AC188">
        <v>129.30000000000001</v>
      </c>
      <c r="AD188">
        <v>133.30000000000001</v>
      </c>
      <c r="AE188">
        <v>138.69999999999999</v>
      </c>
      <c r="AF188" s="12">
        <f>AVERAGE(All_India_Index_Upto_April23__1___1[[#This Row],[Cereals and products]:[Pan, tobacco and intoxicants]])</f>
        <v>138.3642857142857</v>
      </c>
      <c r="AG188" s="12">
        <f>AVERAGE(All_India_Index_Upto_April23__1___1[[#This Row],[Household goods and services]],All_India_Index_Upto_April23__1___1[[#This Row],[Housing]])</f>
        <v>139.58548387096783</v>
      </c>
      <c r="AH188" s="12">
        <f>AVERAGE(All_India_Index_Upto_April23__1___1[[#This Row],[Miscellaneous]],All_India_Index_Upto_April23__1___1[[#This Row],[Personal care and effects]],All_India_Index_Upto_April23__1___1[[#This Row],[Education]],All_India_Index_Upto_April23__1___1[[#This Row],[Recreation and amusement]])</f>
        <v>135.1</v>
      </c>
      <c r="AI188" s="12">
        <f>SUM(All_India_Index_Upto_April23__1___1[[#This Row],[Cereals and products]:[Pan, tobacco and intoxicants]])</f>
        <v>1937.0999999999997</v>
      </c>
      <c r="AJ188" s="12">
        <f>SUM(All_India_Index_Upto_April23__1___1[[#This Row],[Household goods and services]],All_India_Index_Upto_April23__1___1[[#This Row],[Housing]])</f>
        <v>279.17096774193567</v>
      </c>
      <c r="AK188" s="12">
        <f>All_India_Index_Upto_April23__1___1[[#This Row],[Clothing]]+All_India_Index_Upto_April23__1___1[[#This Row],[Footwear]]</f>
        <v>292.2</v>
      </c>
      <c r="AL188" s="12">
        <f>All_India_Index_Upto_April23__1___1[[#This Row],[Miscellaneous]]+All_India_Index_Upto_April23__1___1[[#This Row],[Personal care and effects]]+All_India_Index_Upto_April23__1___1[[#This Row],[Education]]+All_India_Index_Upto_April23__1___1[[#This Row],[Recreation and amusement]]</f>
        <v>540.4</v>
      </c>
      <c r="AM18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3452.7709677419352</v>
      </c>
    </row>
    <row r="189" spans="1:39" hidden="1" x14ac:dyDescent="0.3">
      <c r="A189" t="s">
        <v>32</v>
      </c>
      <c r="B189">
        <v>2018</v>
      </c>
      <c r="C189" t="s">
        <v>35</v>
      </c>
      <c r="D189" t="str">
        <f t="shared" si="2"/>
        <v>Mar-18</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c r="AF189" s="12">
        <f>AVERAGE(All_India_Index_Upto_April23__1___1[[#This Row],[Cereals and products]:[Pan, tobacco and intoxicants]])</f>
        <v>133.94285714285715</v>
      </c>
      <c r="AG189" s="12">
        <f>AVERAGE(All_India_Index_Upto_April23__1___1[[#This Row],[Household goods and services]],All_India_Index_Upto_April23__1___1[[#This Row],[Housing]])</f>
        <v>136.4</v>
      </c>
      <c r="AH189" s="12">
        <f>AVERAGE(All_India_Index_Upto_April23__1___1[[#This Row],[Miscellaneous]],All_India_Index_Upto_April23__1___1[[#This Row],[Personal care and effects]],All_India_Index_Upto_April23__1___1[[#This Row],[Education]],All_India_Index_Upto_April23__1___1[[#This Row],[Recreation and amusement]])</f>
        <v>129.6</v>
      </c>
      <c r="AI189" s="12">
        <f>SUM(All_India_Index_Upto_April23__1___1[[#This Row],[Cereals and products]:[Pan, tobacco and intoxicants]])</f>
        <v>1875.2</v>
      </c>
      <c r="AJ189" s="12">
        <f>SUM(All_India_Index_Upto_April23__1___1[[#This Row],[Household goods and services]],All_India_Index_Upto_April23__1___1[[#This Row],[Housing]])</f>
        <v>272.8</v>
      </c>
      <c r="AK189" s="12">
        <f>All_India_Index_Upto_April23__1___1[[#This Row],[Clothing]]+All_India_Index_Upto_April23__1___1[[#This Row],[Footwear]]</f>
        <v>263.39999999999998</v>
      </c>
      <c r="AL189" s="12">
        <f>All_India_Index_Upto_April23__1___1[[#This Row],[Miscellaneous]]+All_India_Index_Upto_April23__1___1[[#This Row],[Personal care and effects]]+All_India_Index_Upto_April23__1___1[[#This Row],[Education]]+All_India_Index_Upto_April23__1___1[[#This Row],[Recreation and amusement]]</f>
        <v>518.4</v>
      </c>
      <c r="AM18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3304.5000000000005</v>
      </c>
    </row>
    <row r="190" spans="1:39" hidden="1" x14ac:dyDescent="0.3">
      <c r="A190" t="s">
        <v>33</v>
      </c>
      <c r="B190">
        <v>2018</v>
      </c>
      <c r="C190" t="s">
        <v>35</v>
      </c>
      <c r="D190" t="str">
        <f t="shared" si="2"/>
        <v>Mar-18</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c r="AF190" s="12">
        <f>AVERAGE(All_India_Index_Upto_April23__1___1[[#This Row],[Cereals and products]:[Pan, tobacco and intoxicants]])</f>
        <v>136.59285714285713</v>
      </c>
      <c r="AG190" s="12">
        <f>AVERAGE(All_India_Index_Upto_April23__1___1[[#This Row],[Household goods and services]],All_India_Index_Upto_April23__1___1[[#This Row],[Housing]])</f>
        <v>138.80000000000001</v>
      </c>
      <c r="AH190" s="12">
        <f>AVERAGE(All_India_Index_Upto_April23__1___1[[#This Row],[Miscellaneous]],All_India_Index_Upto_April23__1___1[[#This Row],[Personal care and effects]],All_India_Index_Upto_April23__1___1[[#This Row],[Education]],All_India_Index_Upto_April23__1___1[[#This Row],[Recreation and amusement]])</f>
        <v>132.17500000000001</v>
      </c>
      <c r="AI190" s="12">
        <f>SUM(All_India_Index_Upto_April23__1___1[[#This Row],[Cereals and products]:[Pan, tobacco and intoxicants]])</f>
        <v>1912.3</v>
      </c>
      <c r="AJ190" s="12">
        <f>SUM(All_India_Index_Upto_April23__1___1[[#This Row],[Household goods and services]],All_India_Index_Upto_April23__1___1[[#This Row],[Housing]])</f>
        <v>277.60000000000002</v>
      </c>
      <c r="AK190" s="12">
        <f>All_India_Index_Upto_April23__1___1[[#This Row],[Clothing]]+All_India_Index_Upto_April23__1___1[[#This Row],[Footwear]]</f>
        <v>280.5</v>
      </c>
      <c r="AL190" s="12">
        <f>All_India_Index_Upto_April23__1___1[[#This Row],[Miscellaneous]]+All_India_Index_Upto_April23__1___1[[#This Row],[Personal care and effects]]+All_India_Index_Upto_April23__1___1[[#This Row],[Education]]+All_India_Index_Upto_April23__1___1[[#This Row],[Recreation and amusement]]</f>
        <v>528.70000000000005</v>
      </c>
      <c r="AM19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3390.9000000000005</v>
      </c>
    </row>
    <row r="191" spans="1:39" hidden="1" x14ac:dyDescent="0.3">
      <c r="A191" t="s">
        <v>30</v>
      </c>
      <c r="B191">
        <v>2018</v>
      </c>
      <c r="C191" t="s">
        <v>36</v>
      </c>
      <c r="D191" t="str">
        <f t="shared" si="2"/>
        <v>Apr-18</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s="12">
        <f>'Handle Missing Value Sheet only'!$F$5</f>
        <v>139.27096774193564</v>
      </c>
      <c r="W191">
        <v>143.80000000000001</v>
      </c>
      <c r="X191">
        <v>140.9</v>
      </c>
      <c r="Y191">
        <v>137.6</v>
      </c>
      <c r="Z191">
        <v>125.3</v>
      </c>
      <c r="AA191">
        <v>136</v>
      </c>
      <c r="AB191">
        <v>143.69999999999999</v>
      </c>
      <c r="AC191">
        <v>130.4</v>
      </c>
      <c r="AD191">
        <v>134.19999999999999</v>
      </c>
      <c r="AE191">
        <v>139.1</v>
      </c>
      <c r="AF191" s="12">
        <f>AVERAGE(All_India_Index_Upto_April23__1___1[[#This Row],[Cereals and products]:[Pan, tobacco and intoxicants]])</f>
        <v>138.29285714285714</v>
      </c>
      <c r="AG191" s="12">
        <f>AVERAGE(All_India_Index_Upto_April23__1___1[[#This Row],[Household goods and services]],All_India_Index_Upto_April23__1___1[[#This Row],[Housing]])</f>
        <v>140.08548387096783</v>
      </c>
      <c r="AH191" s="12">
        <f>AVERAGE(All_India_Index_Upto_April23__1___1[[#This Row],[Miscellaneous]],All_India_Index_Upto_April23__1___1[[#This Row],[Personal care and effects]],All_India_Index_Upto_April23__1___1[[#This Row],[Education]],All_India_Index_Upto_April23__1___1[[#This Row],[Recreation and amusement]])</f>
        <v>136.07499999999999</v>
      </c>
      <c r="AI191" s="12">
        <f>SUM(All_India_Index_Upto_April23__1___1[[#This Row],[Cereals and products]:[Pan, tobacco and intoxicants]])</f>
        <v>1936.1</v>
      </c>
      <c r="AJ191" s="12">
        <f>SUM(All_India_Index_Upto_April23__1___1[[#This Row],[Household goods and services]],All_India_Index_Upto_April23__1___1[[#This Row],[Housing]])</f>
        <v>280.17096774193567</v>
      </c>
      <c r="AK191" s="12">
        <f>All_India_Index_Upto_April23__1___1[[#This Row],[Clothing]]+All_India_Index_Upto_April23__1___1[[#This Row],[Footwear]]</f>
        <v>293.39999999999998</v>
      </c>
      <c r="AL191" s="12">
        <f>All_India_Index_Upto_April23__1___1[[#This Row],[Miscellaneous]]+All_India_Index_Upto_April23__1___1[[#This Row],[Personal care and effects]]+All_India_Index_Upto_April23__1___1[[#This Row],[Education]]+All_India_Index_Upto_April23__1___1[[#This Row],[Recreation and amusement]]</f>
        <v>544.29999999999995</v>
      </c>
      <c r="AM19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3460.6709677419358</v>
      </c>
    </row>
    <row r="192" spans="1:39" hidden="1" x14ac:dyDescent="0.3">
      <c r="A192" t="s">
        <v>32</v>
      </c>
      <c r="B192">
        <v>2018</v>
      </c>
      <c r="C192" t="s">
        <v>36</v>
      </c>
      <c r="D192" t="str">
        <f t="shared" si="2"/>
        <v>Apr-18</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c r="AF192" s="12">
        <f>AVERAGE(All_India_Index_Upto_April23__1___1[[#This Row],[Cereals and products]:[Pan, tobacco and intoxicants]])</f>
        <v>134.22857142857146</v>
      </c>
      <c r="AG192" s="12">
        <f>AVERAGE(All_India_Index_Upto_April23__1___1[[#This Row],[Household goods and services]],All_India_Index_Upto_April23__1___1[[#This Row],[Housing]])</f>
        <v>137.35000000000002</v>
      </c>
      <c r="AH192" s="12">
        <f>AVERAGE(All_India_Index_Upto_April23__1___1[[#This Row],[Miscellaneous]],All_India_Index_Upto_April23__1___1[[#This Row],[Personal care and effects]],All_India_Index_Upto_April23__1___1[[#This Row],[Education]],All_India_Index_Upto_April23__1___1[[#This Row],[Recreation and amusement]])</f>
        <v>130.77500000000001</v>
      </c>
      <c r="AI192" s="12">
        <f>SUM(All_India_Index_Upto_April23__1___1[[#This Row],[Cereals and products]:[Pan, tobacco and intoxicants]])</f>
        <v>1879.2000000000003</v>
      </c>
      <c r="AJ192" s="12">
        <f>SUM(All_India_Index_Upto_April23__1___1[[#This Row],[Household goods and services]],All_India_Index_Upto_April23__1___1[[#This Row],[Housing]])</f>
        <v>274.70000000000005</v>
      </c>
      <c r="AK192" s="12">
        <f>All_India_Index_Upto_April23__1___1[[#This Row],[Clothing]]+All_India_Index_Upto_April23__1___1[[#This Row],[Footwear]]</f>
        <v>265.20000000000005</v>
      </c>
      <c r="AL192" s="12">
        <f>All_India_Index_Upto_April23__1___1[[#This Row],[Miscellaneous]]+All_India_Index_Upto_April23__1___1[[#This Row],[Personal care and effects]]+All_India_Index_Upto_April23__1___1[[#This Row],[Education]]+All_India_Index_Upto_April23__1___1[[#This Row],[Recreation and amusement]]</f>
        <v>523.1</v>
      </c>
      <c r="AM19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3317.0000000000005</v>
      </c>
    </row>
    <row r="193" spans="1:39" hidden="1" x14ac:dyDescent="0.3">
      <c r="A193" t="s">
        <v>33</v>
      </c>
      <c r="B193">
        <v>2018</v>
      </c>
      <c r="C193" t="s">
        <v>36</v>
      </c>
      <c r="D193" t="str">
        <f t="shared" si="2"/>
        <v>Apr-18</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c r="AF193" s="12">
        <f>AVERAGE(All_India_Index_Upto_April23__1___1[[#This Row],[Cereals and products]:[Pan, tobacco and intoxicants]])</f>
        <v>136.71428571428572</v>
      </c>
      <c r="AG193" s="12">
        <f>AVERAGE(All_India_Index_Upto_April23__1___1[[#This Row],[Household goods and services]],All_India_Index_Upto_April23__1___1[[#This Row],[Housing]])</f>
        <v>139.75</v>
      </c>
      <c r="AH193" s="12">
        <f>AVERAGE(All_India_Index_Upto_April23__1___1[[#This Row],[Miscellaneous]],All_India_Index_Upto_April23__1___1[[#This Row],[Personal care and effects]],All_India_Index_Upto_April23__1___1[[#This Row],[Education]],All_India_Index_Upto_April23__1___1[[#This Row],[Recreation and amusement]])</f>
        <v>133.30000000000001</v>
      </c>
      <c r="AI193" s="12">
        <f>SUM(All_India_Index_Upto_April23__1___1[[#This Row],[Cereals and products]:[Pan, tobacco and intoxicants]])</f>
        <v>1914.0000000000002</v>
      </c>
      <c r="AJ193" s="12">
        <f>SUM(All_India_Index_Upto_April23__1___1[[#This Row],[Household goods and services]],All_India_Index_Upto_April23__1___1[[#This Row],[Housing]])</f>
        <v>279.5</v>
      </c>
      <c r="AK193" s="12">
        <f>All_India_Index_Upto_April23__1___1[[#This Row],[Clothing]]+All_India_Index_Upto_April23__1___1[[#This Row],[Footwear]]</f>
        <v>282</v>
      </c>
      <c r="AL193" s="12">
        <f>All_India_Index_Upto_April23__1___1[[#This Row],[Miscellaneous]]+All_India_Index_Upto_April23__1___1[[#This Row],[Personal care and effects]]+All_India_Index_Upto_April23__1___1[[#This Row],[Education]]+All_India_Index_Upto_April23__1___1[[#This Row],[Recreation and amusement]]</f>
        <v>533.20000000000005</v>
      </c>
      <c r="AM19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3402.3</v>
      </c>
    </row>
    <row r="194" spans="1:39" hidden="1" x14ac:dyDescent="0.3">
      <c r="A194" t="s">
        <v>30</v>
      </c>
      <c r="B194">
        <v>2018</v>
      </c>
      <c r="C194" t="s">
        <v>37</v>
      </c>
      <c r="D194" t="str">
        <f t="shared" ref="D194:D257" si="3">TEXT(DATE(B194, MONTH(1&amp;C194), 1), "mmm-yy")</f>
        <v>May-18</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s="12">
        <f>'Handle Missing Value Sheet only'!$F$5</f>
        <v>139.27096774193564</v>
      </c>
      <c r="W194">
        <v>144.30000000000001</v>
      </c>
      <c r="X194">
        <v>141.80000000000001</v>
      </c>
      <c r="Y194">
        <v>138.4</v>
      </c>
      <c r="Z194">
        <v>126.4</v>
      </c>
      <c r="AA194">
        <v>136.80000000000001</v>
      </c>
      <c r="AB194">
        <v>144.4</v>
      </c>
      <c r="AC194">
        <v>131.19999999999999</v>
      </c>
      <c r="AD194">
        <v>135.1</v>
      </c>
      <c r="AE194">
        <v>139.80000000000001</v>
      </c>
      <c r="AF194" s="12">
        <f>AVERAGE(All_India_Index_Upto_April23__1___1[[#This Row],[Cereals and products]:[Pan, tobacco and intoxicants]])</f>
        <v>138.52857142857144</v>
      </c>
      <c r="AG194" s="12">
        <f>AVERAGE(All_India_Index_Upto_April23__1___1[[#This Row],[Household goods and services]],All_India_Index_Upto_April23__1___1[[#This Row],[Housing]])</f>
        <v>140.53548387096782</v>
      </c>
      <c r="AH194" s="12">
        <f>AVERAGE(All_India_Index_Upto_April23__1___1[[#This Row],[Miscellaneous]],All_India_Index_Upto_April23__1___1[[#This Row],[Personal care and effects]],All_India_Index_Upto_April23__1___1[[#This Row],[Education]],All_India_Index_Upto_April23__1___1[[#This Row],[Recreation and amusement]])</f>
        <v>136.875</v>
      </c>
      <c r="AI194" s="12">
        <f>SUM(All_India_Index_Upto_April23__1___1[[#This Row],[Cereals and products]:[Pan, tobacco and intoxicants]])</f>
        <v>1939.4</v>
      </c>
      <c r="AJ194" s="12">
        <f>SUM(All_India_Index_Upto_April23__1___1[[#This Row],[Household goods and services]],All_India_Index_Upto_April23__1___1[[#This Row],[Housing]])</f>
        <v>281.07096774193565</v>
      </c>
      <c r="AK194" s="12">
        <f>All_India_Index_Upto_April23__1___1[[#This Row],[Clothing]]+All_India_Index_Upto_April23__1___1[[#This Row],[Footwear]]</f>
        <v>294.89999999999998</v>
      </c>
      <c r="AL194" s="12">
        <f>All_India_Index_Upto_April23__1___1[[#This Row],[Miscellaneous]]+All_India_Index_Upto_April23__1___1[[#This Row],[Personal care and effects]]+All_India_Index_Upto_April23__1___1[[#This Row],[Education]]+All_India_Index_Upto_April23__1___1[[#This Row],[Recreation and amusement]]</f>
        <v>547.5</v>
      </c>
      <c r="AM19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3471.970967741936</v>
      </c>
    </row>
    <row r="195" spans="1:39" hidden="1" x14ac:dyDescent="0.3">
      <c r="A195" t="s">
        <v>32</v>
      </c>
      <c r="B195">
        <v>2018</v>
      </c>
      <c r="C195" t="s">
        <v>37</v>
      </c>
      <c r="D195" t="str">
        <f t="shared" si="3"/>
        <v>May-18</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c r="AF195" s="12">
        <f>AVERAGE(All_India_Index_Upto_April23__1___1[[#This Row],[Cereals and products]:[Pan, tobacco and intoxicants]])</f>
        <v>134.51428571428571</v>
      </c>
      <c r="AG195" s="12">
        <f>AVERAGE(All_India_Index_Upto_April23__1___1[[#This Row],[Household goods and services]],All_India_Index_Upto_April23__1___1[[#This Row],[Housing]])</f>
        <v>137.85</v>
      </c>
      <c r="AH195" s="12">
        <f>AVERAGE(All_India_Index_Upto_April23__1___1[[#This Row],[Miscellaneous]],All_India_Index_Upto_April23__1___1[[#This Row],[Personal care and effects]],All_India_Index_Upto_April23__1___1[[#This Row],[Education]],All_India_Index_Upto_April23__1___1[[#This Row],[Recreation and amusement]])</f>
        <v>131.35</v>
      </c>
      <c r="AI195" s="12">
        <f>SUM(All_India_Index_Upto_April23__1___1[[#This Row],[Cereals and products]:[Pan, tobacco and intoxicants]])</f>
        <v>1883.1999999999998</v>
      </c>
      <c r="AJ195" s="12">
        <f>SUM(All_India_Index_Upto_April23__1___1[[#This Row],[Household goods and services]],All_India_Index_Upto_April23__1___1[[#This Row],[Housing]])</f>
        <v>275.7</v>
      </c>
      <c r="AK195" s="12">
        <f>All_India_Index_Upto_April23__1___1[[#This Row],[Clothing]]+All_India_Index_Upto_April23__1___1[[#This Row],[Footwear]]</f>
        <v>266.5</v>
      </c>
      <c r="AL195" s="12">
        <f>All_India_Index_Upto_April23__1___1[[#This Row],[Miscellaneous]]+All_India_Index_Upto_April23__1___1[[#This Row],[Personal care and effects]]+All_India_Index_Upto_April23__1___1[[#This Row],[Education]]+All_India_Index_Upto_April23__1___1[[#This Row],[Recreation and amusement]]</f>
        <v>525.4</v>
      </c>
      <c r="AM19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3327.2999999999997</v>
      </c>
    </row>
    <row r="196" spans="1:39" hidden="1" x14ac:dyDescent="0.3">
      <c r="A196" t="s">
        <v>33</v>
      </c>
      <c r="B196">
        <v>2018</v>
      </c>
      <c r="C196" t="s">
        <v>37</v>
      </c>
      <c r="D196" t="str">
        <f t="shared" si="3"/>
        <v>May-18</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c r="AF196" s="12">
        <f>AVERAGE(All_India_Index_Upto_April23__1___1[[#This Row],[Cereals and products]:[Pan, tobacco and intoxicants]])</f>
        <v>136.97857142857143</v>
      </c>
      <c r="AG196" s="12">
        <f>AVERAGE(All_India_Index_Upto_April23__1___1[[#This Row],[Household goods and services]],All_India_Index_Upto_April23__1___1[[#This Row],[Housing]])</f>
        <v>140.30000000000001</v>
      </c>
      <c r="AH196" s="12">
        <f>AVERAGE(All_India_Index_Upto_April23__1___1[[#This Row],[Miscellaneous]],All_India_Index_Upto_April23__1___1[[#This Row],[Personal care and effects]],All_India_Index_Upto_April23__1___1[[#This Row],[Education]],All_India_Index_Upto_April23__1___1[[#This Row],[Recreation and amusement]])</f>
        <v>133.97500000000002</v>
      </c>
      <c r="AI196" s="12">
        <f>SUM(All_India_Index_Upto_April23__1___1[[#This Row],[Cereals and products]:[Pan, tobacco and intoxicants]])</f>
        <v>1917.7</v>
      </c>
      <c r="AJ196" s="12">
        <f>SUM(All_India_Index_Upto_April23__1___1[[#This Row],[Household goods and services]],All_India_Index_Upto_April23__1___1[[#This Row],[Housing]])</f>
        <v>280.60000000000002</v>
      </c>
      <c r="AK196" s="12">
        <f>All_India_Index_Upto_April23__1___1[[#This Row],[Clothing]]+All_India_Index_Upto_April23__1___1[[#This Row],[Footwear]]</f>
        <v>283.39999999999998</v>
      </c>
      <c r="AL196" s="12">
        <f>All_India_Index_Upto_April23__1___1[[#This Row],[Miscellaneous]]+All_India_Index_Upto_April23__1___1[[#This Row],[Personal care and effects]]+All_India_Index_Upto_April23__1___1[[#This Row],[Education]]+All_India_Index_Upto_April23__1___1[[#This Row],[Recreation and amusement]]</f>
        <v>535.90000000000009</v>
      </c>
      <c r="AM19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3413.4000000000005</v>
      </c>
    </row>
    <row r="197" spans="1:39" hidden="1" x14ac:dyDescent="0.3">
      <c r="A197" t="s">
        <v>30</v>
      </c>
      <c r="B197">
        <v>2018</v>
      </c>
      <c r="C197" t="s">
        <v>38</v>
      </c>
      <c r="D197" t="str">
        <f t="shared" si="3"/>
        <v>Jun-18</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s="12">
        <f>'Handle Missing Value Sheet only'!$F$5</f>
        <v>139.27096774193564</v>
      </c>
      <c r="W197">
        <v>145.1</v>
      </c>
      <c r="X197">
        <v>142.19999999999999</v>
      </c>
      <c r="Y197">
        <v>138.4</v>
      </c>
      <c r="Z197">
        <v>127.4</v>
      </c>
      <c r="AA197">
        <v>137.80000000000001</v>
      </c>
      <c r="AB197">
        <v>145.1</v>
      </c>
      <c r="AC197">
        <v>131.4</v>
      </c>
      <c r="AD197">
        <v>135.6</v>
      </c>
      <c r="AE197">
        <v>140.5</v>
      </c>
      <c r="AF197" s="12">
        <f>AVERAGE(All_India_Index_Upto_April23__1___1[[#This Row],[Cereals and products]:[Pan, tobacco and intoxicants]])</f>
        <v>139.1142857142857</v>
      </c>
      <c r="AG197" s="12">
        <f>AVERAGE(All_India_Index_Upto_April23__1___1[[#This Row],[Household goods and services]],All_India_Index_Upto_April23__1___1[[#This Row],[Housing]])</f>
        <v>140.73548387096781</v>
      </c>
      <c r="AH197" s="12">
        <f>AVERAGE(All_India_Index_Upto_April23__1___1[[#This Row],[Miscellaneous]],All_India_Index_Upto_April23__1___1[[#This Row],[Personal care and effects]],All_India_Index_Upto_April23__1___1[[#This Row],[Education]],All_India_Index_Upto_April23__1___1[[#This Row],[Recreation and amusement]])</f>
        <v>137.47500000000002</v>
      </c>
      <c r="AI197" s="12">
        <f>SUM(All_India_Index_Upto_April23__1___1[[#This Row],[Cereals and products]:[Pan, tobacco and intoxicants]])</f>
        <v>1947.5999999999997</v>
      </c>
      <c r="AJ197" s="12">
        <f>SUM(All_India_Index_Upto_April23__1___1[[#This Row],[Household goods and services]],All_India_Index_Upto_April23__1___1[[#This Row],[Housing]])</f>
        <v>281.47096774193562</v>
      </c>
      <c r="AK197" s="12">
        <f>All_India_Index_Upto_April23__1___1[[#This Row],[Clothing]]+All_India_Index_Upto_April23__1___1[[#This Row],[Footwear]]</f>
        <v>296</v>
      </c>
      <c r="AL197" s="12">
        <f>All_India_Index_Upto_April23__1___1[[#This Row],[Miscellaneous]]+All_India_Index_Upto_April23__1___1[[#This Row],[Personal care and effects]]+All_India_Index_Upto_April23__1___1[[#This Row],[Education]]+All_India_Index_Upto_April23__1___1[[#This Row],[Recreation and amusement]]</f>
        <v>549.90000000000009</v>
      </c>
      <c r="AM19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3485.8709677419351</v>
      </c>
    </row>
    <row r="198" spans="1:39" hidden="1" x14ac:dyDescent="0.3">
      <c r="A198" t="s">
        <v>32</v>
      </c>
      <c r="B198">
        <v>2018</v>
      </c>
      <c r="C198" t="s">
        <v>38</v>
      </c>
      <c r="D198" t="str">
        <f t="shared" si="3"/>
        <v>Jun-18</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c r="AF198" s="12">
        <f>AVERAGE(All_India_Index_Upto_April23__1___1[[#This Row],[Cereals and products]:[Pan, tobacco and intoxicants]])</f>
        <v>136.30714285714288</v>
      </c>
      <c r="AG198" s="12">
        <f>AVERAGE(All_India_Index_Upto_April23__1___1[[#This Row],[Household goods and services]],All_India_Index_Upto_April23__1___1[[#This Row],[Housing]])</f>
        <v>137.80000000000001</v>
      </c>
      <c r="AH198" s="12">
        <f>AVERAGE(All_India_Index_Upto_April23__1___1[[#This Row],[Miscellaneous]],All_India_Index_Upto_April23__1___1[[#This Row],[Personal care and effects]],All_India_Index_Upto_April23__1___1[[#This Row],[Education]],All_India_Index_Upto_April23__1___1[[#This Row],[Recreation and amusement]])</f>
        <v>131.85</v>
      </c>
      <c r="AI198" s="12">
        <f>SUM(All_India_Index_Upto_April23__1___1[[#This Row],[Cereals and products]:[Pan, tobacco and intoxicants]])</f>
        <v>1908.3000000000002</v>
      </c>
      <c r="AJ198" s="12">
        <f>SUM(All_India_Index_Upto_April23__1___1[[#This Row],[Household goods and services]],All_India_Index_Upto_April23__1___1[[#This Row],[Housing]])</f>
        <v>275.60000000000002</v>
      </c>
      <c r="AK198" s="12">
        <f>All_India_Index_Upto_April23__1___1[[#This Row],[Clothing]]+All_India_Index_Upto_April23__1___1[[#This Row],[Footwear]]</f>
        <v>267.60000000000002</v>
      </c>
      <c r="AL198" s="12">
        <f>All_India_Index_Upto_April23__1___1[[#This Row],[Miscellaneous]]+All_India_Index_Upto_April23__1___1[[#This Row],[Personal care and effects]]+All_India_Index_Upto_April23__1___1[[#This Row],[Education]]+All_India_Index_Upto_April23__1___1[[#This Row],[Recreation and amusement]]</f>
        <v>527.4</v>
      </c>
      <c r="AM19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3358.4</v>
      </c>
    </row>
    <row r="199" spans="1:39" hidden="1" x14ac:dyDescent="0.3">
      <c r="A199" t="s">
        <v>33</v>
      </c>
      <c r="B199">
        <v>2018</v>
      </c>
      <c r="C199" t="s">
        <v>38</v>
      </c>
      <c r="D199" t="str">
        <f t="shared" si="3"/>
        <v>Jun-18</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c r="AF199" s="12">
        <f>AVERAGE(All_India_Index_Upto_April23__1___1[[#This Row],[Cereals and products]:[Pan, tobacco and intoxicants]])</f>
        <v>138.02857142857144</v>
      </c>
      <c r="AG199" s="12">
        <f>AVERAGE(All_India_Index_Upto_April23__1___1[[#This Row],[Household goods and services]],All_India_Index_Upto_April23__1___1[[#This Row],[Housing]])</f>
        <v>140.19999999999999</v>
      </c>
      <c r="AH199" s="12">
        <f>AVERAGE(All_India_Index_Upto_April23__1___1[[#This Row],[Miscellaneous]],All_India_Index_Upto_April23__1___1[[#This Row],[Personal care and effects]],All_India_Index_Upto_April23__1___1[[#This Row],[Education]],All_India_Index_Upto_April23__1___1[[#This Row],[Recreation and amusement]])</f>
        <v>134.52500000000001</v>
      </c>
      <c r="AI199" s="12">
        <f>SUM(All_India_Index_Upto_April23__1___1[[#This Row],[Cereals and products]:[Pan, tobacco and intoxicants]])</f>
        <v>1932.4</v>
      </c>
      <c r="AJ199" s="12">
        <f>SUM(All_India_Index_Upto_April23__1___1[[#This Row],[Household goods and services]],All_India_Index_Upto_April23__1___1[[#This Row],[Housing]])</f>
        <v>280.39999999999998</v>
      </c>
      <c r="AK199" s="12">
        <f>All_India_Index_Upto_April23__1___1[[#This Row],[Clothing]]+All_India_Index_Upto_April23__1___1[[#This Row],[Footwear]]</f>
        <v>284.5</v>
      </c>
      <c r="AL199" s="12">
        <f>All_India_Index_Upto_April23__1___1[[#This Row],[Miscellaneous]]+All_India_Index_Upto_April23__1___1[[#This Row],[Personal care and effects]]+All_India_Index_Upto_April23__1___1[[#This Row],[Education]]+All_India_Index_Upto_April23__1___1[[#This Row],[Recreation and amusement]]</f>
        <v>538.1</v>
      </c>
      <c r="AM19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3433.3999999999996</v>
      </c>
    </row>
    <row r="200" spans="1:39" hidden="1" x14ac:dyDescent="0.3">
      <c r="A200" t="s">
        <v>30</v>
      </c>
      <c r="B200">
        <v>2018</v>
      </c>
      <c r="C200" t="s">
        <v>39</v>
      </c>
      <c r="D200" t="str">
        <f t="shared" si="3"/>
        <v>Jul-18</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s="12">
        <f>'Handle Missing Value Sheet only'!$F$5</f>
        <v>139.27096774193564</v>
      </c>
      <c r="W200">
        <v>146.80000000000001</v>
      </c>
      <c r="X200">
        <v>143.1</v>
      </c>
      <c r="Y200">
        <v>139</v>
      </c>
      <c r="Z200">
        <v>127.5</v>
      </c>
      <c r="AA200">
        <v>138.4</v>
      </c>
      <c r="AB200">
        <v>145.80000000000001</v>
      </c>
      <c r="AC200">
        <v>131.4</v>
      </c>
      <c r="AD200">
        <v>136</v>
      </c>
      <c r="AE200">
        <v>141.80000000000001</v>
      </c>
      <c r="AF200" s="12">
        <f>AVERAGE(All_India_Index_Upto_April23__1___1[[#This Row],[Cereals and products]:[Pan, tobacco and intoxicants]])</f>
        <v>140.47142857142859</v>
      </c>
      <c r="AG200" s="12">
        <f>AVERAGE(All_India_Index_Upto_April23__1___1[[#This Row],[Household goods and services]],All_India_Index_Upto_April23__1___1[[#This Row],[Housing]])</f>
        <v>141.1854838709678</v>
      </c>
      <c r="AH200" s="12">
        <f>AVERAGE(All_India_Index_Upto_April23__1___1[[#This Row],[Miscellaneous]],All_India_Index_Upto_April23__1___1[[#This Row],[Personal care and effects]],All_India_Index_Upto_April23__1___1[[#This Row],[Education]],All_India_Index_Upto_April23__1___1[[#This Row],[Recreation and amusement]])</f>
        <v>137.9</v>
      </c>
      <c r="AI200" s="12">
        <f>SUM(All_India_Index_Upto_April23__1___1[[#This Row],[Cereals and products]:[Pan, tobacco and intoxicants]])</f>
        <v>1966.6000000000001</v>
      </c>
      <c r="AJ200" s="12">
        <f>SUM(All_India_Index_Upto_April23__1___1[[#This Row],[Household goods and services]],All_India_Index_Upto_April23__1___1[[#This Row],[Housing]])</f>
        <v>282.3709677419356</v>
      </c>
      <c r="AK200" s="12">
        <f>All_India_Index_Upto_April23__1___1[[#This Row],[Clothing]]+All_India_Index_Upto_April23__1___1[[#This Row],[Footwear]]</f>
        <v>296.60000000000002</v>
      </c>
      <c r="AL200" s="12">
        <f>All_India_Index_Upto_April23__1___1[[#This Row],[Miscellaneous]]+All_India_Index_Upto_April23__1___1[[#This Row],[Personal care and effects]]+All_India_Index_Upto_April23__1___1[[#This Row],[Education]]+All_India_Index_Upto_April23__1___1[[#This Row],[Recreation and amusement]]</f>
        <v>551.6</v>
      </c>
      <c r="AM20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3510.470967741936</v>
      </c>
    </row>
    <row r="201" spans="1:39" hidden="1" x14ac:dyDescent="0.3">
      <c r="A201" t="s">
        <v>32</v>
      </c>
      <c r="B201">
        <v>2018</v>
      </c>
      <c r="C201" t="s">
        <v>39</v>
      </c>
      <c r="D201" t="str">
        <f t="shared" si="3"/>
        <v>Jul-18</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c r="AF201" s="12">
        <f>AVERAGE(All_India_Index_Upto_April23__1___1[[#This Row],[Cereals and products]:[Pan, tobacco and intoxicants]])</f>
        <v>138.03571428571428</v>
      </c>
      <c r="AG201" s="12">
        <f>AVERAGE(All_India_Index_Upto_April23__1___1[[#This Row],[Household goods and services]],All_India_Index_Upto_April23__1___1[[#This Row],[Housing]])</f>
        <v>138.6</v>
      </c>
      <c r="AH201" s="12">
        <f>AVERAGE(All_India_Index_Upto_April23__1___1[[#This Row],[Miscellaneous]],All_India_Index_Upto_April23__1___1[[#This Row],[Personal care and effects]],All_India_Index_Upto_April23__1___1[[#This Row],[Education]],All_India_Index_Upto_April23__1___1[[#This Row],[Recreation and amusement]])</f>
        <v>132.85</v>
      </c>
      <c r="AI201" s="12">
        <f>SUM(All_India_Index_Upto_April23__1___1[[#This Row],[Cereals and products]:[Pan, tobacco and intoxicants]])</f>
        <v>1932.5</v>
      </c>
      <c r="AJ201" s="12">
        <f>SUM(All_India_Index_Upto_April23__1___1[[#This Row],[Household goods and services]],All_India_Index_Upto_April23__1___1[[#This Row],[Housing]])</f>
        <v>277.2</v>
      </c>
      <c r="AK201" s="12">
        <f>All_India_Index_Upto_April23__1___1[[#This Row],[Clothing]]+All_India_Index_Upto_April23__1___1[[#This Row],[Footwear]]</f>
        <v>268.5</v>
      </c>
      <c r="AL201" s="12">
        <f>All_India_Index_Upto_April23__1___1[[#This Row],[Miscellaneous]]+All_India_Index_Upto_April23__1___1[[#This Row],[Personal care and effects]]+All_India_Index_Upto_April23__1___1[[#This Row],[Education]]+All_India_Index_Upto_April23__1___1[[#This Row],[Recreation and amusement]]</f>
        <v>531.4</v>
      </c>
      <c r="AM20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3391.3999999999996</v>
      </c>
    </row>
    <row r="202" spans="1:39" hidden="1" x14ac:dyDescent="0.3">
      <c r="A202" t="s">
        <v>33</v>
      </c>
      <c r="B202">
        <v>2018</v>
      </c>
      <c r="C202" t="s">
        <v>39</v>
      </c>
      <c r="D202" t="str">
        <f t="shared" si="3"/>
        <v>Jul-18</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c r="AF202" s="12">
        <f>AVERAGE(All_India_Index_Upto_April23__1___1[[#This Row],[Cereals and products]:[Pan, tobacco and intoxicants]])</f>
        <v>139.48571428571429</v>
      </c>
      <c r="AG202" s="12">
        <f>AVERAGE(All_India_Index_Upto_April23__1___1[[#This Row],[Household goods and services]],All_India_Index_Upto_April23__1___1[[#This Row],[Housing]])</f>
        <v>141.1</v>
      </c>
      <c r="AH202" s="12">
        <f>AVERAGE(All_India_Index_Upto_April23__1___1[[#This Row],[Miscellaneous]],All_India_Index_Upto_April23__1___1[[#This Row],[Personal care and effects]],All_India_Index_Upto_April23__1___1[[#This Row],[Education]],All_India_Index_Upto_April23__1___1[[#This Row],[Recreation and amusement]])</f>
        <v>135.27499999999998</v>
      </c>
      <c r="AI202" s="12">
        <f>SUM(All_India_Index_Upto_April23__1___1[[#This Row],[Cereals and products]:[Pan, tobacco and intoxicants]])</f>
        <v>1952.8</v>
      </c>
      <c r="AJ202" s="12">
        <f>SUM(All_India_Index_Upto_April23__1___1[[#This Row],[Household goods and services]],All_India_Index_Upto_April23__1___1[[#This Row],[Housing]])</f>
        <v>282.2</v>
      </c>
      <c r="AK202" s="12">
        <f>All_India_Index_Upto_April23__1___1[[#This Row],[Clothing]]+All_India_Index_Upto_April23__1___1[[#This Row],[Footwear]]</f>
        <v>285.20000000000005</v>
      </c>
      <c r="AL202" s="12">
        <f>All_India_Index_Upto_April23__1___1[[#This Row],[Miscellaneous]]+All_India_Index_Upto_April23__1___1[[#This Row],[Personal care and effects]]+All_India_Index_Upto_April23__1___1[[#This Row],[Education]]+All_India_Index_Upto_April23__1___1[[#This Row],[Recreation and amusement]]</f>
        <v>541.09999999999991</v>
      </c>
      <c r="AM20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3461.6</v>
      </c>
    </row>
    <row r="203" spans="1:39" hidden="1" x14ac:dyDescent="0.3">
      <c r="A203" t="s">
        <v>30</v>
      </c>
      <c r="B203">
        <v>2018</v>
      </c>
      <c r="C203" t="s">
        <v>40</v>
      </c>
      <c r="D203" t="str">
        <f t="shared" si="3"/>
        <v>Aug-18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s="12">
        <f>'Handle Missing Value Sheet only'!$F$5</f>
        <v>139.27096774193564</v>
      </c>
      <c r="W203">
        <v>147.69999999999999</v>
      </c>
      <c r="X203">
        <v>143.80000000000001</v>
      </c>
      <c r="Y203">
        <v>139.4</v>
      </c>
      <c r="Z203">
        <v>128.30000000000001</v>
      </c>
      <c r="AA203">
        <v>138.6</v>
      </c>
      <c r="AB203">
        <v>146.9</v>
      </c>
      <c r="AC203">
        <v>131.30000000000001</v>
      </c>
      <c r="AD203">
        <v>136.6</v>
      </c>
      <c r="AE203">
        <v>142.5</v>
      </c>
      <c r="AF203" s="12">
        <f>AVERAGE(All_India_Index_Upto_April23__1___1[[#This Row],[Cereals and products]:[Pan, tobacco and intoxicants]])</f>
        <v>141.08571428571429</v>
      </c>
      <c r="AG203" s="12">
        <f>AVERAGE(All_India_Index_Upto_April23__1___1[[#This Row],[Household goods and services]],All_India_Index_Upto_April23__1___1[[#This Row],[Housing]])</f>
        <v>141.53548387096782</v>
      </c>
      <c r="AH203" s="12">
        <f>AVERAGE(All_India_Index_Upto_April23__1___1[[#This Row],[Miscellaneous]],All_India_Index_Upto_April23__1___1[[#This Row],[Personal care and effects]],All_India_Index_Upto_April23__1___1[[#This Row],[Education]],All_India_Index_Upto_April23__1___1[[#This Row],[Recreation and amusement]])</f>
        <v>138.35</v>
      </c>
      <c r="AI203" s="12">
        <f>SUM(All_India_Index_Upto_April23__1___1[[#This Row],[Cereals and products]:[Pan, tobacco and intoxicants]])</f>
        <v>1975.2</v>
      </c>
      <c r="AJ203" s="12">
        <f>SUM(All_India_Index_Upto_April23__1___1[[#This Row],[Household goods and services]],All_India_Index_Upto_April23__1___1[[#This Row],[Housing]])</f>
        <v>283.07096774193565</v>
      </c>
      <c r="AK203" s="12">
        <f>All_India_Index_Upto_April23__1___1[[#This Row],[Clothing]]+All_India_Index_Upto_April23__1___1[[#This Row],[Footwear]]</f>
        <v>297.89999999999998</v>
      </c>
      <c r="AL203" s="12">
        <f>All_India_Index_Upto_April23__1___1[[#This Row],[Miscellaneous]]+All_India_Index_Upto_April23__1___1[[#This Row],[Personal care and effects]]+All_India_Index_Upto_April23__1___1[[#This Row],[Education]]+All_India_Index_Upto_April23__1___1[[#This Row],[Recreation and amusement]]</f>
        <v>553.4</v>
      </c>
      <c r="AM20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3524.9709677419355</v>
      </c>
    </row>
    <row r="204" spans="1:39" hidden="1" x14ac:dyDescent="0.3">
      <c r="A204" t="s">
        <v>32</v>
      </c>
      <c r="B204">
        <v>2018</v>
      </c>
      <c r="C204" t="s">
        <v>40</v>
      </c>
      <c r="D204" t="str">
        <f t="shared" si="3"/>
        <v>Aug-18</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c r="AF204" s="12">
        <f>AVERAGE(All_India_Index_Upto_April23__1___1[[#This Row],[Cereals and products]:[Pan, tobacco and intoxicants]])</f>
        <v>137.83571428571426</v>
      </c>
      <c r="AG204" s="12">
        <f>AVERAGE(All_India_Index_Upto_April23__1___1[[#This Row],[Household goods and services]],All_India_Index_Upto_April23__1___1[[#This Row],[Housing]])</f>
        <v>139.5</v>
      </c>
      <c r="AH204" s="12">
        <f>AVERAGE(All_India_Index_Upto_April23__1___1[[#This Row],[Miscellaneous]],All_India_Index_Upto_April23__1___1[[#This Row],[Personal care and effects]],All_India_Index_Upto_April23__1___1[[#This Row],[Education]],All_India_Index_Upto_April23__1___1[[#This Row],[Recreation and amusement]])</f>
        <v>133.60000000000002</v>
      </c>
      <c r="AI204" s="12">
        <f>SUM(All_India_Index_Upto_April23__1___1[[#This Row],[Cereals and products]:[Pan, tobacco and intoxicants]])</f>
        <v>1929.6999999999998</v>
      </c>
      <c r="AJ204" s="12">
        <f>SUM(All_India_Index_Upto_April23__1___1[[#This Row],[Household goods and services]],All_India_Index_Upto_April23__1___1[[#This Row],[Housing]])</f>
        <v>279</v>
      </c>
      <c r="AK204" s="12">
        <f>All_India_Index_Upto_April23__1___1[[#This Row],[Clothing]]+All_India_Index_Upto_April23__1___1[[#This Row],[Footwear]]</f>
        <v>269</v>
      </c>
      <c r="AL204" s="12">
        <f>All_India_Index_Upto_April23__1___1[[#This Row],[Miscellaneous]]+All_India_Index_Upto_April23__1___1[[#This Row],[Personal care and effects]]+All_India_Index_Upto_April23__1___1[[#This Row],[Education]]+All_India_Index_Upto_April23__1___1[[#This Row],[Recreation and amusement]]</f>
        <v>534.40000000000009</v>
      </c>
      <c r="AM20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3397.5</v>
      </c>
    </row>
    <row r="205" spans="1:39" hidden="1" x14ac:dyDescent="0.3">
      <c r="A205" t="s">
        <v>33</v>
      </c>
      <c r="B205">
        <v>2018</v>
      </c>
      <c r="C205" t="s">
        <v>40</v>
      </c>
      <c r="D205" t="str">
        <f t="shared" si="3"/>
        <v>Aug-18</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c r="AF205" s="12">
        <f>AVERAGE(All_India_Index_Upto_April23__1___1[[#This Row],[Cereals and products]:[Pan, tobacco and intoxicants]])</f>
        <v>139.7571428571429</v>
      </c>
      <c r="AG205" s="12">
        <f>AVERAGE(All_India_Index_Upto_April23__1___1[[#This Row],[Household goods and services]],All_India_Index_Upto_April23__1___1[[#This Row],[Housing]])</f>
        <v>142</v>
      </c>
      <c r="AH205" s="12">
        <f>AVERAGE(All_India_Index_Upto_April23__1___1[[#This Row],[Miscellaneous]],All_India_Index_Upto_April23__1___1[[#This Row],[Personal care and effects]],All_India_Index_Upto_April23__1___1[[#This Row],[Education]],All_India_Index_Upto_April23__1___1[[#This Row],[Recreation and amusement]])</f>
        <v>135.9</v>
      </c>
      <c r="AI205" s="12">
        <f>SUM(All_India_Index_Upto_April23__1___1[[#This Row],[Cereals and products]:[Pan, tobacco and intoxicants]])</f>
        <v>1956.6000000000004</v>
      </c>
      <c r="AJ205" s="12">
        <f>SUM(All_India_Index_Upto_April23__1___1[[#This Row],[Household goods and services]],All_India_Index_Upto_April23__1___1[[#This Row],[Housing]])</f>
        <v>284</v>
      </c>
      <c r="AK205" s="12">
        <f>All_India_Index_Upto_April23__1___1[[#This Row],[Clothing]]+All_India_Index_Upto_April23__1___1[[#This Row],[Footwear]]</f>
        <v>286.10000000000002</v>
      </c>
      <c r="AL205" s="12">
        <f>All_India_Index_Upto_April23__1___1[[#This Row],[Miscellaneous]]+All_India_Index_Upto_April23__1___1[[#This Row],[Personal care and effects]]+All_India_Index_Upto_April23__1___1[[#This Row],[Education]]+All_India_Index_Upto_April23__1___1[[#This Row],[Recreation and amusement]]</f>
        <v>543.6</v>
      </c>
      <c r="AM20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3473.2000000000003</v>
      </c>
    </row>
    <row r="206" spans="1:39" hidden="1" x14ac:dyDescent="0.3">
      <c r="A206" t="s">
        <v>30</v>
      </c>
      <c r="B206">
        <v>2018</v>
      </c>
      <c r="C206" t="s">
        <v>41</v>
      </c>
      <c r="D206" t="str">
        <f t="shared" si="3"/>
        <v>Sep-18</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s="12">
        <f>'Handle Missing Value Sheet only'!$F$5</f>
        <v>139.27096774193564</v>
      </c>
      <c r="W206">
        <v>149</v>
      </c>
      <c r="X206">
        <v>144</v>
      </c>
      <c r="Y206">
        <v>140</v>
      </c>
      <c r="Z206">
        <v>129.9</v>
      </c>
      <c r="AA206">
        <v>140</v>
      </c>
      <c r="AB206">
        <v>147.6</v>
      </c>
      <c r="AC206">
        <v>132</v>
      </c>
      <c r="AD206">
        <v>137.4</v>
      </c>
      <c r="AE206">
        <v>142.1</v>
      </c>
      <c r="AF206" s="12">
        <f>AVERAGE(All_India_Index_Upto_April23__1___1[[#This Row],[Cereals and products]:[Pan, tobacco and intoxicants]])</f>
        <v>139.82142857142858</v>
      </c>
      <c r="AG206" s="12">
        <f>AVERAGE(All_India_Index_Upto_April23__1___1[[#This Row],[Household goods and services]],All_India_Index_Upto_April23__1___1[[#This Row],[Housing]])</f>
        <v>141.63548387096782</v>
      </c>
      <c r="AH206" s="12">
        <f>AVERAGE(All_India_Index_Upto_April23__1___1[[#This Row],[Miscellaneous]],All_India_Index_Upto_April23__1___1[[#This Row],[Personal care and effects]],All_India_Index_Upto_April23__1___1[[#This Row],[Education]],All_India_Index_Upto_April23__1___1[[#This Row],[Recreation and amusement]])</f>
        <v>139.25</v>
      </c>
      <c r="AI206" s="12">
        <f>SUM(All_India_Index_Upto_April23__1___1[[#This Row],[Cereals and products]:[Pan, tobacco and intoxicants]])</f>
        <v>1957.5000000000002</v>
      </c>
      <c r="AJ206" s="12">
        <f>SUM(All_India_Index_Upto_April23__1___1[[#This Row],[Household goods and services]],All_India_Index_Upto_April23__1___1[[#This Row],[Housing]])</f>
        <v>283.27096774193564</v>
      </c>
      <c r="AK206" s="12">
        <f>All_India_Index_Upto_April23__1___1[[#This Row],[Clothing]]+All_India_Index_Upto_April23__1___1[[#This Row],[Footwear]]</f>
        <v>298.2</v>
      </c>
      <c r="AL206" s="12">
        <f>All_India_Index_Upto_April23__1___1[[#This Row],[Miscellaneous]]+All_India_Index_Upto_April23__1___1[[#This Row],[Personal care and effects]]+All_India_Index_Upto_April23__1___1[[#This Row],[Education]]+All_India_Index_Upto_April23__1___1[[#This Row],[Recreation and amusement]]</f>
        <v>557</v>
      </c>
      <c r="AM20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3514.8709677419361</v>
      </c>
    </row>
    <row r="207" spans="1:39" hidden="1" x14ac:dyDescent="0.3">
      <c r="A207" t="s">
        <v>32</v>
      </c>
      <c r="B207">
        <v>2018</v>
      </c>
      <c r="C207" t="s">
        <v>41</v>
      </c>
      <c r="D207" t="str">
        <f t="shared" si="3"/>
        <v>Sep-18</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c r="AF207" s="12">
        <f>AVERAGE(All_India_Index_Upto_April23__1___1[[#This Row],[Cereals and products]:[Pan, tobacco and intoxicants]])</f>
        <v>136.55000000000001</v>
      </c>
      <c r="AG207" s="12">
        <f>AVERAGE(All_India_Index_Upto_April23__1___1[[#This Row],[Household goods and services]],All_India_Index_Upto_April23__1___1[[#This Row],[Housing]])</f>
        <v>140.10000000000002</v>
      </c>
      <c r="AH207" s="12">
        <f>AVERAGE(All_India_Index_Upto_April23__1___1[[#This Row],[Miscellaneous]],All_India_Index_Upto_April23__1___1[[#This Row],[Personal care and effects]],All_India_Index_Upto_April23__1___1[[#This Row],[Education]],All_India_Index_Upto_April23__1___1[[#This Row],[Recreation and amusement]])</f>
        <v>134.15</v>
      </c>
      <c r="AI207" s="12">
        <f>SUM(All_India_Index_Upto_April23__1___1[[#This Row],[Cereals and products]:[Pan, tobacco and intoxicants]])</f>
        <v>1911.7</v>
      </c>
      <c r="AJ207" s="12">
        <f>SUM(All_India_Index_Upto_April23__1___1[[#This Row],[Household goods and services]],All_India_Index_Upto_April23__1___1[[#This Row],[Housing]])</f>
        <v>280.20000000000005</v>
      </c>
      <c r="AK207" s="12">
        <f>All_India_Index_Upto_April23__1___1[[#This Row],[Clothing]]+All_India_Index_Upto_April23__1___1[[#This Row],[Footwear]]</f>
        <v>270.10000000000002</v>
      </c>
      <c r="AL207" s="12">
        <f>All_India_Index_Upto_April23__1___1[[#This Row],[Miscellaneous]]+All_India_Index_Upto_April23__1___1[[#This Row],[Personal care and effects]]+All_India_Index_Upto_April23__1___1[[#This Row],[Education]]+All_India_Index_Upto_April23__1___1[[#This Row],[Recreation and amusement]]</f>
        <v>536.6</v>
      </c>
      <c r="AM20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3388</v>
      </c>
    </row>
    <row r="208" spans="1:39" hidden="1" x14ac:dyDescent="0.3">
      <c r="A208" t="s">
        <v>33</v>
      </c>
      <c r="B208">
        <v>2018</v>
      </c>
      <c r="C208" t="s">
        <v>41</v>
      </c>
      <c r="D208" t="str">
        <f t="shared" si="3"/>
        <v>Sep-18</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c r="AF208" s="12">
        <f>AVERAGE(All_India_Index_Upto_April23__1___1[[#This Row],[Cereals and products]:[Pan, tobacco and intoxicants]])</f>
        <v>138.47857142857143</v>
      </c>
      <c r="AG208" s="12">
        <f>AVERAGE(All_India_Index_Upto_April23__1___1[[#This Row],[Household goods and services]],All_India_Index_Upto_April23__1___1[[#This Row],[Housing]])</f>
        <v>142.5</v>
      </c>
      <c r="AH208" s="12">
        <f>AVERAGE(All_India_Index_Upto_April23__1___1[[#This Row],[Miscellaneous]],All_India_Index_Upto_April23__1___1[[#This Row],[Personal care and effects]],All_India_Index_Upto_April23__1___1[[#This Row],[Education]],All_India_Index_Upto_April23__1___1[[#This Row],[Recreation and amusement]])</f>
        <v>136.57499999999999</v>
      </c>
      <c r="AI208" s="12">
        <f>SUM(All_India_Index_Upto_April23__1___1[[#This Row],[Cereals and products]:[Pan, tobacco and intoxicants]])</f>
        <v>1938.7</v>
      </c>
      <c r="AJ208" s="12">
        <f>SUM(All_India_Index_Upto_April23__1___1[[#This Row],[Household goods and services]],All_India_Index_Upto_April23__1___1[[#This Row],[Housing]])</f>
        <v>285</v>
      </c>
      <c r="AK208" s="12">
        <f>All_India_Index_Upto_April23__1___1[[#This Row],[Clothing]]+All_India_Index_Upto_April23__1___1[[#This Row],[Footwear]]</f>
        <v>286.79999999999995</v>
      </c>
      <c r="AL208" s="12">
        <f>All_India_Index_Upto_April23__1___1[[#This Row],[Miscellaneous]]+All_India_Index_Upto_April23__1___1[[#This Row],[Personal care and effects]]+All_India_Index_Upto_April23__1___1[[#This Row],[Education]]+All_India_Index_Upto_April23__1___1[[#This Row],[Recreation and amusement]]</f>
        <v>546.29999999999995</v>
      </c>
      <c r="AM20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3463.5000000000005</v>
      </c>
    </row>
    <row r="209" spans="1:39" hidden="1" x14ac:dyDescent="0.3">
      <c r="A209" t="s">
        <v>30</v>
      </c>
      <c r="B209">
        <v>2018</v>
      </c>
      <c r="C209" t="s">
        <v>42</v>
      </c>
      <c r="D209" t="str">
        <f t="shared" si="3"/>
        <v>Oct-18</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s="12">
        <f>'Handle Missing Value Sheet only'!$F$5</f>
        <v>139.27096774193564</v>
      </c>
      <c r="W209">
        <v>149.69999999999999</v>
      </c>
      <c r="X209">
        <v>147.5</v>
      </c>
      <c r="Y209">
        <v>144.80000000000001</v>
      </c>
      <c r="Z209">
        <v>130.80000000000001</v>
      </c>
      <c r="AA209">
        <v>140.1</v>
      </c>
      <c r="AB209">
        <v>148</v>
      </c>
      <c r="AC209">
        <v>134.4</v>
      </c>
      <c r="AD209">
        <v>139.80000000000001</v>
      </c>
      <c r="AE209">
        <v>142.19999999999999</v>
      </c>
      <c r="AF209" s="12">
        <f>AVERAGE(All_India_Index_Upto_April23__1___1[[#This Row],[Cereals and products]:[Pan, tobacco and intoxicants]])</f>
        <v>138.69999999999999</v>
      </c>
      <c r="AG209" s="12">
        <f>AVERAGE(All_India_Index_Upto_April23__1___1[[#This Row],[Household goods and services]],All_India_Index_Upto_April23__1___1[[#This Row],[Housing]])</f>
        <v>143.38548387096782</v>
      </c>
      <c r="AH209" s="12">
        <f>AVERAGE(All_India_Index_Upto_April23__1___1[[#This Row],[Miscellaneous]],All_India_Index_Upto_April23__1___1[[#This Row],[Personal care and effects]],All_India_Index_Upto_April23__1___1[[#This Row],[Education]],All_India_Index_Upto_April23__1___1[[#This Row],[Recreation and amusement]])</f>
        <v>140.57500000000002</v>
      </c>
      <c r="AI209" s="12">
        <f>SUM(All_India_Index_Upto_April23__1___1[[#This Row],[Cereals and products]:[Pan, tobacco and intoxicants]])</f>
        <v>1941.8</v>
      </c>
      <c r="AJ209" s="12">
        <f>SUM(All_India_Index_Upto_April23__1___1[[#This Row],[Household goods and services]],All_India_Index_Upto_April23__1___1[[#This Row],[Housing]])</f>
        <v>286.77096774193564</v>
      </c>
      <c r="AK209" s="12">
        <f>All_India_Index_Upto_April23__1___1[[#This Row],[Clothing]]+All_India_Index_Upto_April23__1___1[[#This Row],[Footwear]]</f>
        <v>295.2</v>
      </c>
      <c r="AL209" s="12">
        <f>All_India_Index_Upto_April23__1___1[[#This Row],[Miscellaneous]]+All_India_Index_Upto_April23__1___1[[#This Row],[Personal care and effects]]+All_India_Index_Upto_April23__1___1[[#This Row],[Education]]+All_India_Index_Upto_April23__1___1[[#This Row],[Recreation and amusement]]</f>
        <v>562.30000000000007</v>
      </c>
      <c r="AM20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3511.3709677419356</v>
      </c>
    </row>
    <row r="210" spans="1:39" hidden="1" x14ac:dyDescent="0.3">
      <c r="A210" t="s">
        <v>32</v>
      </c>
      <c r="B210">
        <v>2018</v>
      </c>
      <c r="C210" t="s">
        <v>42</v>
      </c>
      <c r="D210" t="str">
        <f t="shared" si="3"/>
        <v>Oct-18</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c r="AF210" s="12">
        <f>AVERAGE(All_India_Index_Upto_April23__1___1[[#This Row],[Cereals and products]:[Pan, tobacco and intoxicants]])</f>
        <v>137.00714285714284</v>
      </c>
      <c r="AG210" s="12">
        <f>AVERAGE(All_India_Index_Upto_April23__1___1[[#This Row],[Household goods and services]],All_India_Index_Upto_April23__1___1[[#This Row],[Housing]])</f>
        <v>140.69999999999999</v>
      </c>
      <c r="AH210" s="12">
        <f>AVERAGE(All_India_Index_Upto_April23__1___1[[#This Row],[Miscellaneous]],All_India_Index_Upto_April23__1___1[[#This Row],[Personal care and effects]],All_India_Index_Upto_April23__1___1[[#This Row],[Education]],All_India_Index_Upto_April23__1___1[[#This Row],[Recreation and amusement]])</f>
        <v>134.77499999999998</v>
      </c>
      <c r="AI210" s="12">
        <f>SUM(All_India_Index_Upto_April23__1___1[[#This Row],[Cereals and products]:[Pan, tobacco and intoxicants]])</f>
        <v>1918.1</v>
      </c>
      <c r="AJ210" s="12">
        <f>SUM(All_India_Index_Upto_April23__1___1[[#This Row],[Household goods and services]],All_India_Index_Upto_April23__1___1[[#This Row],[Housing]])</f>
        <v>281.39999999999998</v>
      </c>
      <c r="AK210" s="12">
        <f>All_India_Index_Upto_April23__1___1[[#This Row],[Clothing]]+All_India_Index_Upto_April23__1___1[[#This Row],[Footwear]]</f>
        <v>271.3</v>
      </c>
      <c r="AL210" s="12">
        <f>All_India_Index_Upto_April23__1___1[[#This Row],[Miscellaneous]]+All_India_Index_Upto_April23__1___1[[#This Row],[Personal care and effects]]+All_India_Index_Upto_April23__1___1[[#This Row],[Education]]+All_India_Index_Upto_April23__1___1[[#This Row],[Recreation and amusement]]</f>
        <v>539.09999999999991</v>
      </c>
      <c r="AM21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3402.7999999999997</v>
      </c>
    </row>
    <row r="211" spans="1:39" hidden="1" x14ac:dyDescent="0.3">
      <c r="A211" t="s">
        <v>33</v>
      </c>
      <c r="B211">
        <v>2018</v>
      </c>
      <c r="C211" t="s">
        <v>42</v>
      </c>
      <c r="D211" t="str">
        <f t="shared" si="3"/>
        <v>Oct-18</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c r="AF211" s="12">
        <f>AVERAGE(All_India_Index_Upto_April23__1___1[[#This Row],[Cereals and products]:[Pan, tobacco and intoxicants]])</f>
        <v>138.48571428571429</v>
      </c>
      <c r="AG211" s="12">
        <f>AVERAGE(All_India_Index_Upto_April23__1___1[[#This Row],[Household goods and services]],All_India_Index_Upto_April23__1___1[[#This Row],[Housing]])</f>
        <v>144.55000000000001</v>
      </c>
      <c r="AH211" s="12">
        <f>AVERAGE(All_India_Index_Upto_April23__1___1[[#This Row],[Miscellaneous]],All_India_Index_Upto_April23__1___1[[#This Row],[Personal care and effects]],All_India_Index_Upto_April23__1___1[[#This Row],[Education]],All_India_Index_Upto_April23__1___1[[#This Row],[Recreation and amusement]])</f>
        <v>138.15</v>
      </c>
      <c r="AI211" s="12">
        <f>SUM(All_India_Index_Upto_April23__1___1[[#This Row],[Cereals and products]:[Pan, tobacco and intoxicants]])</f>
        <v>1938.8</v>
      </c>
      <c r="AJ211" s="12">
        <f>SUM(All_India_Index_Upto_April23__1___1[[#This Row],[Household goods and services]],All_India_Index_Upto_April23__1___1[[#This Row],[Housing]])</f>
        <v>289.10000000000002</v>
      </c>
      <c r="AK211" s="12">
        <f>All_India_Index_Upto_April23__1___1[[#This Row],[Clothing]]+All_India_Index_Upto_April23__1___1[[#This Row],[Footwear]]</f>
        <v>287.2</v>
      </c>
      <c r="AL211" s="12">
        <f>All_India_Index_Upto_April23__1___1[[#This Row],[Miscellaneous]]+All_India_Index_Upto_April23__1___1[[#This Row],[Personal care and effects]]+All_India_Index_Upto_April23__1___1[[#This Row],[Education]]+All_India_Index_Upto_April23__1___1[[#This Row],[Recreation and amusement]]</f>
        <v>552.6</v>
      </c>
      <c r="AM21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3480.6</v>
      </c>
    </row>
    <row r="212" spans="1:39" hidden="1" x14ac:dyDescent="0.3">
      <c r="A212" t="s">
        <v>30</v>
      </c>
      <c r="B212">
        <v>2018</v>
      </c>
      <c r="C212" t="s">
        <v>44</v>
      </c>
      <c r="D212" t="str">
        <f t="shared" si="3"/>
        <v>Nov-18</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s="12">
        <f>'Handle Missing Value Sheet only'!$F$5</f>
        <v>139.27096774193564</v>
      </c>
      <c r="W212">
        <v>150.30000000000001</v>
      </c>
      <c r="X212">
        <v>148</v>
      </c>
      <c r="Y212">
        <v>145.4</v>
      </c>
      <c r="Z212">
        <v>130.30000000000001</v>
      </c>
      <c r="AA212">
        <v>143.1</v>
      </c>
      <c r="AB212">
        <v>150.19999999999999</v>
      </c>
      <c r="AC212">
        <v>133.1</v>
      </c>
      <c r="AD212">
        <v>140.1</v>
      </c>
      <c r="AE212">
        <v>142.4</v>
      </c>
      <c r="AF212" s="12">
        <f>AVERAGE(All_India_Index_Upto_April23__1___1[[#This Row],[Cereals and products]:[Pan, tobacco and intoxicants]])</f>
        <v>139.2428571428571</v>
      </c>
      <c r="AG212" s="12">
        <f>AVERAGE(All_India_Index_Upto_April23__1___1[[#This Row],[Household goods and services]],All_India_Index_Upto_April23__1___1[[#This Row],[Housing]])</f>
        <v>143.63548387096782</v>
      </c>
      <c r="AH212" s="12">
        <f>AVERAGE(All_India_Index_Upto_April23__1___1[[#This Row],[Miscellaneous]],All_India_Index_Upto_April23__1___1[[#This Row],[Personal care and effects]],All_India_Index_Upto_April23__1___1[[#This Row],[Education]],All_India_Index_Upto_April23__1___1[[#This Row],[Recreation and amusement]])</f>
        <v>141.625</v>
      </c>
      <c r="AI212" s="12">
        <f>SUM(All_India_Index_Upto_April23__1___1[[#This Row],[Cereals and products]:[Pan, tobacco and intoxicants]])</f>
        <v>1949.3999999999996</v>
      </c>
      <c r="AJ212" s="12">
        <f>SUM(All_India_Index_Upto_April23__1___1[[#This Row],[Household goods and services]],All_India_Index_Upto_April23__1___1[[#This Row],[Housing]])</f>
        <v>287.27096774193564</v>
      </c>
      <c r="AK212" s="12">
        <f>All_India_Index_Upto_April23__1___1[[#This Row],[Clothing]]+All_India_Index_Upto_April23__1___1[[#This Row],[Footwear]]</f>
        <v>297.2</v>
      </c>
      <c r="AL212" s="12">
        <f>All_India_Index_Upto_April23__1___1[[#This Row],[Miscellaneous]]+All_India_Index_Upto_April23__1___1[[#This Row],[Personal care and effects]]+All_India_Index_Upto_April23__1___1[[#This Row],[Education]]+All_India_Index_Upto_April23__1___1[[#This Row],[Recreation and amusement]]</f>
        <v>566.5</v>
      </c>
      <c r="AM21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3526.3709677419361</v>
      </c>
    </row>
    <row r="213" spans="1:39" hidden="1" x14ac:dyDescent="0.3">
      <c r="A213" t="s">
        <v>32</v>
      </c>
      <c r="B213">
        <v>2018</v>
      </c>
      <c r="C213" t="s">
        <v>44</v>
      </c>
      <c r="D213" t="str">
        <f t="shared" si="3"/>
        <v>Nov-18</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c r="AF213" s="12">
        <f>AVERAGE(All_India_Index_Upto_April23__1___1[[#This Row],[Cereals and products]:[Pan, tobacco and intoxicants]])</f>
        <v>137.27857142857141</v>
      </c>
      <c r="AG213" s="12">
        <f>AVERAGE(All_India_Index_Upto_April23__1___1[[#This Row],[Household goods and services]],All_India_Index_Upto_April23__1___1[[#This Row],[Housing]])</f>
        <v>141.35000000000002</v>
      </c>
      <c r="AH213" s="12">
        <f>AVERAGE(All_India_Index_Upto_April23__1___1[[#This Row],[Miscellaneous]],All_India_Index_Upto_April23__1___1[[#This Row],[Personal care and effects]],All_India_Index_Upto_April23__1___1[[#This Row],[Education]],All_India_Index_Upto_April23__1___1[[#This Row],[Recreation and amusement]])</f>
        <v>135.02499999999998</v>
      </c>
      <c r="AI213" s="12">
        <f>SUM(All_India_Index_Upto_April23__1___1[[#This Row],[Cereals and products]:[Pan, tobacco and intoxicants]])</f>
        <v>1921.8999999999999</v>
      </c>
      <c r="AJ213" s="12">
        <f>SUM(All_India_Index_Upto_April23__1___1[[#This Row],[Household goods and services]],All_India_Index_Upto_April23__1___1[[#This Row],[Housing]])</f>
        <v>282.70000000000005</v>
      </c>
      <c r="AK213" s="12">
        <f>All_India_Index_Upto_April23__1___1[[#This Row],[Clothing]]+All_India_Index_Upto_April23__1___1[[#This Row],[Footwear]]</f>
        <v>272.60000000000002</v>
      </c>
      <c r="AL213" s="12">
        <f>All_India_Index_Upto_April23__1___1[[#This Row],[Miscellaneous]]+All_India_Index_Upto_April23__1___1[[#This Row],[Personal care and effects]]+All_India_Index_Upto_April23__1___1[[#This Row],[Education]]+All_India_Index_Upto_April23__1___1[[#This Row],[Recreation and amusement]]</f>
        <v>540.09999999999991</v>
      </c>
      <c r="AM21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3412</v>
      </c>
    </row>
    <row r="214" spans="1:39" hidden="1" x14ac:dyDescent="0.3">
      <c r="A214" t="s">
        <v>33</v>
      </c>
      <c r="B214">
        <v>2018</v>
      </c>
      <c r="C214" t="s">
        <v>44</v>
      </c>
      <c r="D214" t="str">
        <f t="shared" si="3"/>
        <v>Nov-18</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c r="AF214" s="12">
        <f>AVERAGE(All_India_Index_Upto_April23__1___1[[#This Row],[Cereals and products]:[Pan, tobacco and intoxicants]])</f>
        <v>138.45000000000002</v>
      </c>
      <c r="AG214" s="12">
        <f>AVERAGE(All_India_Index_Upto_April23__1___1[[#This Row],[Household goods and services]],All_India_Index_Upto_April23__1___1[[#This Row],[Housing]])</f>
        <v>144.55000000000001</v>
      </c>
      <c r="AH214" s="12">
        <f>AVERAGE(All_India_Index_Upto_April23__1___1[[#This Row],[Miscellaneous]],All_India_Index_Upto_April23__1___1[[#This Row],[Personal care and effects]],All_India_Index_Upto_April23__1___1[[#This Row],[Education]],All_India_Index_Upto_April23__1___1[[#This Row],[Recreation and amusement]])</f>
        <v>138.15</v>
      </c>
      <c r="AI214" s="12">
        <f>SUM(All_India_Index_Upto_April23__1___1[[#This Row],[Cereals and products]:[Pan, tobacco and intoxicants]])</f>
        <v>1938.3000000000002</v>
      </c>
      <c r="AJ214" s="12">
        <f>SUM(All_India_Index_Upto_April23__1___1[[#This Row],[Household goods and services]],All_India_Index_Upto_April23__1___1[[#This Row],[Housing]])</f>
        <v>289.10000000000002</v>
      </c>
      <c r="AK214" s="12">
        <f>All_India_Index_Upto_April23__1___1[[#This Row],[Clothing]]+All_India_Index_Upto_April23__1___1[[#This Row],[Footwear]]</f>
        <v>287.10000000000002</v>
      </c>
      <c r="AL214" s="12">
        <f>All_India_Index_Upto_April23__1___1[[#This Row],[Miscellaneous]]+All_India_Index_Upto_April23__1___1[[#This Row],[Personal care and effects]]+All_India_Index_Upto_April23__1___1[[#This Row],[Education]]+All_India_Index_Upto_April23__1___1[[#This Row],[Recreation and amusement]]</f>
        <v>552.6</v>
      </c>
      <c r="AM21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3479.8</v>
      </c>
    </row>
    <row r="215" spans="1:39" hidden="1" x14ac:dyDescent="0.3">
      <c r="A215" t="s">
        <v>30</v>
      </c>
      <c r="B215">
        <v>2018</v>
      </c>
      <c r="C215" t="s">
        <v>45</v>
      </c>
      <c r="D215" t="str">
        <f t="shared" si="3"/>
        <v>Dec-18</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s="12">
        <f>'Handle Missing Value Sheet only'!$F$5</f>
        <v>139.27096774193564</v>
      </c>
      <c r="W215">
        <v>149</v>
      </c>
      <c r="X215">
        <v>149.5</v>
      </c>
      <c r="Y215">
        <v>149.6</v>
      </c>
      <c r="Z215">
        <v>128.9</v>
      </c>
      <c r="AA215">
        <v>143.30000000000001</v>
      </c>
      <c r="AB215">
        <v>155.1</v>
      </c>
      <c r="AC215">
        <v>133.19999999999999</v>
      </c>
      <c r="AD215">
        <v>141.6</v>
      </c>
      <c r="AE215">
        <v>141.9</v>
      </c>
      <c r="AF215" s="12">
        <f>AVERAGE(All_India_Index_Upto_April23__1___1[[#This Row],[Cereals and products]:[Pan, tobacco and intoxicants]])</f>
        <v>138.25000000000003</v>
      </c>
      <c r="AG215" s="12">
        <f>AVERAGE(All_India_Index_Upto_April23__1___1[[#This Row],[Household goods and services]],All_India_Index_Upto_April23__1___1[[#This Row],[Housing]])</f>
        <v>144.38548387096782</v>
      </c>
      <c r="AH215" s="12">
        <f>AVERAGE(All_India_Index_Upto_April23__1___1[[#This Row],[Miscellaneous]],All_India_Index_Upto_April23__1___1[[#This Row],[Personal care and effects]],All_India_Index_Upto_April23__1___1[[#This Row],[Education]],All_India_Index_Upto_April23__1___1[[#This Row],[Recreation and amusement]])</f>
        <v>143.30000000000001</v>
      </c>
      <c r="AI215" s="12">
        <f>SUM(All_India_Index_Upto_April23__1___1[[#This Row],[Cereals and products]:[Pan, tobacco and intoxicants]])</f>
        <v>1935.5000000000002</v>
      </c>
      <c r="AJ215" s="12">
        <f>SUM(All_India_Index_Upto_April23__1___1[[#This Row],[Household goods and services]],All_India_Index_Upto_April23__1___1[[#This Row],[Housing]])</f>
        <v>288.77096774193564</v>
      </c>
      <c r="AK215" s="12">
        <f>All_India_Index_Upto_April23__1___1[[#This Row],[Clothing]]+All_India_Index_Upto_April23__1___1[[#This Row],[Footwear]]</f>
        <v>297.5</v>
      </c>
      <c r="AL215" s="12">
        <f>All_India_Index_Upto_April23__1___1[[#This Row],[Miscellaneous]]+All_India_Index_Upto_April23__1___1[[#This Row],[Personal care and effects]]+All_India_Index_Upto_April23__1___1[[#This Row],[Education]]+All_India_Index_Upto_April23__1___1[[#This Row],[Recreation and amusement]]</f>
        <v>573.20000000000005</v>
      </c>
      <c r="AM21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3522.470967741936</v>
      </c>
    </row>
    <row r="216" spans="1:39" hidden="1" x14ac:dyDescent="0.3">
      <c r="A216" t="s">
        <v>32</v>
      </c>
      <c r="B216">
        <v>2018</v>
      </c>
      <c r="C216" t="s">
        <v>45</v>
      </c>
      <c r="D216" t="str">
        <f t="shared" si="3"/>
        <v>Dec-18</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c r="AF216" s="12">
        <f>AVERAGE(All_India_Index_Upto_April23__1___1[[#This Row],[Cereals and products]:[Pan, tobacco and intoxicants]])</f>
        <v>136.51428571428571</v>
      </c>
      <c r="AG216" s="12">
        <f>AVERAGE(All_India_Index_Upto_April23__1___1[[#This Row],[Household goods and services]],All_India_Index_Upto_April23__1___1[[#This Row],[Housing]])</f>
        <v>141.35</v>
      </c>
      <c r="AH216" s="12">
        <f>AVERAGE(All_India_Index_Upto_April23__1___1[[#This Row],[Miscellaneous]],All_India_Index_Upto_April23__1___1[[#This Row],[Personal care and effects]],All_India_Index_Upto_April23__1___1[[#This Row],[Education]],All_India_Index_Upto_April23__1___1[[#This Row],[Recreation and amusement]])</f>
        <v>135.17500000000001</v>
      </c>
      <c r="AI216" s="12">
        <f>SUM(All_India_Index_Upto_April23__1___1[[#This Row],[Cereals and products]:[Pan, tobacco and intoxicants]])</f>
        <v>1911.1999999999998</v>
      </c>
      <c r="AJ216" s="12">
        <f>SUM(All_India_Index_Upto_April23__1___1[[#This Row],[Household goods and services]],All_India_Index_Upto_April23__1___1[[#This Row],[Housing]])</f>
        <v>282.7</v>
      </c>
      <c r="AK216" s="12">
        <f>All_India_Index_Upto_April23__1___1[[#This Row],[Clothing]]+All_India_Index_Upto_April23__1___1[[#This Row],[Footwear]]</f>
        <v>273</v>
      </c>
      <c r="AL216" s="12">
        <f>All_India_Index_Upto_April23__1___1[[#This Row],[Miscellaneous]]+All_India_Index_Upto_April23__1___1[[#This Row],[Personal care and effects]]+All_India_Index_Upto_April23__1___1[[#This Row],[Education]]+All_India_Index_Upto_April23__1___1[[#This Row],[Recreation and amusement]]</f>
        <v>540.70000000000005</v>
      </c>
      <c r="AM21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3396.1000000000004</v>
      </c>
    </row>
    <row r="217" spans="1:39" hidden="1" x14ac:dyDescent="0.3">
      <c r="A217" t="s">
        <v>33</v>
      </c>
      <c r="B217">
        <v>2018</v>
      </c>
      <c r="C217" t="s">
        <v>45</v>
      </c>
      <c r="D217" t="str">
        <f t="shared" si="3"/>
        <v>Dec-18</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c r="AF217" s="12">
        <f>AVERAGE(All_India_Index_Upto_April23__1___1[[#This Row],[Cereals and products]:[Pan, tobacco and intoxicants]])</f>
        <v>137.55714285714285</v>
      </c>
      <c r="AG217" s="12">
        <f>AVERAGE(All_India_Index_Upto_April23__1___1[[#This Row],[Household goods and services]],All_India_Index_Upto_April23__1___1[[#This Row],[Housing]])</f>
        <v>144.85</v>
      </c>
      <c r="AH217" s="12">
        <f>AVERAGE(All_India_Index_Upto_April23__1___1[[#This Row],[Miscellaneous]],All_India_Index_Upto_April23__1___1[[#This Row],[Personal care and effects]],All_India_Index_Upto_April23__1___1[[#This Row],[Education]],All_India_Index_Upto_April23__1___1[[#This Row],[Recreation and amusement]])</f>
        <v>138.97500000000002</v>
      </c>
      <c r="AI217" s="12">
        <f>SUM(All_India_Index_Upto_April23__1___1[[#This Row],[Cereals and products]:[Pan, tobacco and intoxicants]])</f>
        <v>1925.7999999999997</v>
      </c>
      <c r="AJ217" s="12">
        <f>SUM(All_India_Index_Upto_April23__1___1[[#This Row],[Household goods and services]],All_India_Index_Upto_April23__1___1[[#This Row],[Housing]])</f>
        <v>289.7</v>
      </c>
      <c r="AK217" s="12">
        <f>All_India_Index_Upto_April23__1___1[[#This Row],[Clothing]]+All_India_Index_Upto_April23__1___1[[#This Row],[Footwear]]</f>
        <v>287.5</v>
      </c>
      <c r="AL217" s="12">
        <f>All_India_Index_Upto_April23__1___1[[#This Row],[Miscellaneous]]+All_India_Index_Upto_April23__1___1[[#This Row],[Personal care and effects]]+All_India_Index_Upto_April23__1___1[[#This Row],[Education]]+All_India_Index_Upto_April23__1___1[[#This Row],[Recreation and amusement]]</f>
        <v>555.90000000000009</v>
      </c>
      <c r="AM21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3470.0999999999995</v>
      </c>
    </row>
    <row r="218" spans="1:39" hidden="1" x14ac:dyDescent="0.3">
      <c r="A218" t="s">
        <v>30</v>
      </c>
      <c r="B218">
        <v>2019</v>
      </c>
      <c r="C218" t="s">
        <v>31</v>
      </c>
      <c r="D218" t="str">
        <f t="shared" si="3"/>
        <v>Jan-19</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s="12">
        <f>'Handle Missing Value Sheet only'!$F$5</f>
        <v>139.27096774193564</v>
      </c>
      <c r="W218">
        <v>146.19999999999999</v>
      </c>
      <c r="X218">
        <v>150.1</v>
      </c>
      <c r="Y218">
        <v>149.6</v>
      </c>
      <c r="Z218">
        <v>128.6</v>
      </c>
      <c r="AA218">
        <v>142.9</v>
      </c>
      <c r="AB218">
        <v>155.19999999999999</v>
      </c>
      <c r="AC218">
        <v>133.5</v>
      </c>
      <c r="AD218">
        <v>141.69999999999999</v>
      </c>
      <c r="AE218">
        <v>141</v>
      </c>
      <c r="AF218" s="12">
        <f>AVERAGE(All_India_Index_Upto_April23__1___1[[#This Row],[Cereals and products]:[Pan, tobacco and intoxicants]])</f>
        <v>137.30714285714288</v>
      </c>
      <c r="AG218" s="12">
        <f>AVERAGE(All_India_Index_Upto_April23__1___1[[#This Row],[Household goods and services]],All_India_Index_Upto_April23__1___1[[#This Row],[Housing]])</f>
        <v>144.6854838709678</v>
      </c>
      <c r="AH218" s="12">
        <f>AVERAGE(All_India_Index_Upto_April23__1___1[[#This Row],[Miscellaneous]],All_India_Index_Upto_April23__1___1[[#This Row],[Personal care and effects]],All_India_Index_Upto_April23__1___1[[#This Row],[Education]],All_India_Index_Upto_April23__1___1[[#This Row],[Recreation and amusement]])</f>
        <v>143.32499999999999</v>
      </c>
      <c r="AI218" s="12">
        <f>SUM(All_India_Index_Upto_April23__1___1[[#This Row],[Cereals and products]:[Pan, tobacco and intoxicants]])</f>
        <v>1922.3000000000002</v>
      </c>
      <c r="AJ218" s="12">
        <f>SUM(All_India_Index_Upto_April23__1___1[[#This Row],[Household goods and services]],All_India_Index_Upto_April23__1___1[[#This Row],[Housing]])</f>
        <v>289.3709677419356</v>
      </c>
      <c r="AK218" s="12">
        <f>All_India_Index_Upto_April23__1___1[[#This Row],[Clothing]]+All_India_Index_Upto_April23__1___1[[#This Row],[Footwear]]</f>
        <v>295.7</v>
      </c>
      <c r="AL218" s="12">
        <f>All_India_Index_Upto_April23__1___1[[#This Row],[Miscellaneous]]+All_India_Index_Upto_April23__1___1[[#This Row],[Personal care and effects]]+All_India_Index_Upto_April23__1___1[[#This Row],[Education]]+All_India_Index_Upto_April23__1___1[[#This Row],[Recreation and amusement]]</f>
        <v>573.29999999999995</v>
      </c>
      <c r="AM21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3505.0709677419354</v>
      </c>
    </row>
    <row r="219" spans="1:39" hidden="1" x14ac:dyDescent="0.3">
      <c r="A219" t="s">
        <v>32</v>
      </c>
      <c r="B219">
        <v>2019</v>
      </c>
      <c r="C219" t="s">
        <v>31</v>
      </c>
      <c r="D219" t="str">
        <f t="shared" si="3"/>
        <v>Jan-19</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c r="AF219" s="12">
        <f>AVERAGE(All_India_Index_Upto_April23__1___1[[#This Row],[Cereals and products]:[Pan, tobacco and intoxicants]])</f>
        <v>136.35714285714286</v>
      </c>
      <c r="AG219" s="12">
        <f>AVERAGE(All_India_Index_Upto_April23__1___1[[#This Row],[Household goods and services]],All_India_Index_Upto_April23__1___1[[#This Row],[Housing]])</f>
        <v>142</v>
      </c>
      <c r="AH219" s="12">
        <f>AVERAGE(All_India_Index_Upto_April23__1___1[[#This Row],[Miscellaneous]],All_India_Index_Upto_April23__1___1[[#This Row],[Personal care and effects]],All_India_Index_Upto_April23__1___1[[#This Row],[Education]],All_India_Index_Upto_April23__1___1[[#This Row],[Recreation and amusement]])</f>
        <v>135.5</v>
      </c>
      <c r="AI219" s="12">
        <f>SUM(All_India_Index_Upto_April23__1___1[[#This Row],[Cereals and products]:[Pan, tobacco and intoxicants]])</f>
        <v>1909.0000000000002</v>
      </c>
      <c r="AJ219" s="12">
        <f>SUM(All_India_Index_Upto_April23__1___1[[#This Row],[Household goods and services]],All_India_Index_Upto_April23__1___1[[#This Row],[Housing]])</f>
        <v>284</v>
      </c>
      <c r="AK219" s="12">
        <f>All_India_Index_Upto_April23__1___1[[#This Row],[Clothing]]+All_India_Index_Upto_April23__1___1[[#This Row],[Footwear]]</f>
        <v>273.39999999999998</v>
      </c>
      <c r="AL219" s="12">
        <f>All_India_Index_Upto_April23__1___1[[#This Row],[Miscellaneous]]+All_India_Index_Upto_April23__1___1[[#This Row],[Personal care and effects]]+All_India_Index_Upto_April23__1___1[[#This Row],[Education]]+All_India_Index_Upto_April23__1___1[[#This Row],[Recreation and amusement]]</f>
        <v>542</v>
      </c>
      <c r="AM21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3393.4000000000005</v>
      </c>
    </row>
    <row r="220" spans="1:39" hidden="1" x14ac:dyDescent="0.3">
      <c r="A220" t="s">
        <v>33</v>
      </c>
      <c r="B220">
        <v>2019</v>
      </c>
      <c r="C220" t="s">
        <v>31</v>
      </c>
      <c r="D220" t="str">
        <f t="shared" si="3"/>
        <v>Jan-19</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c r="AF220" s="12">
        <f>AVERAGE(All_India_Index_Upto_April23__1___1[[#This Row],[Cereals and products]:[Pan, tobacco and intoxicants]])</f>
        <v>136.9</v>
      </c>
      <c r="AG220" s="12">
        <f>AVERAGE(All_India_Index_Upto_April23__1___1[[#This Row],[Household goods and services]],All_India_Index_Upto_April23__1___1[[#This Row],[Housing]])</f>
        <v>145.64999999999998</v>
      </c>
      <c r="AH220" s="12">
        <f>AVERAGE(All_India_Index_Upto_April23__1___1[[#This Row],[Miscellaneous]],All_India_Index_Upto_April23__1___1[[#This Row],[Personal care and effects]],All_India_Index_Upto_April23__1___1[[#This Row],[Education]],All_India_Index_Upto_April23__1___1[[#This Row],[Recreation and amusement]])</f>
        <v>139.15</v>
      </c>
      <c r="AI220" s="12">
        <f>SUM(All_India_Index_Upto_April23__1___1[[#This Row],[Cereals and products]:[Pan, tobacco and intoxicants]])</f>
        <v>1916.6</v>
      </c>
      <c r="AJ220" s="12">
        <f>SUM(All_India_Index_Upto_April23__1___1[[#This Row],[Household goods and services]],All_India_Index_Upto_April23__1___1[[#This Row],[Housing]])</f>
        <v>291.29999999999995</v>
      </c>
      <c r="AK220" s="12">
        <f>All_India_Index_Upto_April23__1___1[[#This Row],[Clothing]]+All_India_Index_Upto_April23__1___1[[#This Row],[Footwear]]</f>
        <v>286.60000000000002</v>
      </c>
      <c r="AL220" s="12">
        <f>All_India_Index_Upto_April23__1___1[[#This Row],[Miscellaneous]]+All_India_Index_Upto_April23__1___1[[#This Row],[Personal care and effects]]+All_India_Index_Upto_April23__1___1[[#This Row],[Education]]+All_India_Index_Upto_April23__1___1[[#This Row],[Recreation and amusement]]</f>
        <v>556.6</v>
      </c>
      <c r="AM22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3459</v>
      </c>
    </row>
    <row r="221" spans="1:39" hidden="1" x14ac:dyDescent="0.3">
      <c r="A221" t="s">
        <v>30</v>
      </c>
      <c r="B221">
        <v>2019</v>
      </c>
      <c r="C221" t="s">
        <v>34</v>
      </c>
      <c r="D221" t="str">
        <f t="shared" si="3"/>
        <v>Feb-19</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s="12">
        <f>'Handle Missing Value Sheet only'!$F$5</f>
        <v>139.27096774193564</v>
      </c>
      <c r="W221">
        <v>145.30000000000001</v>
      </c>
      <c r="X221">
        <v>150.1</v>
      </c>
      <c r="Y221">
        <v>149.9</v>
      </c>
      <c r="Z221">
        <v>129.19999999999999</v>
      </c>
      <c r="AA221">
        <v>143.4</v>
      </c>
      <c r="AB221">
        <v>155.5</v>
      </c>
      <c r="AC221">
        <v>134.9</v>
      </c>
      <c r="AD221">
        <v>142.19999999999999</v>
      </c>
      <c r="AE221">
        <v>141</v>
      </c>
      <c r="AF221" s="12">
        <f>AVERAGE(All_India_Index_Upto_April23__1___1[[#This Row],[Cereals and products]:[Pan, tobacco and intoxicants]])</f>
        <v>137.32857142857145</v>
      </c>
      <c r="AG221" s="12">
        <f>AVERAGE(All_India_Index_Upto_April23__1___1[[#This Row],[Household goods and services]],All_India_Index_Upto_April23__1___1[[#This Row],[Housing]])</f>
        <v>144.6854838709678</v>
      </c>
      <c r="AH221" s="12">
        <f>AVERAGE(All_India_Index_Upto_April23__1___1[[#This Row],[Miscellaneous]],All_India_Index_Upto_April23__1___1[[#This Row],[Personal care and effects]],All_India_Index_Upto_April23__1___1[[#This Row],[Education]],All_India_Index_Upto_April23__1___1[[#This Row],[Recreation and amusement]])</f>
        <v>144</v>
      </c>
      <c r="AI221" s="12">
        <f>SUM(All_India_Index_Upto_April23__1___1[[#This Row],[Cereals and products]:[Pan, tobacco and intoxicants]])</f>
        <v>1922.6000000000001</v>
      </c>
      <c r="AJ221" s="12">
        <f>SUM(All_India_Index_Upto_April23__1___1[[#This Row],[Household goods and services]],All_India_Index_Upto_April23__1___1[[#This Row],[Housing]])</f>
        <v>289.3709677419356</v>
      </c>
      <c r="AK221" s="12">
        <f>All_India_Index_Upto_April23__1___1[[#This Row],[Clothing]]+All_India_Index_Upto_April23__1___1[[#This Row],[Footwear]]</f>
        <v>296.60000000000002</v>
      </c>
      <c r="AL221" s="12">
        <f>All_India_Index_Upto_April23__1___1[[#This Row],[Miscellaneous]]+All_India_Index_Upto_April23__1___1[[#This Row],[Personal care and effects]]+All_India_Index_Upto_April23__1___1[[#This Row],[Education]]+All_India_Index_Upto_April23__1___1[[#This Row],[Recreation and amusement]]</f>
        <v>576</v>
      </c>
      <c r="AM22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3508.9709677419355</v>
      </c>
    </row>
    <row r="222" spans="1:39" hidden="1" x14ac:dyDescent="0.3">
      <c r="A222" t="s">
        <v>32</v>
      </c>
      <c r="B222">
        <v>2019</v>
      </c>
      <c r="C222" t="s">
        <v>34</v>
      </c>
      <c r="D222" t="str">
        <f t="shared" si="3"/>
        <v>Feb-19</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c r="AF222" s="12">
        <f>AVERAGE(All_India_Index_Upto_April23__1___1[[#This Row],[Cereals and products]:[Pan, tobacco and intoxicants]])</f>
        <v>137.09285714285716</v>
      </c>
      <c r="AG222" s="12">
        <f>AVERAGE(All_India_Index_Upto_April23__1___1[[#This Row],[Household goods and services]],All_India_Index_Upto_April23__1___1[[#This Row],[Housing]])</f>
        <v>142.55000000000001</v>
      </c>
      <c r="AH222" s="12">
        <f>AVERAGE(All_India_Index_Upto_April23__1___1[[#This Row],[Miscellaneous]],All_India_Index_Upto_April23__1___1[[#This Row],[Personal care and effects]],All_India_Index_Upto_April23__1___1[[#This Row],[Education]],All_India_Index_Upto_April23__1___1[[#This Row],[Recreation and amusement]])</f>
        <v>136.05000000000001</v>
      </c>
      <c r="AI222" s="12">
        <f>SUM(All_India_Index_Upto_April23__1___1[[#This Row],[Cereals and products]:[Pan, tobacco and intoxicants]])</f>
        <v>1919.3000000000002</v>
      </c>
      <c r="AJ222" s="12">
        <f>SUM(All_India_Index_Upto_April23__1___1[[#This Row],[Household goods and services]],All_India_Index_Upto_April23__1___1[[#This Row],[Housing]])</f>
        <v>285.10000000000002</v>
      </c>
      <c r="AK222" s="12">
        <f>All_India_Index_Upto_April23__1___1[[#This Row],[Clothing]]+All_India_Index_Upto_April23__1___1[[#This Row],[Footwear]]</f>
        <v>274.10000000000002</v>
      </c>
      <c r="AL222" s="12">
        <f>All_India_Index_Upto_April23__1___1[[#This Row],[Miscellaneous]]+All_India_Index_Upto_April23__1___1[[#This Row],[Personal care and effects]]+All_India_Index_Upto_April23__1___1[[#This Row],[Education]]+All_India_Index_Upto_April23__1___1[[#This Row],[Recreation and amusement]]</f>
        <v>544.20000000000005</v>
      </c>
      <c r="AM22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3407.5</v>
      </c>
    </row>
    <row r="223" spans="1:39" hidden="1" x14ac:dyDescent="0.3">
      <c r="A223" t="s">
        <v>33</v>
      </c>
      <c r="B223">
        <v>2019</v>
      </c>
      <c r="C223" t="s">
        <v>34</v>
      </c>
      <c r="D223" t="str">
        <f t="shared" si="3"/>
        <v>Feb-19</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c r="AF223" s="12">
        <f>AVERAGE(All_India_Index_Upto_April23__1___1[[#This Row],[Cereals and products]:[Pan, tobacco and intoxicants]])</f>
        <v>137.17857142857142</v>
      </c>
      <c r="AG223" s="12">
        <f>AVERAGE(All_India_Index_Upto_April23__1___1[[#This Row],[Household goods and services]],All_India_Index_Upto_April23__1___1[[#This Row],[Housing]])</f>
        <v>146.1</v>
      </c>
      <c r="AH223" s="12">
        <f>AVERAGE(All_India_Index_Upto_April23__1___1[[#This Row],[Miscellaneous]],All_India_Index_Upto_April23__1___1[[#This Row],[Personal care and effects]],All_India_Index_Upto_April23__1___1[[#This Row],[Education]],All_India_Index_Upto_April23__1___1[[#This Row],[Recreation and amusement]])</f>
        <v>139.72499999999999</v>
      </c>
      <c r="AI223" s="12">
        <f>SUM(All_India_Index_Upto_April23__1___1[[#This Row],[Cereals and products]:[Pan, tobacco and intoxicants]])</f>
        <v>1920.5</v>
      </c>
      <c r="AJ223" s="12">
        <f>SUM(All_India_Index_Upto_April23__1___1[[#This Row],[Household goods and services]],All_India_Index_Upto_April23__1___1[[#This Row],[Housing]])</f>
        <v>292.2</v>
      </c>
      <c r="AK223" s="12">
        <f>All_India_Index_Upto_April23__1___1[[#This Row],[Clothing]]+All_India_Index_Upto_April23__1___1[[#This Row],[Footwear]]</f>
        <v>287.39999999999998</v>
      </c>
      <c r="AL223" s="12">
        <f>All_India_Index_Upto_April23__1___1[[#This Row],[Miscellaneous]]+All_India_Index_Upto_April23__1___1[[#This Row],[Personal care and effects]]+All_India_Index_Upto_April23__1___1[[#This Row],[Education]]+All_India_Index_Upto_April23__1___1[[#This Row],[Recreation and amusement]]</f>
        <v>558.9</v>
      </c>
      <c r="AM22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3466.9</v>
      </c>
    </row>
    <row r="224" spans="1:39" hidden="1" x14ac:dyDescent="0.3">
      <c r="A224" t="s">
        <v>30</v>
      </c>
      <c r="B224">
        <v>2019</v>
      </c>
      <c r="C224" t="s">
        <v>35</v>
      </c>
      <c r="D224" t="str">
        <f t="shared" si="3"/>
        <v>Mar-19</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s="12">
        <f>'Handle Missing Value Sheet only'!$F$5</f>
        <v>139.27096774193564</v>
      </c>
      <c r="W224">
        <v>146.4</v>
      </c>
      <c r="X224">
        <v>150</v>
      </c>
      <c r="Y224">
        <v>150.4</v>
      </c>
      <c r="Z224">
        <v>129.9</v>
      </c>
      <c r="AA224">
        <v>143.80000000000001</v>
      </c>
      <c r="AB224">
        <v>155.5</v>
      </c>
      <c r="AC224">
        <v>134</v>
      </c>
      <c r="AD224">
        <v>142.4</v>
      </c>
      <c r="AE224">
        <v>141.19999999999999</v>
      </c>
      <c r="AF224" s="12">
        <f>AVERAGE(All_India_Index_Upto_April23__1___1[[#This Row],[Cereals and products]:[Pan, tobacco and intoxicants]])</f>
        <v>137.43571428571431</v>
      </c>
      <c r="AG224" s="12">
        <f>AVERAGE(All_India_Index_Upto_April23__1___1[[#This Row],[Household goods and services]],All_India_Index_Upto_April23__1___1[[#This Row],[Housing]])</f>
        <v>144.63548387096782</v>
      </c>
      <c r="AH224" s="12">
        <f>AVERAGE(All_India_Index_Upto_April23__1___1[[#This Row],[Miscellaneous]],All_India_Index_Upto_April23__1___1[[#This Row],[Personal care and effects]],All_India_Index_Upto_April23__1___1[[#This Row],[Education]],All_India_Index_Upto_April23__1___1[[#This Row],[Recreation and amusement]])</f>
        <v>143.92500000000001</v>
      </c>
      <c r="AI224" s="12">
        <f>SUM(All_India_Index_Upto_April23__1___1[[#This Row],[Cereals and products]:[Pan, tobacco and intoxicants]])</f>
        <v>1924.1000000000004</v>
      </c>
      <c r="AJ224" s="12">
        <f>SUM(All_India_Index_Upto_April23__1___1[[#This Row],[Household goods and services]],All_India_Index_Upto_April23__1___1[[#This Row],[Housing]])</f>
        <v>289.27096774193564</v>
      </c>
      <c r="AK224" s="12">
        <f>All_India_Index_Upto_April23__1___1[[#This Row],[Clothing]]+All_India_Index_Upto_April23__1___1[[#This Row],[Footwear]]</f>
        <v>296.89999999999998</v>
      </c>
      <c r="AL224" s="12">
        <f>All_India_Index_Upto_April23__1___1[[#This Row],[Miscellaneous]]+All_India_Index_Upto_April23__1___1[[#This Row],[Personal care and effects]]+All_India_Index_Upto_April23__1___1[[#This Row],[Education]]+All_India_Index_Upto_April23__1___1[[#This Row],[Recreation and amusement]]</f>
        <v>575.70000000000005</v>
      </c>
      <c r="AM22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3512.6709677419362</v>
      </c>
    </row>
    <row r="225" spans="1:39" hidden="1" x14ac:dyDescent="0.3">
      <c r="A225" t="s">
        <v>32</v>
      </c>
      <c r="B225">
        <v>2019</v>
      </c>
      <c r="C225" t="s">
        <v>35</v>
      </c>
      <c r="D225" t="str">
        <f t="shared" si="3"/>
        <v>Mar-19</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c r="AF225" s="12">
        <f>AVERAGE(All_India_Index_Upto_April23__1___1[[#This Row],[Cereals and products]:[Pan, tobacco and intoxicants]])</f>
        <v>138.12142857142857</v>
      </c>
      <c r="AG225" s="12">
        <f>AVERAGE(All_India_Index_Upto_April23__1___1[[#This Row],[Household goods and services]],All_India_Index_Upto_April23__1___1[[#This Row],[Housing]])</f>
        <v>142.9</v>
      </c>
      <c r="AH225" s="12">
        <f>AVERAGE(All_India_Index_Upto_April23__1___1[[#This Row],[Miscellaneous]],All_India_Index_Upto_April23__1___1[[#This Row],[Personal care and effects]],All_India_Index_Upto_April23__1___1[[#This Row],[Education]],All_India_Index_Upto_April23__1___1[[#This Row],[Recreation and amusement]])</f>
        <v>136.25</v>
      </c>
      <c r="AI225" s="12">
        <f>SUM(All_India_Index_Upto_April23__1___1[[#This Row],[Cereals and products]:[Pan, tobacco and intoxicants]])</f>
        <v>1933.7</v>
      </c>
      <c r="AJ225" s="12">
        <f>SUM(All_India_Index_Upto_April23__1___1[[#This Row],[Household goods and services]],All_India_Index_Upto_April23__1___1[[#This Row],[Housing]])</f>
        <v>285.8</v>
      </c>
      <c r="AK225" s="12">
        <f>All_India_Index_Upto_April23__1___1[[#This Row],[Clothing]]+All_India_Index_Upto_April23__1___1[[#This Row],[Footwear]]</f>
        <v>274.7</v>
      </c>
      <c r="AL225" s="12">
        <f>All_India_Index_Upto_April23__1___1[[#This Row],[Miscellaneous]]+All_India_Index_Upto_April23__1___1[[#This Row],[Personal care and effects]]+All_India_Index_Upto_April23__1___1[[#This Row],[Education]]+All_India_Index_Upto_April23__1___1[[#This Row],[Recreation and amusement]]</f>
        <v>545</v>
      </c>
      <c r="AM22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3427.1</v>
      </c>
    </row>
    <row r="226" spans="1:39" hidden="1" x14ac:dyDescent="0.3">
      <c r="A226" t="s">
        <v>33</v>
      </c>
      <c r="B226">
        <v>2019</v>
      </c>
      <c r="C226" t="s">
        <v>35</v>
      </c>
      <c r="D226" t="str">
        <f t="shared" si="3"/>
        <v>Mar-19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c r="AF226" s="12">
        <f>AVERAGE(All_India_Index_Upto_April23__1___1[[#This Row],[Cereals and products]:[Pan, tobacco and intoxicants]])</f>
        <v>137.6</v>
      </c>
      <c r="AG226" s="12">
        <f>AVERAGE(All_India_Index_Upto_April23__1___1[[#This Row],[Household goods and services]],All_India_Index_Upto_April23__1___1[[#This Row],[Housing]])</f>
        <v>146.4</v>
      </c>
      <c r="AH226" s="12">
        <f>AVERAGE(All_India_Index_Upto_April23__1___1[[#This Row],[Miscellaneous]],All_India_Index_Upto_April23__1___1[[#This Row],[Personal care and effects]],All_India_Index_Upto_April23__1___1[[#This Row],[Education]],All_India_Index_Upto_April23__1___1[[#This Row],[Recreation and amusement]])</f>
        <v>139.77500000000001</v>
      </c>
      <c r="AI226" s="12">
        <f>SUM(All_India_Index_Upto_April23__1___1[[#This Row],[Cereals and products]:[Pan, tobacco and intoxicants]])</f>
        <v>1926.4</v>
      </c>
      <c r="AJ226" s="12">
        <f>SUM(All_India_Index_Upto_April23__1___1[[#This Row],[Household goods and services]],All_India_Index_Upto_April23__1___1[[#This Row],[Housing]])</f>
        <v>292.8</v>
      </c>
      <c r="AK226" s="12">
        <f>All_India_Index_Upto_April23__1___1[[#This Row],[Clothing]]+All_India_Index_Upto_April23__1___1[[#This Row],[Footwear]]</f>
        <v>287.8</v>
      </c>
      <c r="AL226" s="12">
        <f>All_India_Index_Upto_April23__1___1[[#This Row],[Miscellaneous]]+All_India_Index_Upto_April23__1___1[[#This Row],[Personal care and effects]]+All_India_Index_Upto_April23__1___1[[#This Row],[Education]]+All_India_Index_Upto_April23__1___1[[#This Row],[Recreation and amusement]]</f>
        <v>559.1</v>
      </c>
      <c r="AM22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3476.6</v>
      </c>
    </row>
    <row r="227" spans="1:39" hidden="1" x14ac:dyDescent="0.3">
      <c r="A227" t="s">
        <v>30</v>
      </c>
      <c r="B227">
        <v>2019</v>
      </c>
      <c r="C227" t="s">
        <v>37</v>
      </c>
      <c r="D227" t="str">
        <f t="shared" si="3"/>
        <v>May-19</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s="12">
        <f>'Handle Missing Value Sheet only'!$F$5</f>
        <v>139.27096774193564</v>
      </c>
      <c r="W227">
        <v>146.9</v>
      </c>
      <c r="X227">
        <v>149.5</v>
      </c>
      <c r="Y227">
        <v>151.30000000000001</v>
      </c>
      <c r="Z227">
        <v>130.19999999999999</v>
      </c>
      <c r="AA227">
        <v>145.9</v>
      </c>
      <c r="AB227">
        <v>156.69999999999999</v>
      </c>
      <c r="AC227">
        <v>133.9</v>
      </c>
      <c r="AD227">
        <v>142.9</v>
      </c>
      <c r="AE227">
        <v>142.4</v>
      </c>
      <c r="AF227" s="12">
        <f>AVERAGE(All_India_Index_Upto_April23__1___1[[#This Row],[Cereals and products]:[Pan, tobacco and intoxicants]])</f>
        <v>138.95714285714286</v>
      </c>
      <c r="AG227" s="12">
        <f>AVERAGE(All_India_Index_Upto_April23__1___1[[#This Row],[Household goods and services]],All_India_Index_Upto_April23__1___1[[#This Row],[Housing]])</f>
        <v>144.38548387096782</v>
      </c>
      <c r="AH227" s="12">
        <f>AVERAGE(All_India_Index_Upto_April23__1___1[[#This Row],[Miscellaneous]],All_India_Index_Upto_April23__1___1[[#This Row],[Personal care and effects]],All_India_Index_Upto_April23__1___1[[#This Row],[Education]],All_India_Index_Upto_April23__1___1[[#This Row],[Recreation and amusement]])</f>
        <v>144.85</v>
      </c>
      <c r="AI227" s="12">
        <f>SUM(All_India_Index_Upto_April23__1___1[[#This Row],[Cereals and products]:[Pan, tobacco and intoxicants]])</f>
        <v>1945.4</v>
      </c>
      <c r="AJ227" s="12">
        <f>SUM(All_India_Index_Upto_April23__1___1[[#This Row],[Household goods and services]],All_India_Index_Upto_April23__1___1[[#This Row],[Housing]])</f>
        <v>288.77096774193564</v>
      </c>
      <c r="AK227" s="12">
        <f>All_India_Index_Upto_April23__1___1[[#This Row],[Clothing]]+All_India_Index_Upto_April23__1___1[[#This Row],[Footwear]]</f>
        <v>297.89999999999998</v>
      </c>
      <c r="AL227" s="12">
        <f>All_India_Index_Upto_April23__1___1[[#This Row],[Miscellaneous]]+All_India_Index_Upto_April23__1___1[[#This Row],[Personal care and effects]]+All_India_Index_Upto_April23__1___1[[#This Row],[Education]]+All_India_Index_Upto_April23__1___1[[#This Row],[Recreation and amusement]]</f>
        <v>579.4</v>
      </c>
      <c r="AM22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3539.8709677419361</v>
      </c>
    </row>
    <row r="228" spans="1:39" hidden="1" x14ac:dyDescent="0.3">
      <c r="A228" t="s">
        <v>32</v>
      </c>
      <c r="B228">
        <v>2019</v>
      </c>
      <c r="C228" t="s">
        <v>37</v>
      </c>
      <c r="D228" t="str">
        <f t="shared" si="3"/>
        <v>May-19</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c r="AF228" s="12">
        <f>AVERAGE(All_India_Index_Upto_April23__1___1[[#This Row],[Cereals and products]:[Pan, tobacco and intoxicants]])</f>
        <v>141.26428571428573</v>
      </c>
      <c r="AG228" s="12">
        <f>AVERAGE(All_India_Index_Upto_April23__1___1[[#This Row],[Household goods and services]],All_India_Index_Upto_April23__1___1[[#This Row],[Housing]])</f>
        <v>143.64999999999998</v>
      </c>
      <c r="AH228" s="12">
        <f>AVERAGE(All_India_Index_Upto_April23__1___1[[#This Row],[Miscellaneous]],All_India_Index_Upto_April23__1___1[[#This Row],[Personal care and effects]],All_India_Index_Upto_April23__1___1[[#This Row],[Education]],All_India_Index_Upto_April23__1___1[[#This Row],[Recreation and amusement]])</f>
        <v>136.97499999999999</v>
      </c>
      <c r="AI228" s="12">
        <f>SUM(All_India_Index_Upto_April23__1___1[[#This Row],[Cereals and products]:[Pan, tobacco and intoxicants]])</f>
        <v>1977.7000000000003</v>
      </c>
      <c r="AJ228" s="12">
        <f>SUM(All_India_Index_Upto_April23__1___1[[#This Row],[Household goods and services]],All_India_Index_Upto_April23__1___1[[#This Row],[Housing]])</f>
        <v>287.29999999999995</v>
      </c>
      <c r="AK228" s="12">
        <f>All_India_Index_Upto_April23__1___1[[#This Row],[Clothing]]+All_India_Index_Upto_April23__1___1[[#This Row],[Footwear]]</f>
        <v>275.7</v>
      </c>
      <c r="AL228" s="12">
        <f>All_India_Index_Upto_April23__1___1[[#This Row],[Miscellaneous]]+All_India_Index_Upto_April23__1___1[[#This Row],[Personal care and effects]]+All_India_Index_Upto_April23__1___1[[#This Row],[Education]]+All_India_Index_Upto_April23__1___1[[#This Row],[Recreation and amusement]]</f>
        <v>547.9</v>
      </c>
      <c r="AM22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3477.9000000000005</v>
      </c>
    </row>
    <row r="229" spans="1:39" hidden="1" x14ac:dyDescent="0.3">
      <c r="A229" t="s">
        <v>33</v>
      </c>
      <c r="B229">
        <v>2019</v>
      </c>
      <c r="C229" t="s">
        <v>37</v>
      </c>
      <c r="D229" t="str">
        <f t="shared" si="3"/>
        <v>May-19</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c r="AF229" s="12">
        <f>AVERAGE(All_India_Index_Upto_April23__1___1[[#This Row],[Cereals and products]:[Pan, tobacco and intoxicants]])</f>
        <v>139.71428571428572</v>
      </c>
      <c r="AG229" s="12">
        <f>AVERAGE(All_India_Index_Upto_April23__1___1[[#This Row],[Household goods and services]],All_India_Index_Upto_April23__1___1[[#This Row],[Housing]])</f>
        <v>146.89999999999998</v>
      </c>
      <c r="AH229" s="12">
        <f>AVERAGE(All_India_Index_Upto_April23__1___1[[#This Row],[Miscellaneous]],All_India_Index_Upto_April23__1___1[[#This Row],[Personal care and effects]],All_India_Index_Upto_April23__1___1[[#This Row],[Education]],All_India_Index_Upto_April23__1___1[[#This Row],[Recreation and amusement]])</f>
        <v>140.60000000000002</v>
      </c>
      <c r="AI229" s="12">
        <f>SUM(All_India_Index_Upto_April23__1___1[[#This Row],[Cereals and products]:[Pan, tobacco and intoxicants]])</f>
        <v>1956.0000000000002</v>
      </c>
      <c r="AJ229" s="12">
        <f>SUM(All_India_Index_Upto_April23__1___1[[#This Row],[Household goods and services]],All_India_Index_Upto_April23__1___1[[#This Row],[Housing]])</f>
        <v>293.79999999999995</v>
      </c>
      <c r="AK229" s="12">
        <f>All_India_Index_Upto_April23__1___1[[#This Row],[Clothing]]+All_India_Index_Upto_April23__1___1[[#This Row],[Footwear]]</f>
        <v>288.8</v>
      </c>
      <c r="AL229" s="12">
        <f>All_India_Index_Upto_April23__1___1[[#This Row],[Miscellaneous]]+All_India_Index_Upto_April23__1___1[[#This Row],[Personal care and effects]]+All_India_Index_Upto_April23__1___1[[#This Row],[Education]]+All_India_Index_Upto_April23__1___1[[#This Row],[Recreation and amusement]]</f>
        <v>562.40000000000009</v>
      </c>
      <c r="AM22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3513.1000000000004</v>
      </c>
    </row>
    <row r="230" spans="1:39" hidden="1" x14ac:dyDescent="0.3">
      <c r="A230" t="s">
        <v>30</v>
      </c>
      <c r="B230">
        <v>2019</v>
      </c>
      <c r="C230" t="s">
        <v>38</v>
      </c>
      <c r="D230" t="str">
        <f t="shared" si="3"/>
        <v>Jun-19</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s="12">
        <f>'Handle Missing Value Sheet only'!$F$5</f>
        <v>139.27096774193564</v>
      </c>
      <c r="W230">
        <v>147.80000000000001</v>
      </c>
      <c r="X230">
        <v>149.6</v>
      </c>
      <c r="Y230">
        <v>151.69999999999999</v>
      </c>
      <c r="Z230">
        <v>130.19999999999999</v>
      </c>
      <c r="AA230">
        <v>146.4</v>
      </c>
      <c r="AB230">
        <v>157.69999999999999</v>
      </c>
      <c r="AC230">
        <v>134.80000000000001</v>
      </c>
      <c r="AD230">
        <v>143.30000000000001</v>
      </c>
      <c r="AE230">
        <v>143.6</v>
      </c>
      <c r="AF230" s="12">
        <f>AVERAGE(All_India_Index_Upto_April23__1___1[[#This Row],[Cereals and products]:[Pan, tobacco and intoxicants]])</f>
        <v>140.6</v>
      </c>
      <c r="AG230" s="12">
        <f>AVERAGE(All_India_Index_Upto_April23__1___1[[#This Row],[Household goods and services]],All_India_Index_Upto_April23__1___1[[#This Row],[Housing]])</f>
        <v>144.4354838709678</v>
      </c>
      <c r="AH230" s="12">
        <f>AVERAGE(All_India_Index_Upto_April23__1___1[[#This Row],[Miscellaneous]],All_India_Index_Upto_April23__1___1[[#This Row],[Personal care and effects]],All_India_Index_Upto_April23__1___1[[#This Row],[Education]],All_India_Index_Upto_April23__1___1[[#This Row],[Recreation and amusement]])</f>
        <v>145.55000000000001</v>
      </c>
      <c r="AI230" s="12">
        <f>SUM(All_India_Index_Upto_April23__1___1[[#This Row],[Cereals and products]:[Pan, tobacco and intoxicants]])</f>
        <v>1968.3999999999999</v>
      </c>
      <c r="AJ230" s="12">
        <f>SUM(All_India_Index_Upto_April23__1___1[[#This Row],[Household goods and services]],All_India_Index_Upto_April23__1___1[[#This Row],[Housing]])</f>
        <v>288.8709677419356</v>
      </c>
      <c r="AK230" s="12">
        <f>All_India_Index_Upto_April23__1___1[[#This Row],[Clothing]]+All_India_Index_Upto_April23__1___1[[#This Row],[Footwear]]</f>
        <v>297.89999999999998</v>
      </c>
      <c r="AL230" s="12">
        <f>All_India_Index_Upto_April23__1___1[[#This Row],[Miscellaneous]]+All_India_Index_Upto_April23__1___1[[#This Row],[Personal care and effects]]+All_India_Index_Upto_April23__1___1[[#This Row],[Education]]+All_India_Index_Upto_April23__1___1[[#This Row],[Recreation and amusement]]</f>
        <v>582.20000000000005</v>
      </c>
      <c r="AM23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3567.0709677419354</v>
      </c>
    </row>
    <row r="231" spans="1:39" hidden="1" x14ac:dyDescent="0.3">
      <c r="A231" t="s">
        <v>32</v>
      </c>
      <c r="B231">
        <v>2019</v>
      </c>
      <c r="C231" t="s">
        <v>38</v>
      </c>
      <c r="D231" t="str">
        <f t="shared" si="3"/>
        <v>Jun-19</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c r="AF231" s="12">
        <f>AVERAGE(All_India_Index_Upto_April23__1___1[[#This Row],[Cereals and products]:[Pan, tobacco and intoxicants]])</f>
        <v>142.85714285714283</v>
      </c>
      <c r="AG231" s="12">
        <f>AVERAGE(All_India_Index_Upto_April23__1___1[[#This Row],[Household goods and services]],All_India_Index_Upto_April23__1___1[[#This Row],[Housing]])</f>
        <v>143.4</v>
      </c>
      <c r="AH231" s="12">
        <f>AVERAGE(All_India_Index_Upto_April23__1___1[[#This Row],[Miscellaneous]],All_India_Index_Upto_April23__1___1[[#This Row],[Personal care and effects]],All_India_Index_Upto_April23__1___1[[#This Row],[Education]],All_India_Index_Upto_April23__1___1[[#This Row],[Recreation and amusement]])</f>
        <v>137.625</v>
      </c>
      <c r="AI231" s="12">
        <f>SUM(All_India_Index_Upto_April23__1___1[[#This Row],[Cereals and products]:[Pan, tobacco and intoxicants]])</f>
        <v>1999.9999999999998</v>
      </c>
      <c r="AJ231" s="12">
        <f>SUM(All_India_Index_Upto_April23__1___1[[#This Row],[Household goods and services]],All_India_Index_Upto_April23__1___1[[#This Row],[Housing]])</f>
        <v>286.8</v>
      </c>
      <c r="AK231" s="12">
        <f>All_India_Index_Upto_April23__1___1[[#This Row],[Clothing]]+All_India_Index_Upto_April23__1___1[[#This Row],[Footwear]]</f>
        <v>276</v>
      </c>
      <c r="AL231" s="12">
        <f>All_India_Index_Upto_April23__1___1[[#This Row],[Miscellaneous]]+All_India_Index_Upto_April23__1___1[[#This Row],[Personal care and effects]]+All_India_Index_Upto_April23__1___1[[#This Row],[Education]]+All_India_Index_Upto_April23__1___1[[#This Row],[Recreation and amusement]]</f>
        <v>550.5</v>
      </c>
      <c r="AM23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3503.7</v>
      </c>
    </row>
    <row r="232" spans="1:39" hidden="1" x14ac:dyDescent="0.3">
      <c r="A232" t="s">
        <v>33</v>
      </c>
      <c r="B232">
        <v>2019</v>
      </c>
      <c r="C232" t="s">
        <v>38</v>
      </c>
      <c r="D232" t="str">
        <f t="shared" si="3"/>
        <v>Jun-19</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c r="AF232" s="12">
        <f>AVERAGE(All_India_Index_Upto_April23__1___1[[#This Row],[Cereals and products]:[Pan, tobacco and intoxicants]])</f>
        <v>141.35714285714286</v>
      </c>
      <c r="AG232" s="12">
        <f>AVERAGE(All_India_Index_Upto_April23__1___1[[#This Row],[Household goods and services]],All_India_Index_Upto_April23__1___1[[#This Row],[Housing]])</f>
        <v>146.60000000000002</v>
      </c>
      <c r="AH232" s="12">
        <f>AVERAGE(All_India_Index_Upto_April23__1___1[[#This Row],[Miscellaneous]],All_India_Index_Upto_April23__1___1[[#This Row],[Personal care and effects]],All_India_Index_Upto_April23__1___1[[#This Row],[Education]],All_India_Index_Upto_April23__1___1[[#This Row],[Recreation and amusement]])</f>
        <v>141.25</v>
      </c>
      <c r="AI232" s="12">
        <f>SUM(All_India_Index_Upto_April23__1___1[[#This Row],[Cereals and products]:[Pan, tobacco and intoxicants]])</f>
        <v>1979.0000000000002</v>
      </c>
      <c r="AJ232" s="12">
        <f>SUM(All_India_Index_Upto_April23__1___1[[#This Row],[Household goods and services]],All_India_Index_Upto_April23__1___1[[#This Row],[Housing]])</f>
        <v>293.20000000000005</v>
      </c>
      <c r="AK232" s="12">
        <f>All_India_Index_Upto_April23__1___1[[#This Row],[Clothing]]+All_India_Index_Upto_April23__1___1[[#This Row],[Footwear]]</f>
        <v>289</v>
      </c>
      <c r="AL232" s="12">
        <f>All_India_Index_Upto_April23__1___1[[#This Row],[Miscellaneous]]+All_India_Index_Upto_April23__1___1[[#This Row],[Personal care and effects]]+All_India_Index_Upto_April23__1___1[[#This Row],[Education]]+All_India_Index_Upto_April23__1___1[[#This Row],[Recreation and amusement]]</f>
        <v>565</v>
      </c>
      <c r="AM23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3539.4</v>
      </c>
    </row>
    <row r="233" spans="1:39" hidden="1" x14ac:dyDescent="0.3">
      <c r="A233" t="s">
        <v>30</v>
      </c>
      <c r="B233">
        <v>2019</v>
      </c>
      <c r="C233" t="s">
        <v>39</v>
      </c>
      <c r="D233" t="str">
        <f t="shared" si="3"/>
        <v>Jul-19</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s="12">
        <f>'Handle Missing Value Sheet only'!$F$5</f>
        <v>139.27096774193564</v>
      </c>
      <c r="W233">
        <v>146.80000000000001</v>
      </c>
      <c r="X233">
        <v>150</v>
      </c>
      <c r="Y233">
        <v>152.19999999999999</v>
      </c>
      <c r="Z233">
        <v>131.19999999999999</v>
      </c>
      <c r="AA233">
        <v>147.5</v>
      </c>
      <c r="AB233">
        <v>159.1</v>
      </c>
      <c r="AC233">
        <v>136.1</v>
      </c>
      <c r="AD233">
        <v>144.19999999999999</v>
      </c>
      <c r="AE233">
        <v>144.9</v>
      </c>
      <c r="AF233" s="12">
        <f>AVERAGE(All_India_Index_Upto_April23__1___1[[#This Row],[Cereals and products]:[Pan, tobacco and intoxicants]])</f>
        <v>142.24285714285713</v>
      </c>
      <c r="AG233" s="12">
        <f>AVERAGE(All_India_Index_Upto_April23__1___1[[#This Row],[Household goods and services]],All_India_Index_Upto_April23__1___1[[#This Row],[Housing]])</f>
        <v>144.63548387096782</v>
      </c>
      <c r="AH233" s="12">
        <f>AVERAGE(All_India_Index_Upto_April23__1___1[[#This Row],[Miscellaneous]],All_India_Index_Upto_April23__1___1[[#This Row],[Personal care and effects]],All_India_Index_Upto_April23__1___1[[#This Row],[Education]],All_India_Index_Upto_April23__1___1[[#This Row],[Recreation and amusement]])</f>
        <v>146.72499999999999</v>
      </c>
      <c r="AI233" s="12">
        <f>SUM(All_India_Index_Upto_April23__1___1[[#This Row],[Cereals and products]:[Pan, tobacco and intoxicants]])</f>
        <v>1991.3999999999999</v>
      </c>
      <c r="AJ233" s="12">
        <f>SUM(All_India_Index_Upto_April23__1___1[[#This Row],[Household goods and services]],All_India_Index_Upto_April23__1___1[[#This Row],[Housing]])</f>
        <v>289.27096774193564</v>
      </c>
      <c r="AK233" s="12">
        <f>All_India_Index_Upto_April23__1___1[[#This Row],[Clothing]]+All_India_Index_Upto_April23__1___1[[#This Row],[Footwear]]</f>
        <v>298.2</v>
      </c>
      <c r="AL233" s="12">
        <f>All_India_Index_Upto_April23__1___1[[#This Row],[Miscellaneous]]+All_India_Index_Upto_April23__1___1[[#This Row],[Personal care and effects]]+All_India_Index_Upto_April23__1___1[[#This Row],[Education]]+All_India_Index_Upto_April23__1___1[[#This Row],[Recreation and amusement]]</f>
        <v>586.9</v>
      </c>
      <c r="AM23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3595.9709677419351</v>
      </c>
    </row>
    <row r="234" spans="1:39" hidden="1" x14ac:dyDescent="0.3">
      <c r="A234" t="s">
        <v>32</v>
      </c>
      <c r="B234">
        <v>2019</v>
      </c>
      <c r="C234" t="s">
        <v>39</v>
      </c>
      <c r="D234" t="str">
        <f t="shared" si="3"/>
        <v>Jul-19</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c r="AF234" s="12">
        <f>AVERAGE(All_India_Index_Upto_April23__1___1[[#This Row],[Cereals and products]:[Pan, tobacco and intoxicants]])</f>
        <v>144.6142857142857</v>
      </c>
      <c r="AG234" s="12">
        <f>AVERAGE(All_India_Index_Upto_April23__1___1[[#This Row],[Household goods and services]],All_India_Index_Upto_April23__1___1[[#This Row],[Housing]])</f>
        <v>144.14999999999998</v>
      </c>
      <c r="AH234" s="12">
        <f>AVERAGE(All_India_Index_Upto_April23__1___1[[#This Row],[Miscellaneous]],All_India_Index_Upto_April23__1___1[[#This Row],[Personal care and effects]],All_India_Index_Upto_April23__1___1[[#This Row],[Education]],All_India_Index_Upto_April23__1___1[[#This Row],[Recreation and amusement]])</f>
        <v>138.75</v>
      </c>
      <c r="AI234" s="12">
        <f>SUM(All_India_Index_Upto_April23__1___1[[#This Row],[Cereals and products]:[Pan, tobacco and intoxicants]])</f>
        <v>2024.6</v>
      </c>
      <c r="AJ234" s="12">
        <f>SUM(All_India_Index_Upto_April23__1___1[[#This Row],[Household goods and services]],All_India_Index_Upto_April23__1___1[[#This Row],[Housing]])</f>
        <v>288.29999999999995</v>
      </c>
      <c r="AK234" s="12">
        <f>All_India_Index_Upto_April23__1___1[[#This Row],[Clothing]]+All_India_Index_Upto_April23__1___1[[#This Row],[Footwear]]</f>
        <v>276.60000000000002</v>
      </c>
      <c r="AL234" s="12">
        <f>All_India_Index_Upto_April23__1___1[[#This Row],[Miscellaneous]]+All_India_Index_Upto_April23__1___1[[#This Row],[Personal care and effects]]+All_India_Index_Upto_April23__1___1[[#This Row],[Education]]+All_India_Index_Upto_April23__1___1[[#This Row],[Recreation and amusement]]</f>
        <v>555</v>
      </c>
      <c r="AM23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3532.9</v>
      </c>
    </row>
    <row r="235" spans="1:39" hidden="1" x14ac:dyDescent="0.3">
      <c r="A235" t="s">
        <v>33</v>
      </c>
      <c r="B235">
        <v>2019</v>
      </c>
      <c r="C235" t="s">
        <v>39</v>
      </c>
      <c r="D235" t="str">
        <f t="shared" si="3"/>
        <v>Jul-19</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c r="AF235" s="12">
        <f>AVERAGE(All_India_Index_Upto_April23__1___1[[#This Row],[Cereals and products]:[Pan, tobacco and intoxicants]])</f>
        <v>143.05000000000001</v>
      </c>
      <c r="AG235" s="12">
        <f>AVERAGE(All_India_Index_Upto_April23__1___1[[#This Row],[Household goods and services]],All_India_Index_Upto_April23__1___1[[#This Row],[Housing]])</f>
        <v>147.39999999999998</v>
      </c>
      <c r="AH235" s="12">
        <f>AVERAGE(All_India_Index_Upto_April23__1___1[[#This Row],[Miscellaneous]],All_India_Index_Upto_April23__1___1[[#This Row],[Personal care and effects]],All_India_Index_Upto_April23__1___1[[#This Row],[Education]],All_India_Index_Upto_April23__1___1[[#This Row],[Recreation and amusement]])</f>
        <v>142.42500000000001</v>
      </c>
      <c r="AI235" s="12">
        <f>SUM(All_India_Index_Upto_April23__1___1[[#This Row],[Cereals and products]:[Pan, tobacco and intoxicants]])</f>
        <v>2002.7</v>
      </c>
      <c r="AJ235" s="12">
        <f>SUM(All_India_Index_Upto_April23__1___1[[#This Row],[Household goods and services]],All_India_Index_Upto_April23__1___1[[#This Row],[Housing]])</f>
        <v>294.79999999999995</v>
      </c>
      <c r="AK235" s="12">
        <f>All_India_Index_Upto_April23__1___1[[#This Row],[Clothing]]+All_India_Index_Upto_April23__1___1[[#This Row],[Footwear]]</f>
        <v>289.39999999999998</v>
      </c>
      <c r="AL235" s="12">
        <f>All_India_Index_Upto_April23__1___1[[#This Row],[Miscellaneous]]+All_India_Index_Upto_April23__1___1[[#This Row],[Personal care and effects]]+All_India_Index_Upto_April23__1___1[[#This Row],[Education]]+All_India_Index_Upto_April23__1___1[[#This Row],[Recreation and amusement]]</f>
        <v>569.70000000000005</v>
      </c>
      <c r="AM23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3569.4000000000005</v>
      </c>
    </row>
    <row r="236" spans="1:39" hidden="1" x14ac:dyDescent="0.3">
      <c r="A236" t="s">
        <v>30</v>
      </c>
      <c r="B236">
        <v>2019</v>
      </c>
      <c r="C236" t="s">
        <v>40</v>
      </c>
      <c r="D236" t="str">
        <f t="shared" si="3"/>
        <v>Aug-19</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s="12">
        <f>'Handle Missing Value Sheet only'!$F$5</f>
        <v>139.27096774193564</v>
      </c>
      <c r="W236">
        <v>146.4</v>
      </c>
      <c r="X236">
        <v>150.19999999999999</v>
      </c>
      <c r="Y236">
        <v>152.69999999999999</v>
      </c>
      <c r="Z236">
        <v>131.4</v>
      </c>
      <c r="AA236">
        <v>148</v>
      </c>
      <c r="AB236">
        <v>159.69999999999999</v>
      </c>
      <c r="AC236">
        <v>138.80000000000001</v>
      </c>
      <c r="AD236">
        <v>144.9</v>
      </c>
      <c r="AE236">
        <v>145.69999999999999</v>
      </c>
      <c r="AF236" s="12">
        <f>AVERAGE(All_India_Index_Upto_April23__1___1[[#This Row],[Cereals and products]:[Pan, tobacco and intoxicants]])</f>
        <v>142.82857142857145</v>
      </c>
      <c r="AG236" s="12">
        <f>AVERAGE(All_India_Index_Upto_April23__1___1[[#This Row],[Household goods and services]],All_India_Index_Upto_April23__1___1[[#This Row],[Housing]])</f>
        <v>144.73548387096781</v>
      </c>
      <c r="AH236" s="12">
        <f>AVERAGE(All_India_Index_Upto_April23__1___1[[#This Row],[Miscellaneous]],All_India_Index_Upto_April23__1___1[[#This Row],[Personal care and effects]],All_India_Index_Upto_April23__1___1[[#This Row],[Education]],All_India_Index_Upto_April23__1___1[[#This Row],[Recreation and amusement]])</f>
        <v>147.85000000000002</v>
      </c>
      <c r="AI236" s="12">
        <f>SUM(All_India_Index_Upto_April23__1___1[[#This Row],[Cereals and products]:[Pan, tobacco and intoxicants]])</f>
        <v>1999.6000000000001</v>
      </c>
      <c r="AJ236" s="12">
        <f>SUM(All_India_Index_Upto_April23__1___1[[#This Row],[Household goods and services]],All_India_Index_Upto_April23__1___1[[#This Row],[Housing]])</f>
        <v>289.47096774193562</v>
      </c>
      <c r="AK236" s="12">
        <f>All_India_Index_Upto_April23__1___1[[#This Row],[Clothing]]+All_India_Index_Upto_April23__1___1[[#This Row],[Footwear]]</f>
        <v>298.39999999999998</v>
      </c>
      <c r="AL236" s="12">
        <f>All_India_Index_Upto_April23__1___1[[#This Row],[Miscellaneous]]+All_India_Index_Upto_April23__1___1[[#This Row],[Personal care and effects]]+All_India_Index_Upto_April23__1___1[[#This Row],[Education]]+All_India_Index_Upto_April23__1___1[[#This Row],[Recreation and amusement]]</f>
        <v>591.40000000000009</v>
      </c>
      <c r="AM23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3609.3709677419356</v>
      </c>
    </row>
    <row r="237" spans="1:39" hidden="1" x14ac:dyDescent="0.3">
      <c r="A237" t="s">
        <v>32</v>
      </c>
      <c r="B237">
        <v>2019</v>
      </c>
      <c r="C237" t="s">
        <v>40</v>
      </c>
      <c r="D237" t="str">
        <f t="shared" si="3"/>
        <v>Aug-19</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c r="AF237" s="12">
        <f>AVERAGE(All_India_Index_Upto_April23__1___1[[#This Row],[Cereals and products]:[Pan, tobacco and intoxicants]])</f>
        <v>145.5</v>
      </c>
      <c r="AG237" s="12">
        <f>AVERAGE(All_India_Index_Upto_April23__1___1[[#This Row],[Household goods and services]],All_India_Index_Upto_April23__1___1[[#This Row],[Housing]])</f>
        <v>144.85</v>
      </c>
      <c r="AH237" s="12">
        <f>AVERAGE(All_India_Index_Upto_April23__1___1[[#This Row],[Miscellaneous]],All_India_Index_Upto_April23__1___1[[#This Row],[Personal care and effects]],All_India_Index_Upto_April23__1___1[[#This Row],[Education]],All_India_Index_Upto_April23__1___1[[#This Row],[Recreation and amusement]])</f>
        <v>140</v>
      </c>
      <c r="AI237" s="12">
        <f>SUM(All_India_Index_Upto_April23__1___1[[#This Row],[Cereals and products]:[Pan, tobacco and intoxicants]])</f>
        <v>2037</v>
      </c>
      <c r="AJ237" s="12">
        <f>SUM(All_India_Index_Upto_April23__1___1[[#This Row],[Household goods and services]],All_India_Index_Upto_April23__1___1[[#This Row],[Housing]])</f>
        <v>289.7</v>
      </c>
      <c r="AK237" s="12">
        <f>All_India_Index_Upto_April23__1___1[[#This Row],[Clothing]]+All_India_Index_Upto_April23__1___1[[#This Row],[Footwear]]</f>
        <v>277.2</v>
      </c>
      <c r="AL237" s="12">
        <f>All_India_Index_Upto_April23__1___1[[#This Row],[Miscellaneous]]+All_India_Index_Upto_April23__1___1[[#This Row],[Personal care and effects]]+All_India_Index_Upto_April23__1___1[[#This Row],[Education]]+All_India_Index_Upto_April23__1___1[[#This Row],[Recreation and amusement]]</f>
        <v>560</v>
      </c>
      <c r="AM23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3551.7000000000003</v>
      </c>
    </row>
    <row r="238" spans="1:39" hidden="1" x14ac:dyDescent="0.3">
      <c r="A238" t="s">
        <v>33</v>
      </c>
      <c r="B238">
        <v>2019</v>
      </c>
      <c r="C238" t="s">
        <v>40</v>
      </c>
      <c r="D238" t="str">
        <f t="shared" si="3"/>
        <v>Aug-19</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c r="AF238" s="12">
        <f>AVERAGE(All_India_Index_Upto_April23__1___1[[#This Row],[Cereals and products]:[Pan, tobacco and intoxicants]])</f>
        <v>143.73571428571429</v>
      </c>
      <c r="AG238" s="12">
        <f>AVERAGE(All_India_Index_Upto_April23__1___1[[#This Row],[Household goods and services]],All_India_Index_Upto_April23__1___1[[#This Row],[Housing]])</f>
        <v>148.05000000000001</v>
      </c>
      <c r="AH238" s="12">
        <f>AVERAGE(All_India_Index_Upto_April23__1___1[[#This Row],[Miscellaneous]],All_India_Index_Upto_April23__1___1[[#This Row],[Personal care and effects]],All_India_Index_Upto_April23__1___1[[#This Row],[Education]],All_India_Index_Upto_April23__1___1[[#This Row],[Recreation and amusement]])</f>
        <v>143.6</v>
      </c>
      <c r="AI238" s="12">
        <f>SUM(All_India_Index_Upto_April23__1___1[[#This Row],[Cereals and products]:[Pan, tobacco and intoxicants]])</f>
        <v>2012.3</v>
      </c>
      <c r="AJ238" s="12">
        <f>SUM(All_India_Index_Upto_April23__1___1[[#This Row],[Household goods and services]],All_India_Index_Upto_April23__1___1[[#This Row],[Housing]])</f>
        <v>296.10000000000002</v>
      </c>
      <c r="AK238" s="12">
        <f>All_India_Index_Upto_April23__1___1[[#This Row],[Clothing]]+All_India_Index_Upto_April23__1___1[[#This Row],[Footwear]]</f>
        <v>289.7</v>
      </c>
      <c r="AL238" s="12">
        <f>All_India_Index_Upto_April23__1___1[[#This Row],[Miscellaneous]]+All_India_Index_Upto_April23__1___1[[#This Row],[Personal care and effects]]+All_India_Index_Upto_April23__1___1[[#This Row],[Education]]+All_India_Index_Upto_April23__1___1[[#This Row],[Recreation and amusement]]</f>
        <v>574.4</v>
      </c>
      <c r="AM23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3585.3</v>
      </c>
    </row>
    <row r="239" spans="1:39" hidden="1" x14ac:dyDescent="0.3">
      <c r="A239" t="s">
        <v>30</v>
      </c>
      <c r="B239">
        <v>2019</v>
      </c>
      <c r="C239" t="s">
        <v>41</v>
      </c>
      <c r="D239" t="str">
        <f t="shared" si="3"/>
        <v>Sep-19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s="12">
        <f>'Handle Missing Value Sheet only'!$F$5</f>
        <v>139.27096774193564</v>
      </c>
      <c r="W239">
        <v>146.9</v>
      </c>
      <c r="X239">
        <v>150.30000000000001</v>
      </c>
      <c r="Y239">
        <v>153.4</v>
      </c>
      <c r="Z239">
        <v>131.6</v>
      </c>
      <c r="AA239">
        <v>148.30000000000001</v>
      </c>
      <c r="AB239">
        <v>160.19999999999999</v>
      </c>
      <c r="AC239">
        <v>140.19999999999999</v>
      </c>
      <c r="AD239">
        <v>145.4</v>
      </c>
      <c r="AE239">
        <v>146.69999999999999</v>
      </c>
      <c r="AF239" s="12">
        <f>AVERAGE(All_India_Index_Upto_April23__1___1[[#This Row],[Cereals and products]:[Pan, tobacco and intoxicants]])</f>
        <v>143.8857142857143</v>
      </c>
      <c r="AG239" s="12">
        <f>AVERAGE(All_India_Index_Upto_April23__1___1[[#This Row],[Household goods and services]],All_India_Index_Upto_April23__1___1[[#This Row],[Housing]])</f>
        <v>144.78548387096782</v>
      </c>
      <c r="AH239" s="12">
        <f>AVERAGE(All_India_Index_Upto_April23__1___1[[#This Row],[Miscellaneous]],All_India_Index_Upto_April23__1___1[[#This Row],[Personal care and effects]],All_India_Index_Upto_April23__1___1[[#This Row],[Education]],All_India_Index_Upto_April23__1___1[[#This Row],[Recreation and amusement]])</f>
        <v>148.52500000000001</v>
      </c>
      <c r="AI239" s="12">
        <f>SUM(All_India_Index_Upto_April23__1___1[[#This Row],[Cereals and products]:[Pan, tobacco and intoxicants]])</f>
        <v>2014.4</v>
      </c>
      <c r="AJ239" s="12">
        <f>SUM(All_India_Index_Upto_April23__1___1[[#This Row],[Household goods and services]],All_India_Index_Upto_April23__1___1[[#This Row],[Housing]])</f>
        <v>289.57096774193565</v>
      </c>
      <c r="AK239" s="12">
        <f>All_India_Index_Upto_April23__1___1[[#This Row],[Clothing]]+All_India_Index_Upto_April23__1___1[[#This Row],[Footwear]]</f>
        <v>298.29999999999995</v>
      </c>
      <c r="AL239" s="12">
        <f>All_India_Index_Upto_April23__1___1[[#This Row],[Miscellaneous]]+All_India_Index_Upto_April23__1___1[[#This Row],[Personal care and effects]]+All_India_Index_Upto_April23__1___1[[#This Row],[Education]]+All_India_Index_Upto_April23__1___1[[#This Row],[Recreation and amusement]]</f>
        <v>594.1</v>
      </c>
      <c r="AM23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3628.2709677419357</v>
      </c>
    </row>
    <row r="240" spans="1:39" hidden="1" x14ac:dyDescent="0.3">
      <c r="A240" t="s">
        <v>32</v>
      </c>
      <c r="B240">
        <v>2019</v>
      </c>
      <c r="C240" t="s">
        <v>41</v>
      </c>
      <c r="D240" t="str">
        <f t="shared" si="3"/>
        <v>Sep-19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c r="AF240" s="12">
        <f>AVERAGE(All_India_Index_Upto_April23__1___1[[#This Row],[Cereals and products]:[Pan, tobacco and intoxicants]])</f>
        <v>145.96428571428572</v>
      </c>
      <c r="AG240" s="12">
        <f>AVERAGE(All_India_Index_Upto_April23__1___1[[#This Row],[Household goods and services]],All_India_Index_Upto_April23__1___1[[#This Row],[Housing]])</f>
        <v>145.25</v>
      </c>
      <c r="AH240" s="12">
        <f>AVERAGE(All_India_Index_Upto_April23__1___1[[#This Row],[Miscellaneous]],All_India_Index_Upto_April23__1___1[[#This Row],[Personal care and effects]],All_India_Index_Upto_April23__1___1[[#This Row],[Education]],All_India_Index_Upto_April23__1___1[[#This Row],[Recreation and amusement]])</f>
        <v>140.54999999999998</v>
      </c>
      <c r="AI240" s="12">
        <f>SUM(All_India_Index_Upto_April23__1___1[[#This Row],[Cereals and products]:[Pan, tobacco and intoxicants]])</f>
        <v>2043.5</v>
      </c>
      <c r="AJ240" s="12">
        <f>SUM(All_India_Index_Upto_April23__1___1[[#This Row],[Household goods and services]],All_India_Index_Upto_April23__1___1[[#This Row],[Housing]])</f>
        <v>290.5</v>
      </c>
      <c r="AK240" s="12">
        <f>All_India_Index_Upto_April23__1___1[[#This Row],[Clothing]]+All_India_Index_Upto_April23__1___1[[#This Row],[Footwear]]</f>
        <v>277.5</v>
      </c>
      <c r="AL240" s="12">
        <f>All_India_Index_Upto_April23__1___1[[#This Row],[Miscellaneous]]+All_India_Index_Upto_April23__1___1[[#This Row],[Personal care and effects]]+All_India_Index_Upto_April23__1___1[[#This Row],[Education]]+All_India_Index_Upto_April23__1___1[[#This Row],[Recreation and amusement]]</f>
        <v>562.19999999999993</v>
      </c>
      <c r="AM24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3563.3999999999996</v>
      </c>
    </row>
    <row r="241" spans="1:39" hidden="1" x14ac:dyDescent="0.3">
      <c r="A241" t="s">
        <v>33</v>
      </c>
      <c r="B241">
        <v>2019</v>
      </c>
      <c r="C241" t="s">
        <v>41</v>
      </c>
      <c r="D241" t="str">
        <f t="shared" si="3"/>
        <v>Sep-19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c r="AF241" s="12">
        <f>AVERAGE(All_India_Index_Upto_April23__1___1[[#This Row],[Cereals and products]:[Pan, tobacco and intoxicants]])</f>
        <v>144.58571428571426</v>
      </c>
      <c r="AG241" s="12">
        <f>AVERAGE(All_India_Index_Upto_April23__1___1[[#This Row],[Household goods and services]],All_India_Index_Upto_April23__1___1[[#This Row],[Housing]])</f>
        <v>148.39999999999998</v>
      </c>
      <c r="AH241" s="12">
        <f>AVERAGE(All_India_Index_Upto_April23__1___1[[#This Row],[Miscellaneous]],All_India_Index_Upto_April23__1___1[[#This Row],[Personal care and effects]],All_India_Index_Upto_April23__1___1[[#This Row],[Education]],All_India_Index_Upto_April23__1___1[[#This Row],[Recreation and amusement]])</f>
        <v>144.22499999999999</v>
      </c>
      <c r="AI241" s="12">
        <f>SUM(All_India_Index_Upto_April23__1___1[[#This Row],[Cereals and products]:[Pan, tobacco and intoxicants]])</f>
        <v>2024.1999999999998</v>
      </c>
      <c r="AJ241" s="12">
        <f>SUM(All_India_Index_Upto_April23__1___1[[#This Row],[Household goods and services]],All_India_Index_Upto_April23__1___1[[#This Row],[Housing]])</f>
        <v>296.79999999999995</v>
      </c>
      <c r="AK241" s="12">
        <f>All_India_Index_Upto_April23__1___1[[#This Row],[Clothing]]+All_India_Index_Upto_April23__1___1[[#This Row],[Footwear]]</f>
        <v>289.79999999999995</v>
      </c>
      <c r="AL241" s="12">
        <f>All_India_Index_Upto_April23__1___1[[#This Row],[Miscellaneous]]+All_India_Index_Upto_April23__1___1[[#This Row],[Personal care and effects]]+All_India_Index_Upto_April23__1___1[[#This Row],[Education]]+All_India_Index_Upto_April23__1___1[[#This Row],[Recreation and amusement]]</f>
        <v>576.9</v>
      </c>
      <c r="AM24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3601.9999999999995</v>
      </c>
    </row>
    <row r="242" spans="1:39" hidden="1" x14ac:dyDescent="0.3">
      <c r="A242" t="s">
        <v>30</v>
      </c>
      <c r="B242">
        <v>2019</v>
      </c>
      <c r="C242" t="s">
        <v>42</v>
      </c>
      <c r="D242" t="str">
        <f t="shared" si="3"/>
        <v>Oct-19</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s="12">
        <f>'Handle Missing Value Sheet only'!$F$5</f>
        <v>139.27096774193564</v>
      </c>
      <c r="W242">
        <v>147.69999999999999</v>
      </c>
      <c r="X242">
        <v>150.6</v>
      </c>
      <c r="Y242">
        <v>153.69999999999999</v>
      </c>
      <c r="Z242">
        <v>131.69999999999999</v>
      </c>
      <c r="AA242">
        <v>148.69999999999999</v>
      </c>
      <c r="AB242">
        <v>160.69999999999999</v>
      </c>
      <c r="AC242">
        <v>140.30000000000001</v>
      </c>
      <c r="AD242">
        <v>145.69999999999999</v>
      </c>
      <c r="AE242">
        <v>148.30000000000001</v>
      </c>
      <c r="AF242" s="12">
        <f>AVERAGE(All_India_Index_Upto_April23__1___1[[#This Row],[Cereals and products]:[Pan, tobacco and intoxicants]])</f>
        <v>145.94285714285712</v>
      </c>
      <c r="AG242" s="12">
        <f>AVERAGE(All_India_Index_Upto_April23__1___1[[#This Row],[Household goods and services]],All_India_Index_Upto_April23__1___1[[#This Row],[Housing]])</f>
        <v>144.9354838709678</v>
      </c>
      <c r="AH242" s="12">
        <f>AVERAGE(All_India_Index_Upto_April23__1___1[[#This Row],[Miscellaneous]],All_India_Index_Upto_April23__1___1[[#This Row],[Personal care and effects]],All_India_Index_Upto_April23__1___1[[#This Row],[Education]],All_India_Index_Upto_April23__1___1[[#This Row],[Recreation and amusement]])</f>
        <v>148.85</v>
      </c>
      <c r="AI242" s="12">
        <f>SUM(All_India_Index_Upto_April23__1___1[[#This Row],[Cereals and products]:[Pan, tobacco and intoxicants]])</f>
        <v>2043.1999999999996</v>
      </c>
      <c r="AJ242" s="12">
        <f>SUM(All_India_Index_Upto_April23__1___1[[#This Row],[Household goods and services]],All_India_Index_Upto_April23__1___1[[#This Row],[Housing]])</f>
        <v>289.8709677419356</v>
      </c>
      <c r="AK242" s="12">
        <f>All_India_Index_Upto_April23__1___1[[#This Row],[Clothing]]+All_India_Index_Upto_April23__1___1[[#This Row],[Footwear]]</f>
        <v>298.39999999999998</v>
      </c>
      <c r="AL242" s="12">
        <f>All_India_Index_Upto_April23__1___1[[#This Row],[Miscellaneous]]+All_India_Index_Upto_April23__1___1[[#This Row],[Personal care and effects]]+All_India_Index_Upto_April23__1___1[[#This Row],[Education]]+All_India_Index_Upto_April23__1___1[[#This Row],[Recreation and amusement]]</f>
        <v>595.4</v>
      </c>
      <c r="AM24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3659.9709677419346</v>
      </c>
    </row>
    <row r="243" spans="1:39" hidden="1" x14ac:dyDescent="0.3">
      <c r="A243" t="s">
        <v>32</v>
      </c>
      <c r="B243">
        <v>2019</v>
      </c>
      <c r="C243" t="s">
        <v>42</v>
      </c>
      <c r="D243" t="str">
        <f t="shared" si="3"/>
        <v>Oct-19</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c r="AF243" s="12">
        <f>AVERAGE(All_India_Index_Upto_April23__1___1[[#This Row],[Cereals and products]:[Pan, tobacco and intoxicants]])</f>
        <v>147.99285714285716</v>
      </c>
      <c r="AG243" s="12">
        <f>AVERAGE(All_India_Index_Upto_April23__1___1[[#This Row],[Household goods and services]],All_India_Index_Upto_April23__1___1[[#This Row],[Housing]])</f>
        <v>145.85</v>
      </c>
      <c r="AH243" s="12">
        <f>AVERAGE(All_India_Index_Upto_April23__1___1[[#This Row],[Miscellaneous]],All_India_Index_Upto_April23__1___1[[#This Row],[Personal care and effects]],All_India_Index_Upto_April23__1___1[[#This Row],[Education]],All_India_Index_Upto_April23__1___1[[#This Row],[Recreation and amusement]])</f>
        <v>140.85</v>
      </c>
      <c r="AI243" s="12">
        <f>SUM(All_India_Index_Upto_April23__1___1[[#This Row],[Cereals and products]:[Pan, tobacco and intoxicants]])</f>
        <v>2071.9</v>
      </c>
      <c r="AJ243" s="12">
        <f>SUM(All_India_Index_Upto_April23__1___1[[#This Row],[Household goods and services]],All_India_Index_Upto_April23__1___1[[#This Row],[Housing]])</f>
        <v>291.7</v>
      </c>
      <c r="AK243" s="12">
        <f>All_India_Index_Upto_April23__1___1[[#This Row],[Clothing]]+All_India_Index_Upto_April23__1___1[[#This Row],[Footwear]]</f>
        <v>278.3</v>
      </c>
      <c r="AL243" s="12">
        <f>All_India_Index_Upto_April23__1___1[[#This Row],[Miscellaneous]]+All_India_Index_Upto_April23__1___1[[#This Row],[Personal care and effects]]+All_India_Index_Upto_April23__1___1[[#This Row],[Education]]+All_India_Index_Upto_April23__1___1[[#This Row],[Recreation and amusement]]</f>
        <v>563.4</v>
      </c>
      <c r="AM24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3598.1000000000004</v>
      </c>
    </row>
    <row r="244" spans="1:39" hidden="1" x14ac:dyDescent="0.3">
      <c r="A244" t="s">
        <v>33</v>
      </c>
      <c r="B244">
        <v>2019</v>
      </c>
      <c r="C244" t="s">
        <v>42</v>
      </c>
      <c r="D244" t="str">
        <f t="shared" si="3"/>
        <v>Oct-19</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c r="AF244" s="12">
        <f>AVERAGE(All_India_Index_Upto_April23__1___1[[#This Row],[Cereals and products]:[Pan, tobacco and intoxicants]])</f>
        <v>146.62142857142857</v>
      </c>
      <c r="AG244" s="12">
        <f>AVERAGE(All_India_Index_Upto_April23__1___1[[#This Row],[Household goods and services]],All_India_Index_Upto_April23__1___1[[#This Row],[Housing]])</f>
        <v>149</v>
      </c>
      <c r="AH244" s="12">
        <f>AVERAGE(All_India_Index_Upto_April23__1___1[[#This Row],[Miscellaneous]],All_India_Index_Upto_April23__1___1[[#This Row],[Personal care and effects]],All_India_Index_Upto_April23__1___1[[#This Row],[Education]],All_India_Index_Upto_April23__1___1[[#This Row],[Recreation and amusement]])</f>
        <v>144.52499999999998</v>
      </c>
      <c r="AI244" s="12">
        <f>SUM(All_India_Index_Upto_April23__1___1[[#This Row],[Cereals and products]:[Pan, tobacco and intoxicants]])</f>
        <v>2052.6999999999998</v>
      </c>
      <c r="AJ244" s="12">
        <f>SUM(All_India_Index_Upto_April23__1___1[[#This Row],[Household goods and services]],All_India_Index_Upto_April23__1___1[[#This Row],[Housing]])</f>
        <v>298</v>
      </c>
      <c r="AK244" s="12">
        <f>All_India_Index_Upto_April23__1___1[[#This Row],[Clothing]]+All_India_Index_Upto_April23__1___1[[#This Row],[Footwear]]</f>
        <v>290.20000000000005</v>
      </c>
      <c r="AL244" s="12">
        <f>All_India_Index_Upto_April23__1___1[[#This Row],[Miscellaneous]]+All_India_Index_Upto_April23__1___1[[#This Row],[Personal care and effects]]+All_India_Index_Upto_April23__1___1[[#This Row],[Education]]+All_India_Index_Upto_April23__1___1[[#This Row],[Recreation and amusement]]</f>
        <v>578.09999999999991</v>
      </c>
      <c r="AM24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3635.3</v>
      </c>
    </row>
    <row r="245" spans="1:39" hidden="1" x14ac:dyDescent="0.3">
      <c r="A245" t="s">
        <v>30</v>
      </c>
      <c r="B245">
        <v>2019</v>
      </c>
      <c r="C245" t="s">
        <v>44</v>
      </c>
      <c r="D245" t="str">
        <f t="shared" si="3"/>
        <v>Nov-19</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s="12">
        <f>'Handle Missing Value Sheet only'!$F$5</f>
        <v>139.27096774193564</v>
      </c>
      <c r="W245">
        <v>148.4</v>
      </c>
      <c r="X245">
        <v>150.9</v>
      </c>
      <c r="Y245">
        <v>154.30000000000001</v>
      </c>
      <c r="Z245">
        <v>132.1</v>
      </c>
      <c r="AA245">
        <v>149.1</v>
      </c>
      <c r="AB245">
        <v>160.80000000000001</v>
      </c>
      <c r="AC245">
        <v>140.6</v>
      </c>
      <c r="AD245">
        <v>146.1</v>
      </c>
      <c r="AE245">
        <v>149.9</v>
      </c>
      <c r="AF245" s="12">
        <f>AVERAGE(All_India_Index_Upto_April23__1___1[[#This Row],[Cereals and products]:[Pan, tobacco and intoxicants]])</f>
        <v>147.98571428571429</v>
      </c>
      <c r="AG245" s="12">
        <f>AVERAGE(All_India_Index_Upto_April23__1___1[[#This Row],[Household goods and services]],All_India_Index_Upto_April23__1___1[[#This Row],[Housing]])</f>
        <v>145.08548387096783</v>
      </c>
      <c r="AH245" s="12">
        <f>AVERAGE(All_India_Index_Upto_April23__1___1[[#This Row],[Miscellaneous]],All_India_Index_Upto_April23__1___1[[#This Row],[Personal care and effects]],All_India_Index_Upto_April23__1___1[[#This Row],[Education]],All_India_Index_Upto_April23__1___1[[#This Row],[Recreation and amusement]])</f>
        <v>149.15</v>
      </c>
      <c r="AI245" s="12">
        <f>SUM(All_India_Index_Upto_April23__1___1[[#This Row],[Cereals and products]:[Pan, tobacco and intoxicants]])</f>
        <v>2071.8000000000002</v>
      </c>
      <c r="AJ245" s="12">
        <f>SUM(All_India_Index_Upto_April23__1___1[[#This Row],[Household goods and services]],All_India_Index_Upto_April23__1___1[[#This Row],[Housing]])</f>
        <v>290.17096774193567</v>
      </c>
      <c r="AK245" s="12">
        <f>All_India_Index_Upto_April23__1___1[[#This Row],[Clothing]]+All_India_Index_Upto_April23__1___1[[#This Row],[Footwear]]</f>
        <v>299.3</v>
      </c>
      <c r="AL245" s="12">
        <f>All_India_Index_Upto_April23__1___1[[#This Row],[Miscellaneous]]+All_India_Index_Upto_April23__1___1[[#This Row],[Personal care and effects]]+All_India_Index_Upto_April23__1___1[[#This Row],[Education]]+All_India_Index_Upto_April23__1___1[[#This Row],[Recreation and amusement]]</f>
        <v>596.6</v>
      </c>
      <c r="AM24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3692.6709677419362</v>
      </c>
    </row>
    <row r="246" spans="1:39" hidden="1" x14ac:dyDescent="0.3">
      <c r="A246" t="s">
        <v>32</v>
      </c>
      <c r="B246">
        <v>2019</v>
      </c>
      <c r="C246" t="s">
        <v>44</v>
      </c>
      <c r="D246" t="str">
        <f t="shared" si="3"/>
        <v>Nov-19</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c r="AF246" s="12">
        <f>AVERAGE(All_India_Index_Upto_April23__1___1[[#This Row],[Cereals and products]:[Pan, tobacco and intoxicants]])</f>
        <v>149.56428571428569</v>
      </c>
      <c r="AG246" s="12">
        <f>AVERAGE(All_India_Index_Upto_April23__1___1[[#This Row],[Household goods and services]],All_India_Index_Upto_April23__1___1[[#This Row],[Housing]])</f>
        <v>146.30000000000001</v>
      </c>
      <c r="AH246" s="12">
        <f>AVERAGE(All_India_Index_Upto_April23__1___1[[#This Row],[Miscellaneous]],All_India_Index_Upto_April23__1___1[[#This Row],[Personal care and effects]],All_India_Index_Upto_April23__1___1[[#This Row],[Education]],All_India_Index_Upto_April23__1___1[[#This Row],[Recreation and amusement]])</f>
        <v>141.15</v>
      </c>
      <c r="AI246" s="12">
        <f>SUM(All_India_Index_Upto_April23__1___1[[#This Row],[Cereals and products]:[Pan, tobacco and intoxicants]])</f>
        <v>2093.8999999999996</v>
      </c>
      <c r="AJ246" s="12">
        <f>SUM(All_India_Index_Upto_April23__1___1[[#This Row],[Household goods and services]],All_India_Index_Upto_April23__1___1[[#This Row],[Housing]])</f>
        <v>292.60000000000002</v>
      </c>
      <c r="AK246" s="12">
        <f>All_India_Index_Upto_April23__1___1[[#This Row],[Clothing]]+All_India_Index_Upto_April23__1___1[[#This Row],[Footwear]]</f>
        <v>278.89999999999998</v>
      </c>
      <c r="AL246" s="12">
        <f>All_India_Index_Upto_April23__1___1[[#This Row],[Miscellaneous]]+All_India_Index_Upto_April23__1___1[[#This Row],[Personal care and effects]]+All_India_Index_Upto_April23__1___1[[#This Row],[Education]]+All_India_Index_Upto_April23__1___1[[#This Row],[Recreation and amusement]]</f>
        <v>564.6</v>
      </c>
      <c r="AM24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3626.6999999999994</v>
      </c>
    </row>
    <row r="247" spans="1:39" hidden="1" x14ac:dyDescent="0.3">
      <c r="A247" t="s">
        <v>33</v>
      </c>
      <c r="B247">
        <v>2019</v>
      </c>
      <c r="C247" t="s">
        <v>44</v>
      </c>
      <c r="D247" t="str">
        <f t="shared" si="3"/>
        <v>Nov-19</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c r="AF247" s="12">
        <f>AVERAGE(All_India_Index_Upto_April23__1___1[[#This Row],[Cereals and products]:[Pan, tobacco and intoxicants]])</f>
        <v>148.48571428571429</v>
      </c>
      <c r="AG247" s="12">
        <f>AVERAGE(All_India_Index_Upto_April23__1___1[[#This Row],[Household goods and services]],All_India_Index_Upto_April23__1___1[[#This Row],[Housing]])</f>
        <v>149.4</v>
      </c>
      <c r="AH247" s="12">
        <f>AVERAGE(All_India_Index_Upto_April23__1___1[[#This Row],[Miscellaneous]],All_India_Index_Upto_April23__1___1[[#This Row],[Personal care and effects]],All_India_Index_Upto_April23__1___1[[#This Row],[Education]],All_India_Index_Upto_April23__1___1[[#This Row],[Recreation and amusement]])</f>
        <v>144.80000000000001</v>
      </c>
      <c r="AI247" s="12">
        <f>SUM(All_India_Index_Upto_April23__1___1[[#This Row],[Cereals and products]:[Pan, tobacco and intoxicants]])</f>
        <v>2078.8000000000002</v>
      </c>
      <c r="AJ247" s="12">
        <f>SUM(All_India_Index_Upto_April23__1___1[[#This Row],[Household goods and services]],All_India_Index_Upto_April23__1___1[[#This Row],[Housing]])</f>
        <v>298.8</v>
      </c>
      <c r="AK247" s="12">
        <f>All_India_Index_Upto_April23__1___1[[#This Row],[Clothing]]+All_India_Index_Upto_April23__1___1[[#This Row],[Footwear]]</f>
        <v>290.89999999999998</v>
      </c>
      <c r="AL247" s="12">
        <f>All_India_Index_Upto_April23__1___1[[#This Row],[Miscellaneous]]+All_India_Index_Upto_April23__1___1[[#This Row],[Personal care and effects]]+All_India_Index_Upto_April23__1___1[[#This Row],[Education]]+All_India_Index_Upto_April23__1___1[[#This Row],[Recreation and amusement]]</f>
        <v>579.20000000000005</v>
      </c>
      <c r="AM24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3666.5000000000005</v>
      </c>
    </row>
    <row r="248" spans="1:39" hidden="1" x14ac:dyDescent="0.3">
      <c r="A248" t="s">
        <v>30</v>
      </c>
      <c r="B248">
        <v>2019</v>
      </c>
      <c r="C248" t="s">
        <v>45</v>
      </c>
      <c r="D248" t="str">
        <f t="shared" si="3"/>
        <v>Dec-19</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s="12">
        <f>'Handle Missing Value Sheet only'!$F$5</f>
        <v>139.27096774193564</v>
      </c>
      <c r="W248">
        <v>149.9</v>
      </c>
      <c r="X248">
        <v>151.19999999999999</v>
      </c>
      <c r="Y248">
        <v>154.80000000000001</v>
      </c>
      <c r="Z248">
        <v>135</v>
      </c>
      <c r="AA248">
        <v>149.5</v>
      </c>
      <c r="AB248">
        <v>161.1</v>
      </c>
      <c r="AC248">
        <v>140.6</v>
      </c>
      <c r="AD248">
        <v>147.1</v>
      </c>
      <c r="AE248">
        <v>152.30000000000001</v>
      </c>
      <c r="AF248" s="12">
        <f>AVERAGE(All_India_Index_Upto_April23__1___1[[#This Row],[Cereals and products]:[Pan, tobacco and intoxicants]])</f>
        <v>150.62857142857141</v>
      </c>
      <c r="AG248" s="12">
        <f>AVERAGE(All_India_Index_Upto_April23__1___1[[#This Row],[Household goods and services]],All_India_Index_Upto_April23__1___1[[#This Row],[Housing]])</f>
        <v>145.23548387096781</v>
      </c>
      <c r="AH248" s="12">
        <f>AVERAGE(All_India_Index_Upto_April23__1___1[[#This Row],[Miscellaneous]],All_India_Index_Upto_April23__1___1[[#This Row],[Personal care and effects]],All_India_Index_Upto_April23__1___1[[#This Row],[Education]],All_India_Index_Upto_April23__1___1[[#This Row],[Recreation and amusement]])</f>
        <v>149.57499999999999</v>
      </c>
      <c r="AI248" s="12">
        <f>SUM(All_India_Index_Upto_April23__1___1[[#This Row],[Cereals and products]:[Pan, tobacco and intoxicants]])</f>
        <v>2108.7999999999997</v>
      </c>
      <c r="AJ248" s="12">
        <f>SUM(All_India_Index_Upto_April23__1___1[[#This Row],[Household goods and services]],All_India_Index_Upto_April23__1___1[[#This Row],[Housing]])</f>
        <v>290.47096774193562</v>
      </c>
      <c r="AK248" s="12">
        <f>All_India_Index_Upto_April23__1___1[[#This Row],[Clothing]]+All_India_Index_Upto_April23__1___1[[#This Row],[Footwear]]</f>
        <v>299.89999999999998</v>
      </c>
      <c r="AL248" s="12">
        <f>All_India_Index_Upto_April23__1___1[[#This Row],[Miscellaneous]]+All_India_Index_Upto_April23__1___1[[#This Row],[Personal care and effects]]+All_India_Index_Upto_April23__1___1[[#This Row],[Education]]+All_India_Index_Upto_April23__1___1[[#This Row],[Recreation and amusement]]</f>
        <v>598.29999999999995</v>
      </c>
      <c r="AM24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3737.1709677419353</v>
      </c>
    </row>
    <row r="249" spans="1:39" hidden="1" x14ac:dyDescent="0.3">
      <c r="A249" t="s">
        <v>32</v>
      </c>
      <c r="B249">
        <v>2019</v>
      </c>
      <c r="C249" t="s">
        <v>45</v>
      </c>
      <c r="D249" t="str">
        <f t="shared" si="3"/>
        <v>Dec-19</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c r="AF249" s="12">
        <f>AVERAGE(All_India_Index_Upto_April23__1___1[[#This Row],[Cereals and products]:[Pan, tobacco and intoxicants]])</f>
        <v>151.93571428571428</v>
      </c>
      <c r="AG249" s="12">
        <f>AVERAGE(All_India_Index_Upto_April23__1___1[[#This Row],[Household goods and services]],All_India_Index_Upto_April23__1___1[[#This Row],[Housing]])</f>
        <v>146.30000000000001</v>
      </c>
      <c r="AH249" s="12">
        <f>AVERAGE(All_India_Index_Upto_April23__1___1[[#This Row],[Miscellaneous]],All_India_Index_Upto_April23__1___1[[#This Row],[Personal care and effects]],All_India_Index_Upto_April23__1___1[[#This Row],[Education]],All_India_Index_Upto_April23__1___1[[#This Row],[Recreation and amusement]])</f>
        <v>141.64999999999998</v>
      </c>
      <c r="AI249" s="12">
        <f>SUM(All_India_Index_Upto_April23__1___1[[#This Row],[Cereals and products]:[Pan, tobacco and intoxicants]])</f>
        <v>2127.1</v>
      </c>
      <c r="AJ249" s="12">
        <f>SUM(All_India_Index_Upto_April23__1___1[[#This Row],[Household goods and services]],All_India_Index_Upto_April23__1___1[[#This Row],[Housing]])</f>
        <v>292.60000000000002</v>
      </c>
      <c r="AK249" s="12">
        <f>All_India_Index_Upto_April23__1___1[[#This Row],[Clothing]]+All_India_Index_Upto_April23__1___1[[#This Row],[Footwear]]</f>
        <v>279.60000000000002</v>
      </c>
      <c r="AL249" s="12">
        <f>All_India_Index_Upto_April23__1___1[[#This Row],[Miscellaneous]]+All_India_Index_Upto_April23__1___1[[#This Row],[Personal care and effects]]+All_India_Index_Upto_April23__1___1[[#This Row],[Education]]+All_India_Index_Upto_April23__1___1[[#This Row],[Recreation and amusement]]</f>
        <v>566.59999999999991</v>
      </c>
      <c r="AM24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3667.8999999999992</v>
      </c>
    </row>
    <row r="250" spans="1:39" hidden="1" x14ac:dyDescent="0.3">
      <c r="A250" t="s">
        <v>33</v>
      </c>
      <c r="B250">
        <v>2019</v>
      </c>
      <c r="C250" t="s">
        <v>45</v>
      </c>
      <c r="D250" t="str">
        <f t="shared" si="3"/>
        <v>Dec-19</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c r="AF250" s="12">
        <f>AVERAGE(All_India_Index_Upto_April23__1___1[[#This Row],[Cereals and products]:[Pan, tobacco and intoxicants]])</f>
        <v>151.04285714285717</v>
      </c>
      <c r="AG250" s="12">
        <f>AVERAGE(All_India_Index_Upto_April23__1___1[[#This Row],[Household goods and services]],All_India_Index_Upto_April23__1___1[[#This Row],[Housing]])</f>
        <v>149.30000000000001</v>
      </c>
      <c r="AH250" s="12">
        <f>AVERAGE(All_India_Index_Upto_April23__1___1[[#This Row],[Miscellaneous]],All_India_Index_Upto_April23__1___1[[#This Row],[Personal care and effects]],All_India_Index_Upto_April23__1___1[[#This Row],[Education]],All_India_Index_Upto_April23__1___1[[#This Row],[Recreation and amusement]])</f>
        <v>145.22499999999999</v>
      </c>
      <c r="AI250" s="12">
        <f>SUM(All_India_Index_Upto_April23__1___1[[#This Row],[Cereals and products]:[Pan, tobacco and intoxicants]])</f>
        <v>2114.6000000000004</v>
      </c>
      <c r="AJ250" s="12">
        <f>SUM(All_India_Index_Upto_April23__1___1[[#This Row],[Household goods and services]],All_India_Index_Upto_April23__1___1[[#This Row],[Housing]])</f>
        <v>298.60000000000002</v>
      </c>
      <c r="AK250" s="12">
        <f>All_India_Index_Upto_April23__1___1[[#This Row],[Clothing]]+All_India_Index_Upto_April23__1___1[[#This Row],[Footwear]]</f>
        <v>291.60000000000002</v>
      </c>
      <c r="AL250" s="12">
        <f>All_India_Index_Upto_April23__1___1[[#This Row],[Miscellaneous]]+All_India_Index_Upto_April23__1___1[[#This Row],[Personal care and effects]]+All_India_Index_Upto_April23__1___1[[#This Row],[Education]]+All_India_Index_Upto_April23__1___1[[#This Row],[Recreation and amusement]]</f>
        <v>580.9</v>
      </c>
      <c r="AM25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3709.6000000000004</v>
      </c>
    </row>
    <row r="251" spans="1:39" hidden="1" x14ac:dyDescent="0.3">
      <c r="A251" t="s">
        <v>30</v>
      </c>
      <c r="B251">
        <v>2020</v>
      </c>
      <c r="C251" t="s">
        <v>31</v>
      </c>
      <c r="D251" t="str">
        <f t="shared" si="3"/>
        <v>Jan-20</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s="12">
        <f>'Handle Missing Value Sheet only'!$F$5</f>
        <v>139.27096774193564</v>
      </c>
      <c r="W251">
        <v>150.4</v>
      </c>
      <c r="X251">
        <v>151.69999999999999</v>
      </c>
      <c r="Y251">
        <v>155.69999999999999</v>
      </c>
      <c r="Z251">
        <v>136.30000000000001</v>
      </c>
      <c r="AA251">
        <v>150.1</v>
      </c>
      <c r="AB251">
        <v>161.69999999999999</v>
      </c>
      <c r="AC251">
        <v>142.5</v>
      </c>
      <c r="AD251">
        <v>148.1</v>
      </c>
      <c r="AE251">
        <v>151.9</v>
      </c>
      <c r="AF251" s="12">
        <f>AVERAGE(All_India_Index_Upto_April23__1___1[[#This Row],[Cereals and products]:[Pan, tobacco and intoxicants]])</f>
        <v>150.51428571428571</v>
      </c>
      <c r="AG251" s="12">
        <f>AVERAGE(All_India_Index_Upto_April23__1___1[[#This Row],[Household goods and services]],All_India_Index_Upto_April23__1___1[[#This Row],[Housing]])</f>
        <v>145.48548387096781</v>
      </c>
      <c r="AH251" s="12">
        <f>AVERAGE(All_India_Index_Upto_April23__1___1[[#This Row],[Miscellaneous]],All_India_Index_Upto_April23__1___1[[#This Row],[Personal care and effects]],All_India_Index_Upto_April23__1___1[[#This Row],[Education]],All_India_Index_Upto_April23__1___1[[#This Row],[Recreation and amusement]])</f>
        <v>150.6</v>
      </c>
      <c r="AI251" s="12">
        <f>SUM(All_India_Index_Upto_April23__1___1[[#This Row],[Cereals and products]:[Pan, tobacco and intoxicants]])</f>
        <v>2107.1999999999998</v>
      </c>
      <c r="AJ251" s="12">
        <f>SUM(All_India_Index_Upto_April23__1___1[[#This Row],[Household goods and services]],All_India_Index_Upto_April23__1___1[[#This Row],[Housing]])</f>
        <v>290.97096774193562</v>
      </c>
      <c r="AK251" s="12">
        <f>All_India_Index_Upto_April23__1___1[[#This Row],[Clothing]]+All_India_Index_Upto_April23__1___1[[#This Row],[Footwear]]</f>
        <v>300.20000000000005</v>
      </c>
      <c r="AL251" s="12">
        <f>All_India_Index_Upto_April23__1___1[[#This Row],[Miscellaneous]]+All_India_Index_Upto_April23__1___1[[#This Row],[Personal care and effects]]+All_India_Index_Upto_April23__1___1[[#This Row],[Education]]+All_India_Index_Upto_April23__1___1[[#This Row],[Recreation and amusement]]</f>
        <v>602.4</v>
      </c>
      <c r="AM25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3743.1709677419353</v>
      </c>
    </row>
    <row r="252" spans="1:39" hidden="1" x14ac:dyDescent="0.3">
      <c r="A252" t="s">
        <v>32</v>
      </c>
      <c r="B252">
        <v>2020</v>
      </c>
      <c r="C252" t="s">
        <v>31</v>
      </c>
      <c r="D252" t="str">
        <f t="shared" si="3"/>
        <v>Jan-20</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c r="AF252" s="12">
        <f>AVERAGE(All_India_Index_Upto_April23__1___1[[#This Row],[Cereals and products]:[Pan, tobacco and intoxicants]])</f>
        <v>151.15714285714284</v>
      </c>
      <c r="AG252" s="12">
        <f>AVERAGE(All_India_Index_Upto_April23__1___1[[#This Row],[Household goods and services]],All_India_Index_Upto_April23__1___1[[#This Row],[Housing]])</f>
        <v>147</v>
      </c>
      <c r="AH252" s="12">
        <f>AVERAGE(All_India_Index_Upto_April23__1___1[[#This Row],[Miscellaneous]],All_India_Index_Upto_April23__1___1[[#This Row],[Personal care and effects]],All_India_Index_Upto_April23__1___1[[#This Row],[Education]],All_India_Index_Upto_April23__1___1[[#This Row],[Recreation and amusement]])</f>
        <v>142.44999999999999</v>
      </c>
      <c r="AI252" s="12">
        <f>SUM(All_India_Index_Upto_April23__1___1[[#This Row],[Cereals and products]:[Pan, tobacco and intoxicants]])</f>
        <v>2116.1999999999998</v>
      </c>
      <c r="AJ252" s="12">
        <f>SUM(All_India_Index_Upto_April23__1___1[[#This Row],[Household goods and services]],All_India_Index_Upto_April23__1___1[[#This Row],[Housing]])</f>
        <v>294</v>
      </c>
      <c r="AK252" s="12">
        <f>All_India_Index_Upto_April23__1___1[[#This Row],[Clothing]]+All_India_Index_Upto_April23__1___1[[#This Row],[Footwear]]</f>
        <v>280.2</v>
      </c>
      <c r="AL252" s="12">
        <f>All_India_Index_Upto_April23__1___1[[#This Row],[Miscellaneous]]+All_India_Index_Upto_April23__1___1[[#This Row],[Personal care and effects]]+All_India_Index_Upto_April23__1___1[[#This Row],[Education]]+All_India_Index_Upto_April23__1___1[[#This Row],[Recreation and amusement]]</f>
        <v>569.79999999999995</v>
      </c>
      <c r="AM25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3665.2</v>
      </c>
    </row>
    <row r="253" spans="1:39" hidden="1" x14ac:dyDescent="0.3">
      <c r="A253" t="s">
        <v>33</v>
      </c>
      <c r="B253">
        <v>2020</v>
      </c>
      <c r="C253" t="s">
        <v>31</v>
      </c>
      <c r="D253" t="str">
        <f t="shared" si="3"/>
        <v>Jan-20</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c r="AF253" s="12">
        <f>AVERAGE(All_India_Index_Upto_April23__1___1[[#This Row],[Cereals and products]:[Pan, tobacco and intoxicants]])</f>
        <v>150.68571428571428</v>
      </c>
      <c r="AG253" s="12">
        <f>AVERAGE(All_India_Index_Upto_April23__1___1[[#This Row],[Household goods and services]],All_India_Index_Upto_April23__1___1[[#This Row],[Housing]])</f>
        <v>150.05000000000001</v>
      </c>
      <c r="AH253" s="12">
        <f>AVERAGE(All_India_Index_Upto_April23__1___1[[#This Row],[Miscellaneous]],All_India_Index_Upto_April23__1___1[[#This Row],[Personal care and effects]],All_India_Index_Upto_April23__1___1[[#This Row],[Education]],All_India_Index_Upto_April23__1___1[[#This Row],[Recreation and amusement]])</f>
        <v>146.15000000000003</v>
      </c>
      <c r="AI253" s="12">
        <f>SUM(All_India_Index_Upto_April23__1___1[[#This Row],[Cereals and products]:[Pan, tobacco and intoxicants]])</f>
        <v>2109.6</v>
      </c>
      <c r="AJ253" s="12">
        <f>SUM(All_India_Index_Upto_April23__1___1[[#This Row],[Household goods and services]],All_India_Index_Upto_April23__1___1[[#This Row],[Housing]])</f>
        <v>300.10000000000002</v>
      </c>
      <c r="AK253" s="12">
        <f>All_India_Index_Upto_April23__1___1[[#This Row],[Clothing]]+All_India_Index_Upto_April23__1___1[[#This Row],[Footwear]]</f>
        <v>292</v>
      </c>
      <c r="AL253" s="12">
        <f>All_India_Index_Upto_April23__1___1[[#This Row],[Miscellaneous]]+All_India_Index_Upto_April23__1___1[[#This Row],[Personal care and effects]]+All_India_Index_Upto_April23__1___1[[#This Row],[Education]]+All_India_Index_Upto_April23__1___1[[#This Row],[Recreation and amusement]]</f>
        <v>584.60000000000014</v>
      </c>
      <c r="AM25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3713</v>
      </c>
    </row>
    <row r="254" spans="1:39" hidden="1" x14ac:dyDescent="0.3">
      <c r="A254" t="s">
        <v>30</v>
      </c>
      <c r="B254">
        <v>2020</v>
      </c>
      <c r="C254" t="s">
        <v>34</v>
      </c>
      <c r="D254" t="str">
        <f t="shared" si="3"/>
        <v>Feb-20</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s="12">
        <f>'Handle Missing Value Sheet only'!$F$5</f>
        <v>139.27096774193564</v>
      </c>
      <c r="W254">
        <v>152.30000000000001</v>
      </c>
      <c r="X254">
        <v>151.80000000000001</v>
      </c>
      <c r="Y254">
        <v>156.19999999999999</v>
      </c>
      <c r="Z254">
        <v>136</v>
      </c>
      <c r="AA254">
        <v>150.4</v>
      </c>
      <c r="AB254">
        <v>161.9</v>
      </c>
      <c r="AC254">
        <v>143.4</v>
      </c>
      <c r="AD254">
        <v>148.4</v>
      </c>
      <c r="AE254">
        <v>150.4</v>
      </c>
      <c r="AF254" s="12">
        <f>AVERAGE(All_India_Index_Upto_April23__1___1[[#This Row],[Cereals and products]:[Pan, tobacco and intoxicants]])</f>
        <v>148.51428571428571</v>
      </c>
      <c r="AG254" s="12">
        <f>AVERAGE(All_India_Index_Upto_April23__1___1[[#This Row],[Household goods and services]],All_India_Index_Upto_April23__1___1[[#This Row],[Housing]])</f>
        <v>145.53548387096782</v>
      </c>
      <c r="AH254" s="12">
        <f>AVERAGE(All_India_Index_Upto_April23__1___1[[#This Row],[Miscellaneous]],All_India_Index_Upto_April23__1___1[[#This Row],[Personal care and effects]],All_India_Index_Upto_April23__1___1[[#This Row],[Education]],All_India_Index_Upto_April23__1___1[[#This Row],[Recreation and amusement]])</f>
        <v>151.02500000000001</v>
      </c>
      <c r="AI254" s="12">
        <f>SUM(All_India_Index_Upto_April23__1___1[[#This Row],[Cereals and products]:[Pan, tobacco and intoxicants]])</f>
        <v>2079.1999999999998</v>
      </c>
      <c r="AJ254" s="12">
        <f>SUM(All_India_Index_Upto_April23__1___1[[#This Row],[Household goods and services]],All_India_Index_Upto_April23__1___1[[#This Row],[Housing]])</f>
        <v>291.07096774193565</v>
      </c>
      <c r="AK254" s="12">
        <f>All_India_Index_Upto_April23__1___1[[#This Row],[Clothing]]+All_India_Index_Upto_April23__1___1[[#This Row],[Footwear]]</f>
        <v>300.5</v>
      </c>
      <c r="AL254" s="12">
        <f>All_India_Index_Upto_April23__1___1[[#This Row],[Miscellaneous]]+All_India_Index_Upto_April23__1___1[[#This Row],[Personal care and effects]]+All_India_Index_Upto_April23__1___1[[#This Row],[Education]]+All_India_Index_Upto_April23__1___1[[#This Row],[Recreation and amusement]]</f>
        <v>604.1</v>
      </c>
      <c r="AM25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3719.3709677419356</v>
      </c>
    </row>
    <row r="255" spans="1:39" hidden="1" x14ac:dyDescent="0.3">
      <c r="A255" t="s">
        <v>32</v>
      </c>
      <c r="B255">
        <v>2020</v>
      </c>
      <c r="C255" t="s">
        <v>34</v>
      </c>
      <c r="D255" t="str">
        <f t="shared" si="3"/>
        <v>Feb-20</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c r="AF255" s="12">
        <f>AVERAGE(All_India_Index_Upto_April23__1___1[[#This Row],[Cereals and products]:[Pan, tobacco and intoxicants]])</f>
        <v>149.18571428571428</v>
      </c>
      <c r="AG255" s="12">
        <f>AVERAGE(All_India_Index_Upto_April23__1___1[[#This Row],[Household goods and services]],All_India_Index_Upto_April23__1___1[[#This Row],[Housing]])</f>
        <v>147.60000000000002</v>
      </c>
      <c r="AH255" s="12">
        <f>AVERAGE(All_India_Index_Upto_April23__1___1[[#This Row],[Miscellaneous]],All_India_Index_Upto_April23__1___1[[#This Row],[Personal care and effects]],All_India_Index_Upto_April23__1___1[[#This Row],[Education]],All_India_Index_Upto_April23__1___1[[#This Row],[Recreation and amusement]])</f>
        <v>142.94999999999999</v>
      </c>
      <c r="AI255" s="12">
        <f>SUM(All_India_Index_Upto_April23__1___1[[#This Row],[Cereals and products]:[Pan, tobacco and intoxicants]])</f>
        <v>2088.6</v>
      </c>
      <c r="AJ255" s="12">
        <f>SUM(All_India_Index_Upto_April23__1___1[[#This Row],[Household goods and services]],All_India_Index_Upto_April23__1___1[[#This Row],[Housing]])</f>
        <v>295.20000000000005</v>
      </c>
      <c r="AK255" s="12">
        <f>All_India_Index_Upto_April23__1___1[[#This Row],[Clothing]]+All_India_Index_Upto_April23__1___1[[#This Row],[Footwear]]</f>
        <v>280.8</v>
      </c>
      <c r="AL255" s="12">
        <f>All_India_Index_Upto_April23__1___1[[#This Row],[Miscellaneous]]+All_India_Index_Upto_April23__1___1[[#This Row],[Personal care and effects]]+All_India_Index_Upto_April23__1___1[[#This Row],[Education]]+All_India_Index_Upto_April23__1___1[[#This Row],[Recreation and amusement]]</f>
        <v>571.79999999999995</v>
      </c>
      <c r="AM25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3644.8999999999996</v>
      </c>
    </row>
    <row r="256" spans="1:39" hidden="1" x14ac:dyDescent="0.3">
      <c r="A256" t="s">
        <v>33</v>
      </c>
      <c r="B256">
        <v>2020</v>
      </c>
      <c r="C256" t="s">
        <v>34</v>
      </c>
      <c r="D256" t="str">
        <f t="shared" si="3"/>
        <v>Feb-20</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c r="AF256" s="12">
        <f>AVERAGE(All_India_Index_Upto_April23__1___1[[#This Row],[Cereals and products]:[Pan, tobacco and intoxicants]])</f>
        <v>148.69285714285712</v>
      </c>
      <c r="AG256" s="12">
        <f>AVERAGE(All_India_Index_Upto_April23__1___1[[#This Row],[Household goods and services]],All_India_Index_Upto_April23__1___1[[#This Row],[Housing]])</f>
        <v>150.60000000000002</v>
      </c>
      <c r="AH256" s="12">
        <f>AVERAGE(All_India_Index_Upto_April23__1___1[[#This Row],[Miscellaneous]],All_India_Index_Upto_April23__1___1[[#This Row],[Personal care and effects]],All_India_Index_Upto_April23__1___1[[#This Row],[Education]],All_India_Index_Upto_April23__1___1[[#This Row],[Recreation and amusement]])</f>
        <v>146.6</v>
      </c>
      <c r="AI256" s="12">
        <f>SUM(All_India_Index_Upto_April23__1___1[[#This Row],[Cereals and products]:[Pan, tobacco and intoxicants]])</f>
        <v>2081.6999999999998</v>
      </c>
      <c r="AJ256" s="12">
        <f>SUM(All_India_Index_Upto_April23__1___1[[#This Row],[Household goods and services]],All_India_Index_Upto_April23__1___1[[#This Row],[Housing]])</f>
        <v>301.20000000000005</v>
      </c>
      <c r="AK256" s="12">
        <f>All_India_Index_Upto_April23__1___1[[#This Row],[Clothing]]+All_India_Index_Upto_April23__1___1[[#This Row],[Footwear]]</f>
        <v>292.5</v>
      </c>
      <c r="AL256" s="12">
        <f>All_India_Index_Upto_April23__1___1[[#This Row],[Miscellaneous]]+All_India_Index_Upto_April23__1___1[[#This Row],[Personal care and effects]]+All_India_Index_Upto_April23__1___1[[#This Row],[Education]]+All_India_Index_Upto_April23__1___1[[#This Row],[Recreation and amusement]]</f>
        <v>586.4</v>
      </c>
      <c r="AM25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3690.9999999999995</v>
      </c>
    </row>
    <row r="257" spans="1:39" hidden="1" x14ac:dyDescent="0.3">
      <c r="A257" t="s">
        <v>30</v>
      </c>
      <c r="B257">
        <v>2020</v>
      </c>
      <c r="C257" t="s">
        <v>35</v>
      </c>
      <c r="D257" t="str">
        <f t="shared" si="3"/>
        <v>Mar-20</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s="12">
        <f>'Handle Missing Value Sheet only'!$F$5</f>
        <v>139.27096774193564</v>
      </c>
      <c r="W257">
        <v>153.4</v>
      </c>
      <c r="X257">
        <v>151.5</v>
      </c>
      <c r="Y257">
        <v>156.69999999999999</v>
      </c>
      <c r="Z257">
        <v>135.80000000000001</v>
      </c>
      <c r="AA257">
        <v>151.19999999999999</v>
      </c>
      <c r="AB257">
        <v>161.19999999999999</v>
      </c>
      <c r="AC257">
        <v>145.1</v>
      </c>
      <c r="AD257">
        <v>148.6</v>
      </c>
      <c r="AE257">
        <v>149.80000000000001</v>
      </c>
      <c r="AF257" s="12">
        <f>AVERAGE(All_India_Index_Upto_April23__1___1[[#This Row],[Cereals and products]:[Pan, tobacco and intoxicants]])</f>
        <v>147.50714285714281</v>
      </c>
      <c r="AG257" s="12">
        <f>AVERAGE(All_India_Index_Upto_April23__1___1[[#This Row],[Household goods and services]],All_India_Index_Upto_April23__1___1[[#This Row],[Housing]])</f>
        <v>145.38548387096782</v>
      </c>
      <c r="AH257" s="12">
        <f>AVERAGE(All_India_Index_Upto_April23__1___1[[#This Row],[Miscellaneous]],All_India_Index_Upto_April23__1___1[[#This Row],[Personal care and effects]],All_India_Index_Upto_April23__1___1[[#This Row],[Education]],All_India_Index_Upto_April23__1___1[[#This Row],[Recreation and amusement]])</f>
        <v>151.52499999999998</v>
      </c>
      <c r="AI257" s="12">
        <f>SUM(All_India_Index_Upto_April23__1___1[[#This Row],[Cereals and products]:[Pan, tobacco and intoxicants]])</f>
        <v>2065.0999999999995</v>
      </c>
      <c r="AJ257" s="12">
        <f>SUM(All_India_Index_Upto_April23__1___1[[#This Row],[Household goods and services]],All_India_Index_Upto_April23__1___1[[#This Row],[Housing]])</f>
        <v>290.77096774193564</v>
      </c>
      <c r="AK257" s="12">
        <f>All_India_Index_Upto_April23__1___1[[#This Row],[Clothing]]+All_India_Index_Upto_April23__1___1[[#This Row],[Footwear]]</f>
        <v>301</v>
      </c>
      <c r="AL257" s="12">
        <f>All_India_Index_Upto_April23__1___1[[#This Row],[Miscellaneous]]+All_India_Index_Upto_April23__1___1[[#This Row],[Personal care and effects]]+All_India_Index_Upto_April23__1___1[[#This Row],[Education]]+All_India_Index_Upto_April23__1___1[[#This Row],[Recreation and amusement]]</f>
        <v>606.09999999999991</v>
      </c>
      <c r="AM25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3708.8709677419351</v>
      </c>
    </row>
    <row r="258" spans="1:39" hidden="1" x14ac:dyDescent="0.3">
      <c r="A258" t="s">
        <v>32</v>
      </c>
      <c r="B258">
        <v>2020</v>
      </c>
      <c r="C258" t="s">
        <v>35</v>
      </c>
      <c r="D258" t="str">
        <f t="shared" ref="D258:D321" si="4">TEXT(DATE(B258, MONTH(1&amp;C258), 1), "mmm-yy")</f>
        <v>Mar-20</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c r="AF258" s="12">
        <f>AVERAGE(All_India_Index_Upto_April23__1___1[[#This Row],[Cereals and products]:[Pan, tobacco and intoxicants]])</f>
        <v>147.98571428571429</v>
      </c>
      <c r="AG258" s="12">
        <f>AVERAGE(All_India_Index_Upto_April23__1___1[[#This Row],[Household goods and services]],All_India_Index_Upto_April23__1___1[[#This Row],[Housing]])</f>
        <v>147.65</v>
      </c>
      <c r="AH258" s="12">
        <f>AVERAGE(All_India_Index_Upto_April23__1___1[[#This Row],[Miscellaneous]],All_India_Index_Upto_April23__1___1[[#This Row],[Personal care and effects]],All_India_Index_Upto_April23__1___1[[#This Row],[Education]],All_India_Index_Upto_April23__1___1[[#This Row],[Recreation and amusement]])</f>
        <v>143.6</v>
      </c>
      <c r="AI258" s="12">
        <f>SUM(All_India_Index_Upto_April23__1___1[[#This Row],[Cereals and products]:[Pan, tobacco and intoxicants]])</f>
        <v>2071.8000000000002</v>
      </c>
      <c r="AJ258" s="12">
        <f>SUM(All_India_Index_Upto_April23__1___1[[#This Row],[Household goods and services]],All_India_Index_Upto_April23__1___1[[#This Row],[Housing]])</f>
        <v>295.3</v>
      </c>
      <c r="AK258" s="12">
        <f>All_India_Index_Upto_April23__1___1[[#This Row],[Clothing]]+All_India_Index_Upto_April23__1___1[[#This Row],[Footwear]]</f>
        <v>281.5</v>
      </c>
      <c r="AL258" s="12">
        <f>All_India_Index_Upto_April23__1___1[[#This Row],[Miscellaneous]]+All_India_Index_Upto_April23__1___1[[#This Row],[Personal care and effects]]+All_India_Index_Upto_April23__1___1[[#This Row],[Education]]+All_India_Index_Upto_April23__1___1[[#This Row],[Recreation and amusement]]</f>
        <v>574.4</v>
      </c>
      <c r="AM25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3634</v>
      </c>
    </row>
    <row r="259" spans="1:39" hidden="1" x14ac:dyDescent="0.3">
      <c r="A259" t="s">
        <v>33</v>
      </c>
      <c r="B259">
        <v>2020</v>
      </c>
      <c r="C259" t="s">
        <v>35</v>
      </c>
      <c r="D259" t="str">
        <f t="shared" si="4"/>
        <v>Mar-20</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c r="AF259" s="12">
        <f>AVERAGE(All_India_Index_Upto_April23__1___1[[#This Row],[Cereals and products]:[Pan, tobacco and intoxicants]])</f>
        <v>147.6142857142857</v>
      </c>
      <c r="AG259" s="12">
        <f>AVERAGE(All_India_Index_Upto_April23__1___1[[#This Row],[Household goods and services]],All_India_Index_Upto_April23__1___1[[#This Row],[Housing]])</f>
        <v>150.44999999999999</v>
      </c>
      <c r="AH259" s="12">
        <f>AVERAGE(All_India_Index_Upto_April23__1___1[[#This Row],[Miscellaneous]],All_India_Index_Upto_April23__1___1[[#This Row],[Personal care and effects]],All_India_Index_Upto_April23__1___1[[#This Row],[Education]],All_India_Index_Upto_April23__1___1[[#This Row],[Recreation and amusement]])</f>
        <v>147.19999999999999</v>
      </c>
      <c r="AI259" s="12">
        <f>SUM(All_India_Index_Upto_April23__1___1[[#This Row],[Cereals and products]:[Pan, tobacco and intoxicants]])</f>
        <v>2066.6</v>
      </c>
      <c r="AJ259" s="12">
        <f>SUM(All_India_Index_Upto_April23__1___1[[#This Row],[Household goods and services]],All_India_Index_Upto_April23__1___1[[#This Row],[Housing]])</f>
        <v>300.89999999999998</v>
      </c>
      <c r="AK259" s="12">
        <f>All_India_Index_Upto_April23__1___1[[#This Row],[Clothing]]+All_India_Index_Upto_April23__1___1[[#This Row],[Footwear]]</f>
        <v>293.10000000000002</v>
      </c>
      <c r="AL259" s="12">
        <f>All_India_Index_Upto_April23__1___1[[#This Row],[Miscellaneous]]+All_India_Index_Upto_April23__1___1[[#This Row],[Personal care and effects]]+All_India_Index_Upto_April23__1___1[[#This Row],[Education]]+All_India_Index_Upto_April23__1___1[[#This Row],[Recreation and amusement]]</f>
        <v>588.79999999999995</v>
      </c>
      <c r="AM25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3680.5</v>
      </c>
    </row>
    <row r="260" spans="1:39" hidden="1" x14ac:dyDescent="0.3">
      <c r="A260" t="s">
        <v>30</v>
      </c>
      <c r="B260">
        <v>2020</v>
      </c>
      <c r="C260" t="s">
        <v>36</v>
      </c>
      <c r="D260" t="str">
        <f t="shared" si="4"/>
        <v>Apr-20</v>
      </c>
      <c r="E260">
        <v>147.19999999999999</v>
      </c>
      <c r="G260">
        <v>146.9</v>
      </c>
      <c r="H260">
        <v>155.6</v>
      </c>
      <c r="I260">
        <v>137.1</v>
      </c>
      <c r="J260">
        <v>147.30000000000001</v>
      </c>
      <c r="K260">
        <v>162.69999999999999</v>
      </c>
      <c r="L260">
        <v>150.19999999999999</v>
      </c>
      <c r="M260">
        <v>119.8</v>
      </c>
      <c r="N260">
        <v>158.69999999999999</v>
      </c>
      <c r="O260">
        <v>139.19999999999999</v>
      </c>
      <c r="Q260">
        <v>150.1</v>
      </c>
      <c r="V260" s="12">
        <f>'Handle Missing Value Sheet only'!$F$5</f>
        <v>139.27096774193564</v>
      </c>
      <c r="W260">
        <v>148.4</v>
      </c>
      <c r="Y260">
        <v>154.30000000000001</v>
      </c>
      <c r="AF260" s="12">
        <f>AVERAGE(All_India_Index_Upto_April23__1___1[[#This Row],[Cereals and products]:[Pan, tobacco and intoxicants]])</f>
        <v>146.80000000000001</v>
      </c>
      <c r="AG260" s="12">
        <f>AVERAGE(All_India_Index_Upto_April23__1___1[[#This Row],[Household goods and services]],All_India_Index_Upto_April23__1___1[[#This Row],[Housing]])</f>
        <v>139.27096774193564</v>
      </c>
      <c r="AH260" s="12" t="e">
        <f>AVERAGE(All_India_Index_Upto_April23__1___1[[#This Row],[Miscellaneous]],All_India_Index_Upto_April23__1___1[[#This Row],[Personal care and effects]],All_India_Index_Upto_April23__1___1[[#This Row],[Education]],All_India_Index_Upto_April23__1___1[[#This Row],[Recreation and amusement]])</f>
        <v>#DIV/0!</v>
      </c>
      <c r="AI260" s="12">
        <f>SUM(All_India_Index_Upto_April23__1___1[[#This Row],[Cereals and products]:[Pan, tobacco and intoxicants]])</f>
        <v>1614.8000000000002</v>
      </c>
      <c r="AJ260" s="12">
        <f>SUM(All_India_Index_Upto_April23__1___1[[#This Row],[Household goods and services]],All_India_Index_Upto_April23__1___1[[#This Row],[Housing]])</f>
        <v>139.27096774193564</v>
      </c>
      <c r="AK260" s="12">
        <f>All_India_Index_Upto_April23__1___1[[#This Row],[Clothing]]+All_India_Index_Upto_April23__1___1[[#This Row],[Footwear]]</f>
        <v>0</v>
      </c>
      <c r="AL260" s="12">
        <f>All_India_Index_Upto_April23__1___1[[#This Row],[Miscellaneous]]+All_India_Index_Upto_April23__1___1[[#This Row],[Personal care and effects]]+All_India_Index_Upto_April23__1___1[[#This Row],[Education]]+All_India_Index_Upto_April23__1___1[[#This Row],[Recreation and amusement]]</f>
        <v>0</v>
      </c>
      <c r="AM26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2056.7709677419357</v>
      </c>
    </row>
    <row r="261" spans="1:39" hidden="1" x14ac:dyDescent="0.3">
      <c r="A261" t="s">
        <v>32</v>
      </c>
      <c r="B261">
        <v>2020</v>
      </c>
      <c r="C261" t="s">
        <v>36</v>
      </c>
      <c r="D261" t="str">
        <f t="shared" si="4"/>
        <v>Apr-20</v>
      </c>
      <c r="E261">
        <v>151.80000000000001</v>
      </c>
      <c r="G261">
        <v>151.9</v>
      </c>
      <c r="H261">
        <v>155.5</v>
      </c>
      <c r="I261">
        <v>131.6</v>
      </c>
      <c r="J261">
        <v>152.9</v>
      </c>
      <c r="K261">
        <v>180</v>
      </c>
      <c r="L261">
        <v>150.80000000000001</v>
      </c>
      <c r="M261">
        <v>121.2</v>
      </c>
      <c r="N261">
        <v>154</v>
      </c>
      <c r="O261">
        <v>133.5</v>
      </c>
      <c r="Q261">
        <v>153.5</v>
      </c>
      <c r="V261">
        <v>155.6</v>
      </c>
      <c r="W261">
        <v>137.1</v>
      </c>
      <c r="Y261">
        <v>144.80000000000001</v>
      </c>
      <c r="AF261" s="12">
        <f>AVERAGE(All_India_Index_Upto_April23__1___1[[#This Row],[Cereals and products]:[Pan, tobacco and intoxicants]])</f>
        <v>148.79090909090908</v>
      </c>
      <c r="AG261" s="12">
        <f>AVERAGE(All_India_Index_Upto_April23__1___1[[#This Row],[Household goods and services]],All_India_Index_Upto_April23__1___1[[#This Row],[Housing]])</f>
        <v>155.6</v>
      </c>
      <c r="AH261" s="12" t="e">
        <f>AVERAGE(All_India_Index_Upto_April23__1___1[[#This Row],[Miscellaneous]],All_India_Index_Upto_April23__1___1[[#This Row],[Personal care and effects]],All_India_Index_Upto_April23__1___1[[#This Row],[Education]],All_India_Index_Upto_April23__1___1[[#This Row],[Recreation and amusement]])</f>
        <v>#DIV/0!</v>
      </c>
      <c r="AI261" s="12">
        <f>SUM(All_India_Index_Upto_April23__1___1[[#This Row],[Cereals and products]:[Pan, tobacco and intoxicants]])</f>
        <v>1636.7</v>
      </c>
      <c r="AJ261" s="12">
        <f>SUM(All_India_Index_Upto_April23__1___1[[#This Row],[Household goods and services]],All_India_Index_Upto_April23__1___1[[#This Row],[Housing]])</f>
        <v>155.6</v>
      </c>
      <c r="AK261" s="12">
        <f>All_India_Index_Upto_April23__1___1[[#This Row],[Clothing]]+All_India_Index_Upto_April23__1___1[[#This Row],[Footwear]]</f>
        <v>0</v>
      </c>
      <c r="AL261" s="12">
        <f>All_India_Index_Upto_April23__1___1[[#This Row],[Miscellaneous]]+All_India_Index_Upto_April23__1___1[[#This Row],[Personal care and effects]]+All_India_Index_Upto_April23__1___1[[#This Row],[Education]]+All_India_Index_Upto_April23__1___1[[#This Row],[Recreation and amusement]]</f>
        <v>0</v>
      </c>
      <c r="AM26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2074.1999999999998</v>
      </c>
    </row>
    <row r="262" spans="1:39" hidden="1" x14ac:dyDescent="0.3">
      <c r="A262" t="s">
        <v>33</v>
      </c>
      <c r="B262">
        <v>2020</v>
      </c>
      <c r="C262" t="s">
        <v>36</v>
      </c>
      <c r="D262" t="str">
        <f t="shared" si="4"/>
        <v>Apr-20</v>
      </c>
      <c r="E262">
        <v>148.69999999999999</v>
      </c>
      <c r="G262">
        <v>148.80000000000001</v>
      </c>
      <c r="H262">
        <v>155.6</v>
      </c>
      <c r="I262">
        <v>135.1</v>
      </c>
      <c r="J262">
        <v>149.9</v>
      </c>
      <c r="K262">
        <v>168.6</v>
      </c>
      <c r="L262">
        <v>150.4</v>
      </c>
      <c r="M262">
        <v>120.3</v>
      </c>
      <c r="N262">
        <v>157.1</v>
      </c>
      <c r="O262">
        <v>136.80000000000001</v>
      </c>
      <c r="Q262">
        <v>151.4</v>
      </c>
      <c r="V262">
        <v>155.6</v>
      </c>
      <c r="W262">
        <v>144.1</v>
      </c>
      <c r="Y262">
        <v>150.69999999999999</v>
      </c>
      <c r="AF262" s="12">
        <f>AVERAGE(All_India_Index_Upto_April23__1___1[[#This Row],[Cereals and products]:[Pan, tobacco and intoxicants]])</f>
        <v>147.51818181818183</v>
      </c>
      <c r="AG262" s="12">
        <f>AVERAGE(All_India_Index_Upto_April23__1___1[[#This Row],[Household goods and services]],All_India_Index_Upto_April23__1___1[[#This Row],[Housing]])</f>
        <v>155.6</v>
      </c>
      <c r="AH262" s="12" t="e">
        <f>AVERAGE(All_India_Index_Upto_April23__1___1[[#This Row],[Miscellaneous]],All_India_Index_Upto_April23__1___1[[#This Row],[Personal care and effects]],All_India_Index_Upto_April23__1___1[[#This Row],[Education]],All_India_Index_Upto_April23__1___1[[#This Row],[Recreation and amusement]])</f>
        <v>#DIV/0!</v>
      </c>
      <c r="AI262" s="12">
        <f>SUM(All_India_Index_Upto_April23__1___1[[#This Row],[Cereals and products]:[Pan, tobacco and intoxicants]])</f>
        <v>1622.7</v>
      </c>
      <c r="AJ262" s="12">
        <f>SUM(All_India_Index_Upto_April23__1___1[[#This Row],[Household goods and services]],All_India_Index_Upto_April23__1___1[[#This Row],[Housing]])</f>
        <v>155.6</v>
      </c>
      <c r="AK262" s="12">
        <f>All_India_Index_Upto_April23__1___1[[#This Row],[Clothing]]+All_India_Index_Upto_April23__1___1[[#This Row],[Footwear]]</f>
        <v>0</v>
      </c>
      <c r="AL262" s="12">
        <f>All_India_Index_Upto_April23__1___1[[#This Row],[Miscellaneous]]+All_India_Index_Upto_April23__1___1[[#This Row],[Personal care and effects]]+All_India_Index_Upto_April23__1___1[[#This Row],[Education]]+All_India_Index_Upto_April23__1___1[[#This Row],[Recreation and amusement]]</f>
        <v>0</v>
      </c>
      <c r="AM26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2073.1</v>
      </c>
    </row>
    <row r="263" spans="1:39" hidden="1" x14ac:dyDescent="0.3">
      <c r="A263" t="s">
        <v>30</v>
      </c>
      <c r="B263">
        <v>2020</v>
      </c>
      <c r="C263" t="s">
        <v>37</v>
      </c>
      <c r="D263" t="str">
        <f t="shared" si="4"/>
        <v>May-20</v>
      </c>
      <c r="V263" s="12">
        <f>'Handle Missing Value Sheet only'!$F$5</f>
        <v>139.27096774193564</v>
      </c>
      <c r="AF263" s="12" t="e">
        <f>AVERAGE(All_India_Index_Upto_April23__1___1[[#This Row],[Cereals and products]:[Pan, tobacco and intoxicants]])</f>
        <v>#DIV/0!</v>
      </c>
      <c r="AG263" s="12">
        <f>AVERAGE(All_India_Index_Upto_April23__1___1[[#This Row],[Household goods and services]],All_India_Index_Upto_April23__1___1[[#This Row],[Housing]])</f>
        <v>139.27096774193564</v>
      </c>
      <c r="AH263" s="12" t="e">
        <f>AVERAGE(All_India_Index_Upto_April23__1___1[[#This Row],[Miscellaneous]],All_India_Index_Upto_April23__1___1[[#This Row],[Personal care and effects]],All_India_Index_Upto_April23__1___1[[#This Row],[Education]],All_India_Index_Upto_April23__1___1[[#This Row],[Recreation and amusement]])</f>
        <v>#DIV/0!</v>
      </c>
      <c r="AI263" s="12">
        <f>SUM(All_India_Index_Upto_April23__1___1[[#This Row],[Cereals and products]:[Pan, tobacco and intoxicants]])</f>
        <v>0</v>
      </c>
      <c r="AJ263" s="12">
        <f>SUM(All_India_Index_Upto_April23__1___1[[#This Row],[Household goods and services]],All_India_Index_Upto_April23__1___1[[#This Row],[Housing]])</f>
        <v>139.27096774193564</v>
      </c>
      <c r="AK263" s="12">
        <f>All_India_Index_Upto_April23__1___1[[#This Row],[Clothing]]+All_India_Index_Upto_April23__1___1[[#This Row],[Footwear]]</f>
        <v>0</v>
      </c>
      <c r="AL263" s="12">
        <f>All_India_Index_Upto_April23__1___1[[#This Row],[Miscellaneous]]+All_India_Index_Upto_April23__1___1[[#This Row],[Personal care and effects]]+All_India_Index_Upto_April23__1___1[[#This Row],[Education]]+All_India_Index_Upto_April23__1___1[[#This Row],[Recreation and amusement]]</f>
        <v>0</v>
      </c>
      <c r="AM26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139.27096774193564</v>
      </c>
    </row>
    <row r="264" spans="1:39" hidden="1" x14ac:dyDescent="0.3">
      <c r="A264" t="s">
        <v>32</v>
      </c>
      <c r="B264">
        <v>2020</v>
      </c>
      <c r="C264" t="s">
        <v>37</v>
      </c>
      <c r="D264" t="str">
        <f t="shared" si="4"/>
        <v>May-20</v>
      </c>
      <c r="V264" s="12">
        <f>'Handle Missing Value Sheet only'!$F$5</f>
        <v>139.27096774193564</v>
      </c>
      <c r="AF264" s="12" t="e">
        <f>AVERAGE(All_India_Index_Upto_April23__1___1[[#This Row],[Cereals and products]:[Pan, tobacco and intoxicants]])</f>
        <v>#DIV/0!</v>
      </c>
      <c r="AG264" s="12">
        <f>AVERAGE(All_India_Index_Upto_April23__1___1[[#This Row],[Household goods and services]],All_India_Index_Upto_April23__1___1[[#This Row],[Housing]])</f>
        <v>139.27096774193564</v>
      </c>
      <c r="AH264" s="12" t="e">
        <f>AVERAGE(All_India_Index_Upto_April23__1___1[[#This Row],[Miscellaneous]],All_India_Index_Upto_April23__1___1[[#This Row],[Personal care and effects]],All_India_Index_Upto_April23__1___1[[#This Row],[Education]],All_India_Index_Upto_April23__1___1[[#This Row],[Recreation and amusement]])</f>
        <v>#DIV/0!</v>
      </c>
      <c r="AI264" s="12">
        <f>SUM(All_India_Index_Upto_April23__1___1[[#This Row],[Cereals and products]:[Pan, tobacco and intoxicants]])</f>
        <v>0</v>
      </c>
      <c r="AJ264" s="12">
        <f>SUM(All_India_Index_Upto_April23__1___1[[#This Row],[Household goods and services]],All_India_Index_Upto_April23__1___1[[#This Row],[Housing]])</f>
        <v>139.27096774193564</v>
      </c>
      <c r="AK264" s="12">
        <f>All_India_Index_Upto_April23__1___1[[#This Row],[Clothing]]+All_India_Index_Upto_April23__1___1[[#This Row],[Footwear]]</f>
        <v>0</v>
      </c>
      <c r="AL264" s="12">
        <f>All_India_Index_Upto_April23__1___1[[#This Row],[Miscellaneous]]+All_India_Index_Upto_April23__1___1[[#This Row],[Personal care and effects]]+All_India_Index_Upto_April23__1___1[[#This Row],[Education]]+All_India_Index_Upto_April23__1___1[[#This Row],[Recreation and amusement]]</f>
        <v>0</v>
      </c>
      <c r="AM26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139.27096774193564</v>
      </c>
    </row>
    <row r="265" spans="1:39" hidden="1" x14ac:dyDescent="0.3">
      <c r="A265" t="s">
        <v>33</v>
      </c>
      <c r="B265">
        <v>2020</v>
      </c>
      <c r="C265" t="s">
        <v>37</v>
      </c>
      <c r="D265" t="str">
        <f t="shared" si="4"/>
        <v>May-20</v>
      </c>
      <c r="V265" s="12">
        <f>'Handle Missing Value Sheet only'!$F$5</f>
        <v>139.27096774193564</v>
      </c>
      <c r="AF265" s="12" t="e">
        <f>AVERAGE(All_India_Index_Upto_April23__1___1[[#This Row],[Cereals and products]:[Pan, tobacco and intoxicants]])</f>
        <v>#DIV/0!</v>
      </c>
      <c r="AG265" s="12">
        <f>AVERAGE(All_India_Index_Upto_April23__1___1[[#This Row],[Household goods and services]],All_India_Index_Upto_April23__1___1[[#This Row],[Housing]])</f>
        <v>139.27096774193564</v>
      </c>
      <c r="AH265" s="12" t="e">
        <f>AVERAGE(All_India_Index_Upto_April23__1___1[[#This Row],[Miscellaneous]],All_India_Index_Upto_April23__1___1[[#This Row],[Personal care and effects]],All_India_Index_Upto_April23__1___1[[#This Row],[Education]],All_India_Index_Upto_April23__1___1[[#This Row],[Recreation and amusement]])</f>
        <v>#DIV/0!</v>
      </c>
      <c r="AI265" s="12">
        <f>SUM(All_India_Index_Upto_April23__1___1[[#This Row],[Cereals and products]:[Pan, tobacco and intoxicants]])</f>
        <v>0</v>
      </c>
      <c r="AJ265" s="12">
        <f>SUM(All_India_Index_Upto_April23__1___1[[#This Row],[Household goods and services]],All_India_Index_Upto_April23__1___1[[#This Row],[Housing]])</f>
        <v>139.27096774193564</v>
      </c>
      <c r="AK265" s="12">
        <f>All_India_Index_Upto_April23__1___1[[#This Row],[Clothing]]+All_India_Index_Upto_April23__1___1[[#This Row],[Footwear]]</f>
        <v>0</v>
      </c>
      <c r="AL265" s="12">
        <f>All_India_Index_Upto_April23__1___1[[#This Row],[Miscellaneous]]+All_India_Index_Upto_April23__1___1[[#This Row],[Personal care and effects]]+All_India_Index_Upto_April23__1___1[[#This Row],[Education]]+All_India_Index_Upto_April23__1___1[[#This Row],[Recreation and amusement]]</f>
        <v>0</v>
      </c>
      <c r="AM26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139.27096774193564</v>
      </c>
    </row>
    <row r="266" spans="1:39" hidden="1" x14ac:dyDescent="0.3">
      <c r="A266" t="s">
        <v>30</v>
      </c>
      <c r="B266">
        <v>2020</v>
      </c>
      <c r="C266" t="s">
        <v>38</v>
      </c>
      <c r="D266" t="str">
        <f t="shared" si="4"/>
        <v>Jun-20</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s="12">
        <f>'Handle Missing Value Sheet only'!$F$5</f>
        <v>139.27096774193564</v>
      </c>
      <c r="W266">
        <v>144.9</v>
      </c>
      <c r="X266">
        <v>151.69999999999999</v>
      </c>
      <c r="Y266">
        <v>158.19999999999999</v>
      </c>
      <c r="Z266">
        <v>141.4</v>
      </c>
      <c r="AA266">
        <v>153.19999999999999</v>
      </c>
      <c r="AB266">
        <v>161.80000000000001</v>
      </c>
      <c r="AC266">
        <v>151.19999999999999</v>
      </c>
      <c r="AD266">
        <v>151.69999999999999</v>
      </c>
      <c r="AE266">
        <v>152.69999999999999</v>
      </c>
      <c r="AF266" s="12">
        <f>AVERAGE(All_India_Index_Upto_April23__1___1[[#This Row],[Cereals and products]:[Pan, tobacco and intoxicants]])</f>
        <v>152.3857142857143</v>
      </c>
      <c r="AG266" s="12">
        <f>AVERAGE(All_India_Index_Upto_April23__1___1[[#This Row],[Household goods and services]],All_India_Index_Upto_April23__1___1[[#This Row],[Housing]])</f>
        <v>145.48548387096781</v>
      </c>
      <c r="AH266" s="12">
        <f>AVERAGE(All_India_Index_Upto_April23__1___1[[#This Row],[Miscellaneous]],All_India_Index_Upto_April23__1___1[[#This Row],[Personal care and effects]],All_India_Index_Upto_April23__1___1[[#This Row],[Education]],All_India_Index_Upto_April23__1___1[[#This Row],[Recreation and amusement]])</f>
        <v>154.47499999999999</v>
      </c>
      <c r="AI266" s="12">
        <f>SUM(All_India_Index_Upto_April23__1___1[[#This Row],[Cereals and products]:[Pan, tobacco and intoxicants]])</f>
        <v>2133.4</v>
      </c>
      <c r="AJ266" s="12">
        <f>SUM(All_India_Index_Upto_April23__1___1[[#This Row],[Household goods and services]],All_India_Index_Upto_April23__1___1[[#This Row],[Housing]])</f>
        <v>290.97096774193562</v>
      </c>
      <c r="AK266" s="12">
        <f>All_India_Index_Upto_April23__1___1[[#This Row],[Clothing]]+All_India_Index_Upto_April23__1___1[[#This Row],[Footwear]]</f>
        <v>304.7</v>
      </c>
      <c r="AL266" s="12">
        <f>All_India_Index_Upto_April23__1___1[[#This Row],[Miscellaneous]]+All_India_Index_Upto_April23__1___1[[#This Row],[Personal care and effects]]+All_India_Index_Upto_April23__1___1[[#This Row],[Education]]+All_India_Index_Upto_April23__1___1[[#This Row],[Recreation and amusement]]</f>
        <v>617.9</v>
      </c>
      <c r="AM26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3791.4709677419355</v>
      </c>
    </row>
    <row r="267" spans="1:39" hidden="1" x14ac:dyDescent="0.3">
      <c r="A267" t="s">
        <v>32</v>
      </c>
      <c r="B267">
        <v>2020</v>
      </c>
      <c r="C267" t="s">
        <v>38</v>
      </c>
      <c r="D267" t="str">
        <f t="shared" si="4"/>
        <v>Jun-20</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c r="AF267" s="12">
        <f>AVERAGE(All_India_Index_Upto_April23__1___1[[#This Row],[Cereals and products]:[Pan, tobacco and intoxicants]])</f>
        <v>155.83571428571426</v>
      </c>
      <c r="AG267" s="12">
        <f>AVERAGE(All_India_Index_Upto_April23__1___1[[#This Row],[Household goods and services]],All_India_Index_Upto_April23__1___1[[#This Row],[Housing]])</f>
        <v>147.55000000000001</v>
      </c>
      <c r="AH267" s="12">
        <f>AVERAGE(All_India_Index_Upto_April23__1___1[[#This Row],[Miscellaneous]],All_India_Index_Upto_April23__1___1[[#This Row],[Personal care and effects]],All_India_Index_Upto_April23__1___1[[#This Row],[Education]],All_India_Index_Upto_April23__1___1[[#This Row],[Recreation and amusement]])</f>
        <v>147.80000000000001</v>
      </c>
      <c r="AI267" s="12">
        <f>SUM(All_India_Index_Upto_April23__1___1[[#This Row],[Cereals and products]:[Pan, tobacco and intoxicants]])</f>
        <v>2181.6999999999998</v>
      </c>
      <c r="AJ267" s="12">
        <f>SUM(All_India_Index_Upto_April23__1___1[[#This Row],[Household goods and services]],All_India_Index_Upto_April23__1___1[[#This Row],[Housing]])</f>
        <v>295.10000000000002</v>
      </c>
      <c r="AK267" s="12">
        <f>All_India_Index_Upto_April23__1___1[[#This Row],[Clothing]]+All_India_Index_Upto_April23__1___1[[#This Row],[Footwear]]</f>
        <v>285.7</v>
      </c>
      <c r="AL267" s="12">
        <f>All_India_Index_Upto_April23__1___1[[#This Row],[Miscellaneous]]+All_India_Index_Upto_April23__1___1[[#This Row],[Personal care and effects]]+All_India_Index_Upto_April23__1___1[[#This Row],[Education]]+All_India_Index_Upto_April23__1___1[[#This Row],[Recreation and amusement]]</f>
        <v>591.20000000000005</v>
      </c>
      <c r="AM26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3768.2</v>
      </c>
    </row>
    <row r="268" spans="1:39" hidden="1" x14ac:dyDescent="0.3">
      <c r="A268" t="s">
        <v>33</v>
      </c>
      <c r="B268">
        <v>2020</v>
      </c>
      <c r="C268" t="s">
        <v>38</v>
      </c>
      <c r="D268" t="str">
        <f t="shared" si="4"/>
        <v>Jun-20</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c r="AF268" s="12">
        <f>AVERAGE(All_India_Index_Upto_April23__1___1[[#This Row],[Cereals and products]:[Pan, tobacco and intoxicants]])</f>
        <v>153.59285714285716</v>
      </c>
      <c r="AG268" s="12">
        <f>AVERAGE(All_India_Index_Upto_April23__1___1[[#This Row],[Household goods and services]],All_India_Index_Upto_April23__1___1[[#This Row],[Housing]])</f>
        <v>150.55000000000001</v>
      </c>
      <c r="AH268" s="12">
        <f>AVERAGE(All_India_Index_Upto_April23__1___1[[#This Row],[Miscellaneous]],All_India_Index_Upto_April23__1___1[[#This Row],[Personal care and effects]],All_India_Index_Upto_April23__1___1[[#This Row],[Education]],All_India_Index_Upto_April23__1___1[[#This Row],[Recreation and amusement]])</f>
        <v>150.82499999999999</v>
      </c>
      <c r="AI268" s="12">
        <f>SUM(All_India_Index_Upto_April23__1___1[[#This Row],[Cereals and products]:[Pan, tobacco and intoxicants]])</f>
        <v>2150.3000000000002</v>
      </c>
      <c r="AJ268" s="12">
        <f>SUM(All_India_Index_Upto_April23__1___1[[#This Row],[Household goods and services]],All_India_Index_Upto_April23__1___1[[#This Row],[Housing]])</f>
        <v>301.10000000000002</v>
      </c>
      <c r="AK268" s="12">
        <f>All_India_Index_Upto_April23__1___1[[#This Row],[Clothing]]+All_India_Index_Upto_April23__1___1[[#This Row],[Footwear]]</f>
        <v>296.89999999999998</v>
      </c>
      <c r="AL268" s="12">
        <f>All_India_Index_Upto_April23__1___1[[#This Row],[Miscellaneous]]+All_India_Index_Upto_April23__1___1[[#This Row],[Personal care and effects]]+All_India_Index_Upto_April23__1___1[[#This Row],[Education]]+All_India_Index_Upto_April23__1___1[[#This Row],[Recreation and amusement]]</f>
        <v>603.29999999999995</v>
      </c>
      <c r="AM26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3782.9000000000005</v>
      </c>
    </row>
    <row r="269" spans="1:39" hidden="1" x14ac:dyDescent="0.3">
      <c r="A269" t="s">
        <v>30</v>
      </c>
      <c r="B269">
        <v>2020</v>
      </c>
      <c r="C269" t="s">
        <v>39</v>
      </c>
      <c r="D269" t="str">
        <f t="shared" si="4"/>
        <v>Jul-20</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s="12">
        <f>'Handle Missing Value Sheet only'!$F$5</f>
        <v>139.27096774193564</v>
      </c>
      <c r="W269">
        <v>144.9</v>
      </c>
      <c r="X269">
        <v>151.69999999999999</v>
      </c>
      <c r="Y269">
        <v>158.19999999999999</v>
      </c>
      <c r="Z269">
        <v>141.4</v>
      </c>
      <c r="AA269">
        <v>153.19999999999999</v>
      </c>
      <c r="AB269">
        <v>161.80000000000001</v>
      </c>
      <c r="AC269">
        <v>151.19999999999999</v>
      </c>
      <c r="AD269">
        <v>151.69999999999999</v>
      </c>
      <c r="AE269">
        <v>152.69999999999999</v>
      </c>
      <c r="AF269" s="12">
        <f>AVERAGE(All_India_Index_Upto_April23__1___1[[#This Row],[Cereals and products]:[Pan, tobacco and intoxicants]])</f>
        <v>152.3857142857143</v>
      </c>
      <c r="AG269" s="12">
        <f>AVERAGE(All_India_Index_Upto_April23__1___1[[#This Row],[Household goods and services]],All_India_Index_Upto_April23__1___1[[#This Row],[Housing]])</f>
        <v>145.48548387096781</v>
      </c>
      <c r="AH269" s="12">
        <f>AVERAGE(All_India_Index_Upto_April23__1___1[[#This Row],[Miscellaneous]],All_India_Index_Upto_April23__1___1[[#This Row],[Personal care and effects]],All_India_Index_Upto_April23__1___1[[#This Row],[Education]],All_India_Index_Upto_April23__1___1[[#This Row],[Recreation and amusement]])</f>
        <v>154.47499999999999</v>
      </c>
      <c r="AI269" s="12">
        <f>SUM(All_India_Index_Upto_April23__1___1[[#This Row],[Cereals and products]:[Pan, tobacco and intoxicants]])</f>
        <v>2133.4</v>
      </c>
      <c r="AJ269" s="12">
        <f>SUM(All_India_Index_Upto_April23__1___1[[#This Row],[Household goods and services]],All_India_Index_Upto_April23__1___1[[#This Row],[Housing]])</f>
        <v>290.97096774193562</v>
      </c>
      <c r="AK269" s="12">
        <f>All_India_Index_Upto_April23__1___1[[#This Row],[Clothing]]+All_India_Index_Upto_April23__1___1[[#This Row],[Footwear]]</f>
        <v>304.7</v>
      </c>
      <c r="AL269" s="12">
        <f>All_India_Index_Upto_April23__1___1[[#This Row],[Miscellaneous]]+All_India_Index_Upto_April23__1___1[[#This Row],[Personal care and effects]]+All_India_Index_Upto_April23__1___1[[#This Row],[Education]]+All_India_Index_Upto_April23__1___1[[#This Row],[Recreation and amusement]]</f>
        <v>617.9</v>
      </c>
      <c r="AM26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3791.4709677419355</v>
      </c>
    </row>
    <row r="270" spans="1:39" hidden="1" x14ac:dyDescent="0.3">
      <c r="A270" t="s">
        <v>32</v>
      </c>
      <c r="B270">
        <v>2020</v>
      </c>
      <c r="C270" t="s">
        <v>39</v>
      </c>
      <c r="D270" t="str">
        <f t="shared" si="4"/>
        <v>Jul-20</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c r="AF270" s="12">
        <f>AVERAGE(All_India_Index_Upto_April23__1___1[[#This Row],[Cereals and products]:[Pan, tobacco and intoxicants]])</f>
        <v>155.83571428571426</v>
      </c>
      <c r="AG270" s="12">
        <f>AVERAGE(All_India_Index_Upto_April23__1___1[[#This Row],[Household goods and services]],All_India_Index_Upto_April23__1___1[[#This Row],[Housing]])</f>
        <v>147.55000000000001</v>
      </c>
      <c r="AH270" s="12">
        <f>AVERAGE(All_India_Index_Upto_April23__1___1[[#This Row],[Miscellaneous]],All_India_Index_Upto_April23__1___1[[#This Row],[Personal care and effects]],All_India_Index_Upto_April23__1___1[[#This Row],[Education]],All_India_Index_Upto_April23__1___1[[#This Row],[Recreation and amusement]])</f>
        <v>147.80000000000001</v>
      </c>
      <c r="AI270" s="12">
        <f>SUM(All_India_Index_Upto_April23__1___1[[#This Row],[Cereals and products]:[Pan, tobacco and intoxicants]])</f>
        <v>2181.6999999999998</v>
      </c>
      <c r="AJ270" s="12">
        <f>SUM(All_India_Index_Upto_April23__1___1[[#This Row],[Household goods and services]],All_India_Index_Upto_April23__1___1[[#This Row],[Housing]])</f>
        <v>295.10000000000002</v>
      </c>
      <c r="AK270" s="12">
        <f>All_India_Index_Upto_April23__1___1[[#This Row],[Clothing]]+All_India_Index_Upto_April23__1___1[[#This Row],[Footwear]]</f>
        <v>285.7</v>
      </c>
      <c r="AL270" s="12">
        <f>All_India_Index_Upto_April23__1___1[[#This Row],[Miscellaneous]]+All_India_Index_Upto_April23__1___1[[#This Row],[Personal care and effects]]+All_India_Index_Upto_April23__1___1[[#This Row],[Education]]+All_India_Index_Upto_April23__1___1[[#This Row],[Recreation and amusement]]</f>
        <v>591.20000000000005</v>
      </c>
      <c r="AM27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3768.2</v>
      </c>
    </row>
    <row r="271" spans="1:39" hidden="1" x14ac:dyDescent="0.3">
      <c r="A271" t="s">
        <v>33</v>
      </c>
      <c r="B271">
        <v>2020</v>
      </c>
      <c r="C271" t="s">
        <v>39</v>
      </c>
      <c r="D271" t="str">
        <f t="shared" si="4"/>
        <v>Jul-20</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c r="AF271" s="12">
        <f>AVERAGE(All_India_Index_Upto_April23__1___1[[#This Row],[Cereals and products]:[Pan, tobacco and intoxicants]])</f>
        <v>153.59285714285716</v>
      </c>
      <c r="AG271" s="12">
        <f>AVERAGE(All_India_Index_Upto_April23__1___1[[#This Row],[Household goods and services]],All_India_Index_Upto_April23__1___1[[#This Row],[Housing]])</f>
        <v>150.55000000000001</v>
      </c>
      <c r="AH271" s="12">
        <f>AVERAGE(All_India_Index_Upto_April23__1___1[[#This Row],[Miscellaneous]],All_India_Index_Upto_April23__1___1[[#This Row],[Personal care and effects]],All_India_Index_Upto_April23__1___1[[#This Row],[Education]],All_India_Index_Upto_April23__1___1[[#This Row],[Recreation and amusement]])</f>
        <v>150.82499999999999</v>
      </c>
      <c r="AI271" s="12">
        <f>SUM(All_India_Index_Upto_April23__1___1[[#This Row],[Cereals and products]:[Pan, tobacco and intoxicants]])</f>
        <v>2150.3000000000002</v>
      </c>
      <c r="AJ271" s="12">
        <f>SUM(All_India_Index_Upto_April23__1___1[[#This Row],[Household goods and services]],All_India_Index_Upto_April23__1___1[[#This Row],[Housing]])</f>
        <v>301.10000000000002</v>
      </c>
      <c r="AK271" s="12">
        <f>All_India_Index_Upto_April23__1___1[[#This Row],[Clothing]]+All_India_Index_Upto_April23__1___1[[#This Row],[Footwear]]</f>
        <v>296.89999999999998</v>
      </c>
      <c r="AL271" s="12">
        <f>All_India_Index_Upto_April23__1___1[[#This Row],[Miscellaneous]]+All_India_Index_Upto_April23__1___1[[#This Row],[Personal care and effects]]+All_India_Index_Upto_April23__1___1[[#This Row],[Education]]+All_India_Index_Upto_April23__1___1[[#This Row],[Recreation and amusement]]</f>
        <v>603.29999999999995</v>
      </c>
      <c r="AM27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3782.9000000000005</v>
      </c>
    </row>
    <row r="272" spans="1:39" hidden="1" x14ac:dyDescent="0.3">
      <c r="A272" t="s">
        <v>30</v>
      </c>
      <c r="B272">
        <v>2020</v>
      </c>
      <c r="C272" t="s">
        <v>40</v>
      </c>
      <c r="D272" t="str">
        <f t="shared" si="4"/>
        <v>Aug-20</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s="12">
        <f>'Handle Missing Value Sheet only'!$F$5</f>
        <v>139.27096774193564</v>
      </c>
      <c r="W272">
        <v>145.80000000000001</v>
      </c>
      <c r="X272">
        <v>151.9</v>
      </c>
      <c r="Y272">
        <v>158.80000000000001</v>
      </c>
      <c r="Z272">
        <v>143.6</v>
      </c>
      <c r="AA272">
        <v>152.19999999999999</v>
      </c>
      <c r="AB272">
        <v>162.69999999999999</v>
      </c>
      <c r="AC272">
        <v>153.6</v>
      </c>
      <c r="AD272">
        <v>153</v>
      </c>
      <c r="AE272">
        <v>154.69999999999999</v>
      </c>
      <c r="AF272" s="12">
        <f>AVERAGE(All_India_Index_Upto_April23__1___1[[#This Row],[Cereals and products]:[Pan, tobacco and intoxicants]])</f>
        <v>154.25</v>
      </c>
      <c r="AG272" s="12">
        <f>AVERAGE(All_India_Index_Upto_April23__1___1[[#This Row],[Household goods and services]],All_India_Index_Upto_April23__1___1[[#This Row],[Housing]])</f>
        <v>145.58548387096783</v>
      </c>
      <c r="AH272" s="12">
        <f>AVERAGE(All_India_Index_Upto_April23__1___1[[#This Row],[Miscellaneous]],All_India_Index_Upto_April23__1___1[[#This Row],[Personal care and effects]],All_India_Index_Upto_April23__1___1[[#This Row],[Education]],All_India_Index_Upto_April23__1___1[[#This Row],[Recreation and amusement]])</f>
        <v>155.375</v>
      </c>
      <c r="AI272" s="12">
        <f>SUM(All_India_Index_Upto_April23__1___1[[#This Row],[Cereals and products]:[Pan, tobacco and intoxicants]])</f>
        <v>2159.5</v>
      </c>
      <c r="AJ272" s="12">
        <f>SUM(All_India_Index_Upto_April23__1___1[[#This Row],[Household goods and services]],All_India_Index_Upto_April23__1___1[[#This Row],[Housing]])</f>
        <v>291.17096774193567</v>
      </c>
      <c r="AK272" s="12">
        <f>All_India_Index_Upto_April23__1___1[[#This Row],[Clothing]]+All_India_Index_Upto_April23__1___1[[#This Row],[Footwear]]</f>
        <v>304.39999999999998</v>
      </c>
      <c r="AL272" s="12">
        <f>All_India_Index_Upto_April23__1___1[[#This Row],[Miscellaneous]]+All_India_Index_Upto_April23__1___1[[#This Row],[Personal care and effects]]+All_India_Index_Upto_April23__1___1[[#This Row],[Education]]+All_India_Index_Upto_April23__1___1[[#This Row],[Recreation and amusement]]</f>
        <v>621.5</v>
      </c>
      <c r="AM27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3824.7709677419357</v>
      </c>
    </row>
    <row r="273" spans="1:39" hidden="1" x14ac:dyDescent="0.3">
      <c r="A273" t="s">
        <v>32</v>
      </c>
      <c r="B273">
        <v>2020</v>
      </c>
      <c r="C273" t="s">
        <v>40</v>
      </c>
      <c r="D273" t="str">
        <f t="shared" si="4"/>
        <v>Aug-20</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c r="AF273" s="12">
        <f>AVERAGE(All_India_Index_Upto_April23__1___1[[#This Row],[Cereals and products]:[Pan, tobacco and intoxicants]])</f>
        <v>158.00714285714284</v>
      </c>
      <c r="AG273" s="12">
        <f>AVERAGE(All_India_Index_Upto_April23__1___1[[#This Row],[Household goods and services]],All_India_Index_Upto_April23__1___1[[#This Row],[Housing]])</f>
        <v>150</v>
      </c>
      <c r="AH273" s="12">
        <f>AVERAGE(All_India_Index_Upto_April23__1___1[[#This Row],[Miscellaneous]],All_India_Index_Upto_April23__1___1[[#This Row],[Personal care and effects]],All_India_Index_Upto_April23__1___1[[#This Row],[Education]],All_India_Index_Upto_April23__1___1[[#This Row],[Recreation and amusement]])</f>
        <v>149.17500000000001</v>
      </c>
      <c r="AI273" s="12">
        <f>SUM(All_India_Index_Upto_April23__1___1[[#This Row],[Cereals and products]:[Pan, tobacco and intoxicants]])</f>
        <v>2212.1</v>
      </c>
      <c r="AJ273" s="12">
        <f>SUM(All_India_Index_Upto_April23__1___1[[#This Row],[Household goods and services]],All_India_Index_Upto_April23__1___1[[#This Row],[Housing]])</f>
        <v>300</v>
      </c>
      <c r="AK273" s="12">
        <f>All_India_Index_Upto_April23__1___1[[#This Row],[Clothing]]+All_India_Index_Upto_April23__1___1[[#This Row],[Footwear]]</f>
        <v>285.2</v>
      </c>
      <c r="AL273" s="12">
        <f>All_India_Index_Upto_April23__1___1[[#This Row],[Miscellaneous]]+All_India_Index_Upto_April23__1___1[[#This Row],[Personal care and effects]]+All_India_Index_Upto_April23__1___1[[#This Row],[Education]]+All_India_Index_Upto_April23__1___1[[#This Row],[Recreation and amusement]]</f>
        <v>596.70000000000005</v>
      </c>
      <c r="AM27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3814.9</v>
      </c>
    </row>
    <row r="274" spans="1:39" hidden="1" x14ac:dyDescent="0.3">
      <c r="A274" t="s">
        <v>33</v>
      </c>
      <c r="B274">
        <v>2020</v>
      </c>
      <c r="C274" t="s">
        <v>40</v>
      </c>
      <c r="D274" t="str">
        <f t="shared" si="4"/>
        <v>Aug-20</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c r="AF274" s="12">
        <f>AVERAGE(All_India_Index_Upto_April23__1___1[[#This Row],[Cereals and products]:[Pan, tobacco and intoxicants]])</f>
        <v>155.55714285714285</v>
      </c>
      <c r="AG274" s="12">
        <f>AVERAGE(All_India_Index_Upto_April23__1___1[[#This Row],[Household goods and services]],All_India_Index_Upto_April23__1___1[[#This Row],[Housing]])</f>
        <v>151.94999999999999</v>
      </c>
      <c r="AH274" s="12">
        <f>AVERAGE(All_India_Index_Upto_April23__1___1[[#This Row],[Miscellaneous]],All_India_Index_Upto_April23__1___1[[#This Row],[Personal care and effects]],All_India_Index_Upto_April23__1___1[[#This Row],[Education]],All_India_Index_Upto_April23__1___1[[#This Row],[Recreation and amusement]])</f>
        <v>151.94999999999999</v>
      </c>
      <c r="AI274" s="12">
        <f>SUM(All_India_Index_Upto_April23__1___1[[#This Row],[Cereals and products]:[Pan, tobacco and intoxicants]])</f>
        <v>2177.7999999999997</v>
      </c>
      <c r="AJ274" s="12">
        <f>SUM(All_India_Index_Upto_April23__1___1[[#This Row],[Household goods and services]],All_India_Index_Upto_April23__1___1[[#This Row],[Housing]])</f>
        <v>303.89999999999998</v>
      </c>
      <c r="AK274" s="12">
        <f>All_India_Index_Upto_April23__1___1[[#This Row],[Clothing]]+All_India_Index_Upto_April23__1___1[[#This Row],[Footwear]]</f>
        <v>296.5</v>
      </c>
      <c r="AL274" s="12">
        <f>All_India_Index_Upto_April23__1___1[[#This Row],[Miscellaneous]]+All_India_Index_Upto_April23__1___1[[#This Row],[Personal care and effects]]+All_India_Index_Upto_April23__1___1[[#This Row],[Education]]+All_India_Index_Upto_April23__1___1[[#This Row],[Recreation and amusement]]</f>
        <v>607.79999999999995</v>
      </c>
      <c r="AM27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3822.4999999999995</v>
      </c>
    </row>
    <row r="275" spans="1:39" hidden="1" x14ac:dyDescent="0.3">
      <c r="A275" t="s">
        <v>30</v>
      </c>
      <c r="B275">
        <v>2020</v>
      </c>
      <c r="C275" t="s">
        <v>41</v>
      </c>
      <c r="D275" t="str">
        <f t="shared" si="4"/>
        <v>Sep-20</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s="12">
        <f>'Handle Missing Value Sheet only'!$F$5</f>
        <v>139.27096774193564</v>
      </c>
      <c r="W275">
        <v>146.4</v>
      </c>
      <c r="X275">
        <v>151.6</v>
      </c>
      <c r="Y275">
        <v>159.1</v>
      </c>
      <c r="Z275">
        <v>144.6</v>
      </c>
      <c r="AA275">
        <v>152.80000000000001</v>
      </c>
      <c r="AB275">
        <v>161.1</v>
      </c>
      <c r="AC275">
        <v>157.4</v>
      </c>
      <c r="AD275">
        <v>153.69999999999999</v>
      </c>
      <c r="AE275">
        <v>155.4</v>
      </c>
      <c r="AF275" s="12">
        <f>AVERAGE(All_India_Index_Upto_April23__1___1[[#This Row],[Cereals and products]:[Pan, tobacco and intoxicants]])</f>
        <v>155.02142857142854</v>
      </c>
      <c r="AG275" s="12">
        <f>AVERAGE(All_India_Index_Upto_April23__1___1[[#This Row],[Household goods and services]],All_India_Index_Upto_April23__1___1[[#This Row],[Housing]])</f>
        <v>145.4354838709678</v>
      </c>
      <c r="AH275" s="12">
        <f>AVERAGE(All_India_Index_Upto_April23__1___1[[#This Row],[Miscellaneous]],All_India_Index_Upto_April23__1___1[[#This Row],[Personal care and effects]],All_India_Index_Upto_April23__1___1[[#This Row],[Education]],All_India_Index_Upto_April23__1___1[[#This Row],[Recreation and amusement]])</f>
        <v>156.25</v>
      </c>
      <c r="AI275" s="12">
        <f>SUM(All_India_Index_Upto_April23__1___1[[#This Row],[Cereals and products]:[Pan, tobacco and intoxicants]])</f>
        <v>2170.2999999999997</v>
      </c>
      <c r="AJ275" s="12">
        <f>SUM(All_India_Index_Upto_April23__1___1[[#This Row],[Household goods and services]],All_India_Index_Upto_April23__1___1[[#This Row],[Housing]])</f>
        <v>290.8709677419356</v>
      </c>
      <c r="AK275" s="12">
        <f>All_India_Index_Upto_April23__1___1[[#This Row],[Clothing]]+All_India_Index_Upto_April23__1___1[[#This Row],[Footwear]]</f>
        <v>305.3</v>
      </c>
      <c r="AL275" s="12">
        <f>All_India_Index_Upto_April23__1___1[[#This Row],[Miscellaneous]]+All_India_Index_Upto_April23__1___1[[#This Row],[Personal care and effects]]+All_India_Index_Upto_April23__1___1[[#This Row],[Education]]+All_India_Index_Upto_April23__1___1[[#This Row],[Recreation and amusement]]</f>
        <v>625</v>
      </c>
      <c r="AM27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3841.570967741935</v>
      </c>
    </row>
    <row r="276" spans="1:39" hidden="1" x14ac:dyDescent="0.3">
      <c r="A276" t="s">
        <v>32</v>
      </c>
      <c r="B276">
        <v>2020</v>
      </c>
      <c r="C276" t="s">
        <v>41</v>
      </c>
      <c r="D276" t="str">
        <f t="shared" si="4"/>
        <v>Sep-20</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c r="AF276" s="12">
        <f>AVERAGE(All_India_Index_Upto_April23__1___1[[#This Row],[Cereals and products]:[Pan, tobacco and intoxicants]])</f>
        <v>159.30714285714288</v>
      </c>
      <c r="AG276" s="12">
        <f>AVERAGE(All_India_Index_Upto_April23__1___1[[#This Row],[Household goods and services]],All_India_Index_Upto_April23__1___1[[#This Row],[Housing]])</f>
        <v>150.85000000000002</v>
      </c>
      <c r="AH276" s="12">
        <f>AVERAGE(All_India_Index_Upto_April23__1___1[[#This Row],[Miscellaneous]],All_India_Index_Upto_April23__1___1[[#This Row],[Personal care and effects]],All_India_Index_Upto_April23__1___1[[#This Row],[Education]],All_India_Index_Upto_April23__1___1[[#This Row],[Recreation and amusement]])</f>
        <v>150.625</v>
      </c>
      <c r="AI276" s="12">
        <f>SUM(All_India_Index_Upto_April23__1___1[[#This Row],[Cereals and products]:[Pan, tobacco and intoxicants]])</f>
        <v>2230.3000000000002</v>
      </c>
      <c r="AJ276" s="12">
        <f>SUM(All_India_Index_Upto_April23__1___1[[#This Row],[Household goods and services]],All_India_Index_Upto_April23__1___1[[#This Row],[Housing]])</f>
        <v>301.70000000000005</v>
      </c>
      <c r="AK276" s="12">
        <f>All_India_Index_Upto_April23__1___1[[#This Row],[Clothing]]+All_India_Index_Upto_April23__1___1[[#This Row],[Footwear]]</f>
        <v>286.5</v>
      </c>
      <c r="AL276" s="12">
        <f>All_India_Index_Upto_April23__1___1[[#This Row],[Miscellaneous]]+All_India_Index_Upto_April23__1___1[[#This Row],[Personal care and effects]]+All_India_Index_Upto_April23__1___1[[#This Row],[Education]]+All_India_Index_Upto_April23__1___1[[#This Row],[Recreation and amusement]]</f>
        <v>602.5</v>
      </c>
      <c r="AM27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3843.2999999999997</v>
      </c>
    </row>
    <row r="277" spans="1:39" hidden="1" x14ac:dyDescent="0.3">
      <c r="A277" t="s">
        <v>33</v>
      </c>
      <c r="B277">
        <v>2020</v>
      </c>
      <c r="C277" t="s">
        <v>41</v>
      </c>
      <c r="D277" t="str">
        <f t="shared" si="4"/>
        <v>Sep-20</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c r="AF277" s="12">
        <f>AVERAGE(All_India_Index_Upto_April23__1___1[[#This Row],[Cereals and products]:[Pan, tobacco and intoxicants]])</f>
        <v>156.52857142857144</v>
      </c>
      <c r="AG277" s="12">
        <f>AVERAGE(All_India_Index_Upto_April23__1___1[[#This Row],[Household goods and services]],All_India_Index_Upto_April23__1___1[[#This Row],[Housing]])</f>
        <v>152.5</v>
      </c>
      <c r="AH277" s="12">
        <f>AVERAGE(All_India_Index_Upto_April23__1___1[[#This Row],[Miscellaneous]],All_India_Index_Upto_April23__1___1[[#This Row],[Personal care and effects]],All_India_Index_Upto_April23__1___1[[#This Row],[Education]],All_India_Index_Upto_April23__1___1[[#This Row],[Recreation and amusement]])</f>
        <v>153.125</v>
      </c>
      <c r="AI277" s="12">
        <f>SUM(All_India_Index_Upto_April23__1___1[[#This Row],[Cereals and products]:[Pan, tobacco and intoxicants]])</f>
        <v>2191.4</v>
      </c>
      <c r="AJ277" s="12">
        <f>SUM(All_India_Index_Upto_April23__1___1[[#This Row],[Household goods and services]],All_India_Index_Upto_April23__1___1[[#This Row],[Housing]])</f>
        <v>305</v>
      </c>
      <c r="AK277" s="12">
        <f>All_India_Index_Upto_April23__1___1[[#This Row],[Clothing]]+All_India_Index_Upto_April23__1___1[[#This Row],[Footwear]]</f>
        <v>297.70000000000005</v>
      </c>
      <c r="AL277" s="12">
        <f>All_India_Index_Upto_April23__1___1[[#This Row],[Miscellaneous]]+All_India_Index_Upto_April23__1___1[[#This Row],[Personal care and effects]]+All_India_Index_Upto_April23__1___1[[#This Row],[Education]]+All_India_Index_Upto_April23__1___1[[#This Row],[Recreation and amusement]]</f>
        <v>612.5</v>
      </c>
      <c r="AM27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3844.7000000000003</v>
      </c>
    </row>
    <row r="278" spans="1:39" hidden="1" x14ac:dyDescent="0.3">
      <c r="A278" t="s">
        <v>30</v>
      </c>
      <c r="B278">
        <v>2020</v>
      </c>
      <c r="C278" t="s">
        <v>42</v>
      </c>
      <c r="D278" t="str">
        <f t="shared" si="4"/>
        <v>Oct-20</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s="12">
        <f>'Handle Missing Value Sheet only'!$F$5</f>
        <v>139.27096774193564</v>
      </c>
      <c r="W278">
        <v>146.80000000000001</v>
      </c>
      <c r="X278">
        <v>152</v>
      </c>
      <c r="Y278">
        <v>159.5</v>
      </c>
      <c r="Z278">
        <v>146.4</v>
      </c>
      <c r="AA278">
        <v>152.4</v>
      </c>
      <c r="AB278">
        <v>162.5</v>
      </c>
      <c r="AC278">
        <v>156.19999999999999</v>
      </c>
      <c r="AD278">
        <v>154.30000000000001</v>
      </c>
      <c r="AE278">
        <v>157.5</v>
      </c>
      <c r="AF278" s="12">
        <f>AVERAGE(All_India_Index_Upto_April23__1___1[[#This Row],[Cereals and products]:[Pan, tobacco and intoxicants]])</f>
        <v>158.1142857142857</v>
      </c>
      <c r="AG278" s="12">
        <f>AVERAGE(All_India_Index_Upto_April23__1___1[[#This Row],[Household goods and services]],All_India_Index_Upto_April23__1___1[[#This Row],[Housing]])</f>
        <v>145.63548387096782</v>
      </c>
      <c r="AH278" s="12">
        <f>AVERAGE(All_India_Index_Upto_April23__1___1[[#This Row],[Miscellaneous]],All_India_Index_Upto_April23__1___1[[#This Row],[Personal care and effects]],All_India_Index_Upto_April23__1___1[[#This Row],[Education]],All_India_Index_Upto_April23__1___1[[#This Row],[Recreation and amusement]])</f>
        <v>156.35</v>
      </c>
      <c r="AI278" s="12">
        <f>SUM(All_India_Index_Upto_April23__1___1[[#This Row],[Cereals and products]:[Pan, tobacco and intoxicants]])</f>
        <v>2213.6</v>
      </c>
      <c r="AJ278" s="12">
        <f>SUM(All_India_Index_Upto_April23__1___1[[#This Row],[Household goods and services]],All_India_Index_Upto_April23__1___1[[#This Row],[Housing]])</f>
        <v>291.27096774193564</v>
      </c>
      <c r="AK278" s="12">
        <f>All_India_Index_Upto_April23__1___1[[#This Row],[Clothing]]+All_India_Index_Upto_April23__1___1[[#This Row],[Footwear]]</f>
        <v>306.29999999999995</v>
      </c>
      <c r="AL278" s="12">
        <f>All_India_Index_Upto_April23__1___1[[#This Row],[Miscellaneous]]+All_India_Index_Upto_April23__1___1[[#This Row],[Personal care and effects]]+All_India_Index_Upto_April23__1___1[[#This Row],[Education]]+All_India_Index_Upto_April23__1___1[[#This Row],[Recreation and amusement]]</f>
        <v>625.4</v>
      </c>
      <c r="AM27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3889.2709677419357</v>
      </c>
    </row>
    <row r="279" spans="1:39" hidden="1" x14ac:dyDescent="0.3">
      <c r="A279" t="s">
        <v>32</v>
      </c>
      <c r="B279">
        <v>2020</v>
      </c>
      <c r="C279" t="s">
        <v>42</v>
      </c>
      <c r="D279" t="str">
        <f t="shared" si="4"/>
        <v>Oct-20</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c r="AF279" s="12">
        <f>AVERAGE(All_India_Index_Upto_April23__1___1[[#This Row],[Cereals and products]:[Pan, tobacco and intoxicants]])</f>
        <v>162.06428571428569</v>
      </c>
      <c r="AG279" s="12">
        <f>AVERAGE(All_India_Index_Upto_April23__1___1[[#This Row],[Household goods and services]],All_India_Index_Upto_April23__1___1[[#This Row],[Housing]])</f>
        <v>150.80000000000001</v>
      </c>
      <c r="AH279" s="12">
        <f>AVERAGE(All_India_Index_Upto_April23__1___1[[#This Row],[Miscellaneous]],All_India_Index_Upto_April23__1___1[[#This Row],[Personal care and effects]],All_India_Index_Upto_April23__1___1[[#This Row],[Education]],All_India_Index_Upto_April23__1___1[[#This Row],[Recreation and amusement]])</f>
        <v>150.5</v>
      </c>
      <c r="AI279" s="12">
        <f>SUM(All_India_Index_Upto_April23__1___1[[#This Row],[Cereals and products]:[Pan, tobacco and intoxicants]])</f>
        <v>2268.8999999999996</v>
      </c>
      <c r="AJ279" s="12">
        <f>SUM(All_India_Index_Upto_April23__1___1[[#This Row],[Household goods and services]],All_India_Index_Upto_April23__1___1[[#This Row],[Housing]])</f>
        <v>301.60000000000002</v>
      </c>
      <c r="AK279" s="12">
        <f>All_India_Index_Upto_April23__1___1[[#This Row],[Clothing]]+All_India_Index_Upto_April23__1___1[[#This Row],[Footwear]]</f>
        <v>286.60000000000002</v>
      </c>
      <c r="AL279" s="12">
        <f>All_India_Index_Upto_April23__1___1[[#This Row],[Miscellaneous]]+All_India_Index_Upto_April23__1___1[[#This Row],[Personal care and effects]]+All_India_Index_Upto_April23__1___1[[#This Row],[Education]]+All_India_Index_Upto_April23__1___1[[#This Row],[Recreation and amusement]]</f>
        <v>602</v>
      </c>
      <c r="AM27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3882.5999999999995</v>
      </c>
    </row>
    <row r="280" spans="1:39" hidden="1" x14ac:dyDescent="0.3">
      <c r="A280" t="s">
        <v>33</v>
      </c>
      <c r="B280">
        <v>2020</v>
      </c>
      <c r="C280" t="s">
        <v>42</v>
      </c>
      <c r="D280" t="str">
        <f t="shared" si="4"/>
        <v>Oct-20</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c r="AF280" s="12">
        <f>AVERAGE(All_India_Index_Upto_April23__1___1[[#This Row],[Cereals and products]:[Pan, tobacco and intoxicants]])</f>
        <v>159.49285714285719</v>
      </c>
      <c r="AG280" s="12">
        <f>AVERAGE(All_India_Index_Upto_April23__1___1[[#This Row],[Household goods and services]],All_India_Index_Upto_April23__1___1[[#This Row],[Housing]])</f>
        <v>152.6</v>
      </c>
      <c r="AH280" s="12">
        <f>AVERAGE(All_India_Index_Upto_April23__1___1[[#This Row],[Miscellaneous]],All_India_Index_Upto_April23__1___1[[#This Row],[Personal care and effects]],All_India_Index_Upto_April23__1___1[[#This Row],[Education]],All_India_Index_Upto_April23__1___1[[#This Row],[Recreation and amusement]])</f>
        <v>153.1</v>
      </c>
      <c r="AI280" s="12">
        <f>SUM(All_India_Index_Upto_April23__1___1[[#This Row],[Cereals and products]:[Pan, tobacco and intoxicants]])</f>
        <v>2232.9000000000005</v>
      </c>
      <c r="AJ280" s="12">
        <f>SUM(All_India_Index_Upto_April23__1___1[[#This Row],[Household goods and services]],All_India_Index_Upto_April23__1___1[[#This Row],[Housing]])</f>
        <v>305.2</v>
      </c>
      <c r="AK280" s="12">
        <f>All_India_Index_Upto_April23__1___1[[#This Row],[Clothing]]+All_India_Index_Upto_April23__1___1[[#This Row],[Footwear]]</f>
        <v>298.29999999999995</v>
      </c>
      <c r="AL280" s="12">
        <f>All_India_Index_Upto_April23__1___1[[#This Row],[Miscellaneous]]+All_India_Index_Upto_April23__1___1[[#This Row],[Personal care and effects]]+All_India_Index_Upto_April23__1___1[[#This Row],[Education]]+All_India_Index_Upto_April23__1___1[[#This Row],[Recreation and amusement]]</f>
        <v>612.4</v>
      </c>
      <c r="AM28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3888.8</v>
      </c>
    </row>
    <row r="281" spans="1:39" hidden="1" x14ac:dyDescent="0.3">
      <c r="A281" t="s">
        <v>30</v>
      </c>
      <c r="B281">
        <v>2020</v>
      </c>
      <c r="C281" t="s">
        <v>44</v>
      </c>
      <c r="D281" t="str">
        <f t="shared" si="4"/>
        <v>Nov-20</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s="12">
        <f>'Handle Missing Value Sheet only'!$F$5</f>
        <v>139.27096774193564</v>
      </c>
      <c r="W281">
        <v>147.5</v>
      </c>
      <c r="X281">
        <v>152.80000000000001</v>
      </c>
      <c r="Y281">
        <v>160.4</v>
      </c>
      <c r="Z281">
        <v>146.1</v>
      </c>
      <c r="AA281">
        <v>153.6</v>
      </c>
      <c r="AB281">
        <v>161.6</v>
      </c>
      <c r="AC281">
        <v>156.19999999999999</v>
      </c>
      <c r="AD281">
        <v>154.5</v>
      </c>
      <c r="AE281">
        <v>159.80000000000001</v>
      </c>
      <c r="AF281" s="12">
        <f>AVERAGE(All_India_Index_Upto_April23__1___1[[#This Row],[Cereals and products]:[Pan, tobacco and intoxicants]])</f>
        <v>161.84285714285716</v>
      </c>
      <c r="AG281" s="12">
        <f>AVERAGE(All_India_Index_Upto_April23__1___1[[#This Row],[Household goods and services]],All_India_Index_Upto_April23__1___1[[#This Row],[Housing]])</f>
        <v>146.03548387096782</v>
      </c>
      <c r="AH281" s="12">
        <f>AVERAGE(All_India_Index_Upto_April23__1___1[[#This Row],[Miscellaneous]],All_India_Index_Upto_April23__1___1[[#This Row],[Personal care and effects]],All_India_Index_Upto_April23__1___1[[#This Row],[Education]],All_India_Index_Upto_April23__1___1[[#This Row],[Recreation and amusement]])</f>
        <v>156.47499999999999</v>
      </c>
      <c r="AI281" s="12">
        <f>SUM(All_India_Index_Upto_April23__1___1[[#This Row],[Cereals and products]:[Pan, tobacco and intoxicants]])</f>
        <v>2265.8000000000002</v>
      </c>
      <c r="AJ281" s="12">
        <f>SUM(All_India_Index_Upto_April23__1___1[[#This Row],[Household goods and services]],All_India_Index_Upto_April23__1___1[[#This Row],[Housing]])</f>
        <v>292.07096774193565</v>
      </c>
      <c r="AK281" s="12">
        <f>All_India_Index_Upto_April23__1___1[[#This Row],[Clothing]]+All_India_Index_Upto_April23__1___1[[#This Row],[Footwear]]</f>
        <v>307.3</v>
      </c>
      <c r="AL281" s="12">
        <f>All_India_Index_Upto_April23__1___1[[#This Row],[Miscellaneous]]+All_India_Index_Upto_April23__1___1[[#This Row],[Personal care and effects]]+All_India_Index_Upto_April23__1___1[[#This Row],[Education]]+All_India_Index_Upto_April23__1___1[[#This Row],[Recreation and amusement]]</f>
        <v>625.9</v>
      </c>
      <c r="AM28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3945.0709677419359</v>
      </c>
    </row>
    <row r="282" spans="1:39" hidden="1" x14ac:dyDescent="0.3">
      <c r="A282" t="s">
        <v>32</v>
      </c>
      <c r="B282">
        <v>2020</v>
      </c>
      <c r="C282" t="s">
        <v>44</v>
      </c>
      <c r="D282" t="str">
        <f t="shared" si="4"/>
        <v>Nov-20</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c r="AF282" s="12">
        <f>AVERAGE(All_India_Index_Upto_April23__1___1[[#This Row],[Cereals and products]:[Pan, tobacco and intoxicants]])</f>
        <v>164.96428571428572</v>
      </c>
      <c r="AG282" s="12">
        <f>AVERAGE(All_India_Index_Upto_April23__1___1[[#This Row],[Household goods and services]],All_India_Index_Upto_April23__1___1[[#This Row],[Housing]])</f>
        <v>151.55000000000001</v>
      </c>
      <c r="AH282" s="12">
        <f>AVERAGE(All_India_Index_Upto_April23__1___1[[#This Row],[Miscellaneous]],All_India_Index_Upto_April23__1___1[[#This Row],[Personal care and effects]],All_India_Index_Upto_April23__1___1[[#This Row],[Education]],All_India_Index_Upto_April23__1___1[[#This Row],[Recreation and amusement]])</f>
        <v>151.32499999999999</v>
      </c>
      <c r="AI282" s="12">
        <f>SUM(All_India_Index_Upto_April23__1___1[[#This Row],[Cereals and products]:[Pan, tobacco and intoxicants]])</f>
        <v>2309.5</v>
      </c>
      <c r="AJ282" s="12">
        <f>SUM(All_India_Index_Upto_April23__1___1[[#This Row],[Household goods and services]],All_India_Index_Upto_April23__1___1[[#This Row],[Housing]])</f>
        <v>303.10000000000002</v>
      </c>
      <c r="AK282" s="12">
        <f>All_India_Index_Upto_April23__1___1[[#This Row],[Clothing]]+All_India_Index_Upto_April23__1___1[[#This Row],[Footwear]]</f>
        <v>287.5</v>
      </c>
      <c r="AL282" s="12">
        <f>All_India_Index_Upto_April23__1___1[[#This Row],[Miscellaneous]]+All_India_Index_Upto_April23__1___1[[#This Row],[Personal care and effects]]+All_India_Index_Upto_April23__1___1[[#This Row],[Education]]+All_India_Index_Upto_April23__1___1[[#This Row],[Recreation and amusement]]</f>
        <v>605.29999999999995</v>
      </c>
      <c r="AM28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3929.9</v>
      </c>
    </row>
    <row r="283" spans="1:39" hidden="1" x14ac:dyDescent="0.3">
      <c r="A283" t="s">
        <v>33</v>
      </c>
      <c r="B283">
        <v>2020</v>
      </c>
      <c r="C283" t="s">
        <v>44</v>
      </c>
      <c r="D283" t="str">
        <f t="shared" si="4"/>
        <v>Nov-20</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c r="AF283" s="12">
        <f>AVERAGE(All_India_Index_Upto_April23__1___1[[#This Row],[Cereals and products]:[Pan, tobacco and intoxicants]])</f>
        <v>162.8857142857143</v>
      </c>
      <c r="AG283" s="12">
        <f>AVERAGE(All_India_Index_Upto_April23__1___1[[#This Row],[Household goods and services]],All_India_Index_Upto_April23__1___1[[#This Row],[Housing]])</f>
        <v>153.6</v>
      </c>
      <c r="AH283" s="12">
        <f>AVERAGE(All_India_Index_Upto_April23__1___1[[#This Row],[Miscellaneous]],All_India_Index_Upto_April23__1___1[[#This Row],[Personal care and effects]],All_India_Index_Upto_April23__1___1[[#This Row],[Education]],All_India_Index_Upto_April23__1___1[[#This Row],[Recreation and amusement]])</f>
        <v>153.65</v>
      </c>
      <c r="AI283" s="12">
        <f>SUM(All_India_Index_Upto_April23__1___1[[#This Row],[Cereals and products]:[Pan, tobacco and intoxicants]])</f>
        <v>2280.4</v>
      </c>
      <c r="AJ283" s="12">
        <f>SUM(All_India_Index_Upto_April23__1___1[[#This Row],[Household goods and services]],All_India_Index_Upto_April23__1___1[[#This Row],[Housing]])</f>
        <v>307.2</v>
      </c>
      <c r="AK283" s="12">
        <f>All_India_Index_Upto_April23__1___1[[#This Row],[Clothing]]+All_India_Index_Upto_April23__1___1[[#This Row],[Footwear]]</f>
        <v>299.20000000000005</v>
      </c>
      <c r="AL283" s="12">
        <f>All_India_Index_Upto_April23__1___1[[#This Row],[Miscellaneous]]+All_India_Index_Upto_April23__1___1[[#This Row],[Personal care and effects]]+All_India_Index_Upto_April23__1___1[[#This Row],[Education]]+All_India_Index_Upto_April23__1___1[[#This Row],[Recreation and amusement]]</f>
        <v>614.6</v>
      </c>
      <c r="AM28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3942.6</v>
      </c>
    </row>
    <row r="284" spans="1:39" hidden="1" x14ac:dyDescent="0.3">
      <c r="A284" t="s">
        <v>30</v>
      </c>
      <c r="B284">
        <v>2020</v>
      </c>
      <c r="C284" t="s">
        <v>45</v>
      </c>
      <c r="D284" t="str">
        <f t="shared" si="4"/>
        <v>Dec-20</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s="12">
        <f>'Handle Missing Value Sheet only'!$F$5</f>
        <v>139.27096774193564</v>
      </c>
      <c r="W284">
        <v>148.69999999999999</v>
      </c>
      <c r="X284">
        <v>153.4</v>
      </c>
      <c r="Y284">
        <v>161.6</v>
      </c>
      <c r="Z284">
        <v>146.4</v>
      </c>
      <c r="AA284">
        <v>153.9</v>
      </c>
      <c r="AB284">
        <v>162.9</v>
      </c>
      <c r="AC284">
        <v>156.6</v>
      </c>
      <c r="AD284">
        <v>155.19999999999999</v>
      </c>
      <c r="AE284">
        <v>160.69999999999999</v>
      </c>
      <c r="AF284" s="12">
        <f>AVERAGE(All_India_Index_Upto_April23__1___1[[#This Row],[Cereals and products]:[Pan, tobacco and intoxicants]])</f>
        <v>163.15</v>
      </c>
      <c r="AG284" s="12">
        <f>AVERAGE(All_India_Index_Upto_April23__1___1[[#This Row],[Household goods and services]],All_India_Index_Upto_April23__1___1[[#This Row],[Housing]])</f>
        <v>146.33548387096783</v>
      </c>
      <c r="AH284" s="12">
        <f>AVERAGE(All_India_Index_Upto_April23__1___1[[#This Row],[Miscellaneous]],All_India_Index_Upto_April23__1___1[[#This Row],[Personal care and effects]],All_India_Index_Upto_April23__1___1[[#This Row],[Education]],All_India_Index_Upto_April23__1___1[[#This Row],[Recreation and amusement]])</f>
        <v>157.14999999999998</v>
      </c>
      <c r="AI284" s="12">
        <f>SUM(All_India_Index_Upto_April23__1___1[[#This Row],[Cereals and products]:[Pan, tobacco and intoxicants]])</f>
        <v>2284.1</v>
      </c>
      <c r="AJ284" s="12">
        <f>SUM(All_India_Index_Upto_April23__1___1[[#This Row],[Household goods and services]],All_India_Index_Upto_April23__1___1[[#This Row],[Housing]])</f>
        <v>292.67096774193567</v>
      </c>
      <c r="AK284" s="12">
        <f>All_India_Index_Upto_April23__1___1[[#This Row],[Clothing]]+All_India_Index_Upto_April23__1___1[[#This Row],[Footwear]]</f>
        <v>308.60000000000002</v>
      </c>
      <c r="AL284" s="12">
        <f>All_India_Index_Upto_April23__1___1[[#This Row],[Miscellaneous]]+All_India_Index_Upto_April23__1___1[[#This Row],[Personal care and effects]]+All_India_Index_Upto_April23__1___1[[#This Row],[Education]]+All_India_Index_Upto_April23__1___1[[#This Row],[Recreation and amusement]]</f>
        <v>628.59999999999991</v>
      </c>
      <c r="AM28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3970.6709677419353</v>
      </c>
    </row>
    <row r="285" spans="1:39" hidden="1" x14ac:dyDescent="0.3">
      <c r="A285" t="s">
        <v>32</v>
      </c>
      <c r="B285">
        <v>2020</v>
      </c>
      <c r="C285" t="s">
        <v>45</v>
      </c>
      <c r="D285" t="str">
        <f t="shared" si="4"/>
        <v>Dec-20</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c r="AF285" s="12">
        <f>AVERAGE(All_India_Index_Upto_April23__1___1[[#This Row],[Cereals and products]:[Pan, tobacco and intoxicants]])</f>
        <v>165.4</v>
      </c>
      <c r="AG285" s="12">
        <f>AVERAGE(All_India_Index_Upto_April23__1___1[[#This Row],[Household goods and services]],All_India_Index_Upto_April23__1___1[[#This Row],[Housing]])</f>
        <v>151.94999999999999</v>
      </c>
      <c r="AH285" s="12">
        <f>AVERAGE(All_India_Index_Upto_April23__1___1[[#This Row],[Miscellaneous]],All_India_Index_Upto_April23__1___1[[#This Row],[Personal care and effects]],All_India_Index_Upto_April23__1___1[[#This Row],[Education]],All_India_Index_Upto_April23__1___1[[#This Row],[Recreation and amusement]])</f>
        <v>151.5</v>
      </c>
      <c r="AI285" s="12">
        <f>SUM(All_India_Index_Upto_April23__1___1[[#This Row],[Cereals and products]:[Pan, tobacco and intoxicants]])</f>
        <v>2315.6</v>
      </c>
      <c r="AJ285" s="12">
        <f>SUM(All_India_Index_Upto_April23__1___1[[#This Row],[Household goods and services]],All_India_Index_Upto_April23__1___1[[#This Row],[Housing]])</f>
        <v>303.89999999999998</v>
      </c>
      <c r="AK285" s="12">
        <f>All_India_Index_Upto_April23__1___1[[#This Row],[Clothing]]+All_India_Index_Upto_April23__1___1[[#This Row],[Footwear]]</f>
        <v>288.60000000000002</v>
      </c>
      <c r="AL285" s="12">
        <f>All_India_Index_Upto_April23__1___1[[#This Row],[Miscellaneous]]+All_India_Index_Upto_April23__1___1[[#This Row],[Personal care and effects]]+All_India_Index_Upto_April23__1___1[[#This Row],[Education]]+All_India_Index_Upto_April23__1___1[[#This Row],[Recreation and amusement]]</f>
        <v>606</v>
      </c>
      <c r="AM28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3940.4</v>
      </c>
    </row>
    <row r="286" spans="1:39" hidden="1" x14ac:dyDescent="0.3">
      <c r="A286" t="s">
        <v>33</v>
      </c>
      <c r="B286">
        <v>2020</v>
      </c>
      <c r="C286" t="s">
        <v>45</v>
      </c>
      <c r="D286" t="str">
        <f t="shared" si="4"/>
        <v>Dec-20</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c r="AF286" s="12">
        <f>AVERAGE(All_India_Index_Upto_April23__1___1[[#This Row],[Cereals and products]:[Pan, tobacco and intoxicants]])</f>
        <v>163.89285714285714</v>
      </c>
      <c r="AG286" s="12">
        <f>AVERAGE(All_India_Index_Upto_April23__1___1[[#This Row],[Household goods and services]],All_India_Index_Upto_April23__1___1[[#This Row],[Housing]])</f>
        <v>154.05000000000001</v>
      </c>
      <c r="AH286" s="12">
        <f>AVERAGE(All_India_Index_Upto_April23__1___1[[#This Row],[Miscellaneous]],All_India_Index_Upto_April23__1___1[[#This Row],[Personal care and effects]],All_India_Index_Upto_April23__1___1[[#This Row],[Education]],All_India_Index_Upto_April23__1___1[[#This Row],[Recreation and amusement]])</f>
        <v>154.04999999999998</v>
      </c>
      <c r="AI286" s="12">
        <f>SUM(All_India_Index_Upto_April23__1___1[[#This Row],[Cereals and products]:[Pan, tobacco and intoxicants]])</f>
        <v>2294.5</v>
      </c>
      <c r="AJ286" s="12">
        <f>SUM(All_India_Index_Upto_April23__1___1[[#This Row],[Household goods and services]],All_India_Index_Upto_April23__1___1[[#This Row],[Housing]])</f>
        <v>308.10000000000002</v>
      </c>
      <c r="AK286" s="12">
        <f>All_India_Index_Upto_April23__1___1[[#This Row],[Clothing]]+All_India_Index_Upto_April23__1___1[[#This Row],[Footwear]]</f>
        <v>300.39999999999998</v>
      </c>
      <c r="AL286" s="12">
        <f>All_India_Index_Upto_April23__1___1[[#This Row],[Miscellaneous]]+All_India_Index_Upto_April23__1___1[[#This Row],[Personal care and effects]]+All_India_Index_Upto_April23__1___1[[#This Row],[Education]]+All_India_Index_Upto_April23__1___1[[#This Row],[Recreation and amusement]]</f>
        <v>616.19999999999993</v>
      </c>
      <c r="AM28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3962.7999999999997</v>
      </c>
    </row>
    <row r="287" spans="1:39" hidden="1" x14ac:dyDescent="0.3">
      <c r="A287" t="s">
        <v>30</v>
      </c>
      <c r="B287">
        <v>2021</v>
      </c>
      <c r="C287" t="s">
        <v>31</v>
      </c>
      <c r="D287" t="str">
        <f t="shared" si="4"/>
        <v>Jan-21</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s="12">
        <f>'Handle Missing Value Sheet only'!$F$5</f>
        <v>139.27096774193564</v>
      </c>
      <c r="W287">
        <v>150.9</v>
      </c>
      <c r="X287">
        <v>153.9</v>
      </c>
      <c r="Y287">
        <v>162.5</v>
      </c>
      <c r="Z287">
        <v>147.5</v>
      </c>
      <c r="AA287">
        <v>155.1</v>
      </c>
      <c r="AB287">
        <v>163.5</v>
      </c>
      <c r="AC287">
        <v>156.19999999999999</v>
      </c>
      <c r="AD287">
        <v>155.9</v>
      </c>
      <c r="AE287">
        <v>158.5</v>
      </c>
      <c r="AF287" s="12">
        <f>AVERAGE(All_India_Index_Upto_April23__1___1[[#This Row],[Cereals and products]:[Pan, tobacco and intoxicants]])</f>
        <v>160.73571428571427</v>
      </c>
      <c r="AG287" s="12">
        <f>AVERAGE(All_India_Index_Upto_April23__1___1[[#This Row],[Household goods and services]],All_India_Index_Upto_April23__1___1[[#This Row],[Housing]])</f>
        <v>146.58548387096783</v>
      </c>
      <c r="AH287" s="12">
        <f>AVERAGE(All_India_Index_Upto_April23__1___1[[#This Row],[Miscellaneous]],All_India_Index_Upto_April23__1___1[[#This Row],[Personal care and effects]],All_India_Index_Upto_April23__1___1[[#This Row],[Education]],All_India_Index_Upto_April23__1___1[[#This Row],[Recreation and amusement]])</f>
        <v>157.67500000000001</v>
      </c>
      <c r="AI287" s="12">
        <f>SUM(All_India_Index_Upto_April23__1___1[[#This Row],[Cereals and products]:[Pan, tobacco and intoxicants]])</f>
        <v>2250.2999999999997</v>
      </c>
      <c r="AJ287" s="12">
        <f>SUM(All_India_Index_Upto_April23__1___1[[#This Row],[Household goods and services]],All_India_Index_Upto_April23__1___1[[#This Row],[Housing]])</f>
        <v>293.17096774193567</v>
      </c>
      <c r="AK287" s="12">
        <f>All_India_Index_Upto_April23__1___1[[#This Row],[Clothing]]+All_India_Index_Upto_April23__1___1[[#This Row],[Footwear]]</f>
        <v>309.89999999999998</v>
      </c>
      <c r="AL287" s="12">
        <f>All_India_Index_Upto_April23__1___1[[#This Row],[Miscellaneous]]+All_India_Index_Upto_April23__1___1[[#This Row],[Personal care and effects]]+All_India_Index_Upto_April23__1___1[[#This Row],[Education]]+All_India_Index_Upto_April23__1___1[[#This Row],[Recreation and amusement]]</f>
        <v>630.70000000000005</v>
      </c>
      <c r="AM28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3944.9709677419355</v>
      </c>
    </row>
    <row r="288" spans="1:39" hidden="1" x14ac:dyDescent="0.3">
      <c r="A288" t="s">
        <v>32</v>
      </c>
      <c r="B288">
        <v>2021</v>
      </c>
      <c r="C288" t="s">
        <v>31</v>
      </c>
      <c r="D288" t="str">
        <f t="shared" si="4"/>
        <v>Jan-21</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c r="AF288" s="12">
        <f>AVERAGE(All_India_Index_Upto_April23__1___1[[#This Row],[Cereals and products]:[Pan, tobacco and intoxicants]])</f>
        <v>163.48571428571429</v>
      </c>
      <c r="AG288" s="12">
        <f>AVERAGE(All_India_Index_Upto_April23__1___1[[#This Row],[Household goods and services]],All_India_Index_Upto_April23__1___1[[#This Row],[Housing]])</f>
        <v>151.69999999999999</v>
      </c>
      <c r="AH288" s="12">
        <f>AVERAGE(All_India_Index_Upto_April23__1___1[[#This Row],[Miscellaneous]],All_India_Index_Upto_April23__1___1[[#This Row],[Personal care and effects]],All_India_Index_Upto_April23__1___1[[#This Row],[Education]],All_India_Index_Upto_April23__1___1[[#This Row],[Recreation and amusement]])</f>
        <v>151.69999999999999</v>
      </c>
      <c r="AI288" s="12">
        <f>SUM(All_India_Index_Upto_April23__1___1[[#This Row],[Cereals and products]:[Pan, tobacco and intoxicants]])</f>
        <v>2288.8000000000002</v>
      </c>
      <c r="AJ288" s="12">
        <f>SUM(All_India_Index_Upto_April23__1___1[[#This Row],[Household goods and services]],All_India_Index_Upto_April23__1___1[[#This Row],[Housing]])</f>
        <v>303.39999999999998</v>
      </c>
      <c r="AK288" s="12">
        <f>All_India_Index_Upto_April23__1___1[[#This Row],[Clothing]]+All_India_Index_Upto_April23__1___1[[#This Row],[Footwear]]</f>
        <v>289.8</v>
      </c>
      <c r="AL288" s="12">
        <f>All_India_Index_Upto_April23__1___1[[#This Row],[Miscellaneous]]+All_India_Index_Upto_April23__1___1[[#This Row],[Personal care and effects]]+All_India_Index_Upto_April23__1___1[[#This Row],[Education]]+All_India_Index_Upto_April23__1___1[[#This Row],[Recreation and amusement]]</f>
        <v>606.79999999999995</v>
      </c>
      <c r="AM28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3922.7000000000003</v>
      </c>
    </row>
    <row r="289" spans="1:39" x14ac:dyDescent="0.3">
      <c r="A289" t="s">
        <v>33</v>
      </c>
      <c r="B289">
        <v>2021</v>
      </c>
      <c r="C289" t="s">
        <v>31</v>
      </c>
      <c r="D289" t="str">
        <f t="shared" si="4"/>
        <v>Jan-21</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s="12">
        <f>AVERAGE(All_India_Index_Upto_April23__1___1[[#This Row],[Cereals and products]:[Pan, tobacco and intoxicants]])</f>
        <v>161.64285714285714</v>
      </c>
      <c r="AG289" s="12">
        <f>AVERAGE(All_India_Index_Upto_April23__1___1[[#This Row],[Household goods and services]],All_India_Index_Upto_April23__1___1[[#This Row],[Housing]])</f>
        <v>153.85</v>
      </c>
      <c r="AH289" s="12">
        <f>AVERAGE(All_India_Index_Upto_April23__1___1[[#This Row],[Miscellaneous]],All_India_Index_Upto_April23__1___1[[#This Row],[Personal care and effects]],All_India_Index_Upto_April23__1___1[[#This Row],[Education]],All_India_Index_Upto_April23__1___1[[#This Row],[Recreation and amusement]])</f>
        <v>154.375</v>
      </c>
      <c r="AI289" s="12">
        <f>SUM(All_India_Index_Upto_April23__1___1[[#This Row],[Cereals and products]:[Pan, tobacco and intoxicants]])</f>
        <v>2263</v>
      </c>
      <c r="AJ289" s="12">
        <f>SUM(All_India_Index_Upto_April23__1___1[[#This Row],[Household goods and services]],All_India_Index_Upto_April23__1___1[[#This Row],[Housing]])</f>
        <v>307.7</v>
      </c>
      <c r="AK289" s="12">
        <f>All_India_Index_Upto_April23__1___1[[#This Row],[Clothing]]+All_India_Index_Upto_April23__1___1[[#This Row],[Footwear]]</f>
        <v>301.60000000000002</v>
      </c>
      <c r="AL289" s="12">
        <f>All_India_Index_Upto_April23__1___1[[#This Row],[Miscellaneous]]+All_India_Index_Upto_April23__1___1[[#This Row],[Personal care and effects]]+All_India_Index_Upto_April23__1___1[[#This Row],[Education]]+All_India_Index_Upto_April23__1___1[[#This Row],[Recreation and amusement]]</f>
        <v>617.5</v>
      </c>
      <c r="AM28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3938.9000000000005</v>
      </c>
    </row>
    <row r="290" spans="1:39" hidden="1" x14ac:dyDescent="0.3">
      <c r="A290" t="s">
        <v>30</v>
      </c>
      <c r="B290">
        <v>2021</v>
      </c>
      <c r="C290" t="s">
        <v>34</v>
      </c>
      <c r="D290" t="str">
        <f t="shared" si="4"/>
        <v>Feb-21</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s="12">
        <f>'Handle Missing Value Sheet only'!$F$5</f>
        <v>139.27096774193564</v>
      </c>
      <c r="W290">
        <v>154.4</v>
      </c>
      <c r="X290">
        <v>154.80000000000001</v>
      </c>
      <c r="Y290">
        <v>164.3</v>
      </c>
      <c r="Z290">
        <v>150.19999999999999</v>
      </c>
      <c r="AA290">
        <v>157</v>
      </c>
      <c r="AB290">
        <v>163.6</v>
      </c>
      <c r="AC290">
        <v>155.19999999999999</v>
      </c>
      <c r="AD290">
        <v>157.19999999999999</v>
      </c>
      <c r="AE290">
        <v>156.69999999999999</v>
      </c>
      <c r="AF290" s="12">
        <f>AVERAGE(All_India_Index_Upto_April23__1___1[[#This Row],[Cereals and products]:[Pan, tobacco and intoxicants]])</f>
        <v>157.98571428571429</v>
      </c>
      <c r="AG290" s="12">
        <f>AVERAGE(All_India_Index_Upto_April23__1___1[[#This Row],[Household goods and services]],All_India_Index_Upto_April23__1___1[[#This Row],[Housing]])</f>
        <v>147.03548387096782</v>
      </c>
      <c r="AH290" s="12">
        <f>AVERAGE(All_India_Index_Upto_April23__1___1[[#This Row],[Miscellaneous]],All_India_Index_Upto_April23__1___1[[#This Row],[Personal care and effects]],All_India_Index_Upto_April23__1___1[[#This Row],[Education]],All_India_Index_Upto_April23__1___1[[#This Row],[Recreation and amusement]])</f>
        <v>158.25</v>
      </c>
      <c r="AI290" s="12">
        <f>SUM(All_India_Index_Upto_April23__1___1[[#This Row],[Cereals and products]:[Pan, tobacco and intoxicants]])</f>
        <v>2211.8000000000002</v>
      </c>
      <c r="AJ290" s="12">
        <f>SUM(All_India_Index_Upto_April23__1___1[[#This Row],[Household goods and services]],All_India_Index_Upto_April23__1___1[[#This Row],[Housing]])</f>
        <v>294.07096774193565</v>
      </c>
      <c r="AK290" s="12">
        <f>All_India_Index_Upto_April23__1___1[[#This Row],[Clothing]]+All_India_Index_Upto_April23__1___1[[#This Row],[Footwear]]</f>
        <v>313</v>
      </c>
      <c r="AL290" s="12">
        <f>All_India_Index_Upto_April23__1___1[[#This Row],[Miscellaneous]]+All_India_Index_Upto_April23__1___1[[#This Row],[Personal care and effects]]+All_India_Index_Upto_April23__1___1[[#This Row],[Education]]+All_India_Index_Upto_April23__1___1[[#This Row],[Recreation and amusement]]</f>
        <v>633</v>
      </c>
      <c r="AM29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3920.7709677419357</v>
      </c>
    </row>
    <row r="291" spans="1:39" hidden="1" x14ac:dyDescent="0.3">
      <c r="A291" t="s">
        <v>32</v>
      </c>
      <c r="B291">
        <v>2021</v>
      </c>
      <c r="C291" t="s">
        <v>34</v>
      </c>
      <c r="D291" t="str">
        <f t="shared" si="4"/>
        <v>Feb-21</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c r="AF291" s="12">
        <f>AVERAGE(All_India_Index_Upto_April23__1___1[[#This Row],[Cereals and products]:[Pan, tobacco and intoxicants]])</f>
        <v>161.37857142857143</v>
      </c>
      <c r="AG291" s="12">
        <f>AVERAGE(All_India_Index_Upto_April23__1___1[[#This Row],[Household goods and services]],All_India_Index_Upto_April23__1___1[[#This Row],[Housing]])</f>
        <v>153.15</v>
      </c>
      <c r="AH291" s="12">
        <f>AVERAGE(All_India_Index_Upto_April23__1___1[[#This Row],[Miscellaneous]],All_India_Index_Upto_April23__1___1[[#This Row],[Personal care and effects]],All_India_Index_Upto_April23__1___1[[#This Row],[Education]],All_India_Index_Upto_April23__1___1[[#This Row],[Recreation and amusement]])</f>
        <v>152.47500000000002</v>
      </c>
      <c r="AI291" s="12">
        <f>SUM(All_India_Index_Upto_April23__1___1[[#This Row],[Cereals and products]:[Pan, tobacco and intoxicants]])</f>
        <v>2259.3000000000002</v>
      </c>
      <c r="AJ291" s="12">
        <f>SUM(All_India_Index_Upto_April23__1___1[[#This Row],[Household goods and services]],All_India_Index_Upto_April23__1___1[[#This Row],[Housing]])</f>
        <v>306.3</v>
      </c>
      <c r="AK291" s="12">
        <f>All_India_Index_Upto_April23__1___1[[#This Row],[Clothing]]+All_India_Index_Upto_April23__1___1[[#This Row],[Footwear]]</f>
        <v>292.39999999999998</v>
      </c>
      <c r="AL291" s="12">
        <f>All_India_Index_Upto_April23__1___1[[#This Row],[Miscellaneous]]+All_India_Index_Upto_April23__1___1[[#This Row],[Personal care and effects]]+All_India_Index_Upto_April23__1___1[[#This Row],[Education]]+All_India_Index_Upto_April23__1___1[[#This Row],[Recreation and amusement]]</f>
        <v>609.90000000000009</v>
      </c>
      <c r="AM29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3913.8000000000006</v>
      </c>
    </row>
    <row r="292" spans="1:39" x14ac:dyDescent="0.3">
      <c r="A292" t="s">
        <v>33</v>
      </c>
      <c r="B292">
        <v>2021</v>
      </c>
      <c r="C292" t="s">
        <v>34</v>
      </c>
      <c r="D292" t="str">
        <f t="shared" si="4"/>
        <v>Feb-21</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s="12">
        <f>AVERAGE(All_India_Index_Upto_April23__1___1[[#This Row],[Cereals and products]:[Pan, tobacco and intoxicants]])</f>
        <v>159.11428571428573</v>
      </c>
      <c r="AG292" s="12">
        <f>AVERAGE(All_India_Index_Upto_April23__1___1[[#This Row],[Household goods and services]],All_India_Index_Upto_April23__1___1[[#This Row],[Housing]])</f>
        <v>155.35000000000002</v>
      </c>
      <c r="AH292" s="12">
        <f>AVERAGE(All_India_Index_Upto_April23__1___1[[#This Row],[Miscellaneous]],All_India_Index_Upto_April23__1___1[[#This Row],[Personal care and effects]],All_India_Index_Upto_April23__1___1[[#This Row],[Education]],All_India_Index_Upto_April23__1___1[[#This Row],[Recreation and amusement]])</f>
        <v>155.05000000000001</v>
      </c>
      <c r="AI292" s="12">
        <f>SUM(All_India_Index_Upto_April23__1___1[[#This Row],[Cereals and products]:[Pan, tobacco and intoxicants]])</f>
        <v>2227.6000000000004</v>
      </c>
      <c r="AJ292" s="12">
        <f>SUM(All_India_Index_Upto_April23__1___1[[#This Row],[Household goods and services]],All_India_Index_Upto_April23__1___1[[#This Row],[Housing]])</f>
        <v>310.70000000000005</v>
      </c>
      <c r="AK292" s="12">
        <f>All_India_Index_Upto_April23__1___1[[#This Row],[Clothing]]+All_India_Index_Upto_April23__1___1[[#This Row],[Footwear]]</f>
        <v>304.60000000000002</v>
      </c>
      <c r="AL292" s="12">
        <f>All_India_Index_Upto_April23__1___1[[#This Row],[Miscellaneous]]+All_India_Index_Upto_April23__1___1[[#This Row],[Personal care and effects]]+All_India_Index_Upto_April23__1___1[[#This Row],[Education]]+All_India_Index_Upto_April23__1___1[[#This Row],[Recreation and amusement]]</f>
        <v>620.20000000000005</v>
      </c>
      <c r="AM29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3921.9000000000005</v>
      </c>
    </row>
    <row r="293" spans="1:39" hidden="1" x14ac:dyDescent="0.3">
      <c r="A293" t="s">
        <v>30</v>
      </c>
      <c r="B293">
        <v>2021</v>
      </c>
      <c r="C293" t="s">
        <v>35</v>
      </c>
      <c r="D293" t="str">
        <f t="shared" si="4"/>
        <v>Mar-21</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s="12">
        <f>'Handle Missing Value Sheet only'!$F$5</f>
        <v>139.27096774193564</v>
      </c>
      <c r="W293">
        <v>156</v>
      </c>
      <c r="X293">
        <v>154.80000000000001</v>
      </c>
      <c r="Y293">
        <v>164.6</v>
      </c>
      <c r="Z293">
        <v>151.30000000000001</v>
      </c>
      <c r="AA293">
        <v>157.80000000000001</v>
      </c>
      <c r="AB293">
        <v>163.80000000000001</v>
      </c>
      <c r="AC293">
        <v>153.1</v>
      </c>
      <c r="AD293">
        <v>157.30000000000001</v>
      </c>
      <c r="AE293">
        <v>156.69999999999999</v>
      </c>
      <c r="AF293" s="12">
        <f>AVERAGE(All_India_Index_Upto_April23__1___1[[#This Row],[Cereals and products]:[Pan, tobacco and intoxicants]])</f>
        <v>157.98571428571429</v>
      </c>
      <c r="AG293" s="12">
        <f>AVERAGE(All_India_Index_Upto_April23__1___1[[#This Row],[Household goods and services]],All_India_Index_Upto_April23__1___1[[#This Row],[Housing]])</f>
        <v>147.03548387096782</v>
      </c>
      <c r="AH293" s="12">
        <f>AVERAGE(All_India_Index_Upto_April23__1___1[[#This Row],[Miscellaneous]],All_India_Index_Upto_April23__1___1[[#This Row],[Personal care and effects]],All_India_Index_Upto_April23__1___1[[#This Row],[Education]],All_India_Index_Upto_April23__1___1[[#This Row],[Recreation and amusement]])</f>
        <v>158</v>
      </c>
      <c r="AI293" s="12">
        <f>SUM(All_India_Index_Upto_April23__1___1[[#This Row],[Cereals and products]:[Pan, tobacco and intoxicants]])</f>
        <v>2211.8000000000002</v>
      </c>
      <c r="AJ293" s="12">
        <f>SUM(All_India_Index_Upto_April23__1___1[[#This Row],[Household goods and services]],All_India_Index_Upto_April23__1___1[[#This Row],[Housing]])</f>
        <v>294.07096774193565</v>
      </c>
      <c r="AK293" s="12">
        <f>All_India_Index_Upto_April23__1___1[[#This Row],[Clothing]]+All_India_Index_Upto_April23__1___1[[#This Row],[Footwear]]</f>
        <v>314</v>
      </c>
      <c r="AL293" s="12">
        <f>All_India_Index_Upto_April23__1___1[[#This Row],[Miscellaneous]]+All_India_Index_Upto_April23__1___1[[#This Row],[Personal care and effects]]+All_India_Index_Upto_April23__1___1[[#This Row],[Education]]+All_India_Index_Upto_April23__1___1[[#This Row],[Recreation and amusement]]</f>
        <v>632</v>
      </c>
      <c r="AM29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3923.7709677419357</v>
      </c>
    </row>
    <row r="294" spans="1:39" hidden="1" x14ac:dyDescent="0.3">
      <c r="A294" t="s">
        <v>32</v>
      </c>
      <c r="B294">
        <v>2021</v>
      </c>
      <c r="C294" t="s">
        <v>35</v>
      </c>
      <c r="D294" t="str">
        <f t="shared" si="4"/>
        <v>Mar-21</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c r="AF294" s="12">
        <f>AVERAGE(All_India_Index_Upto_April23__1___1[[#This Row],[Cereals and products]:[Pan, tobacco and intoxicants]])</f>
        <v>161.28571428571425</v>
      </c>
      <c r="AG294" s="12">
        <f>AVERAGE(All_India_Index_Upto_April23__1___1[[#This Row],[Household goods and services]],All_India_Index_Upto_April23__1___1[[#This Row],[Housing]])</f>
        <v>153.55000000000001</v>
      </c>
      <c r="AH294" s="12">
        <f>AVERAGE(All_India_Index_Upto_April23__1___1[[#This Row],[Miscellaneous]],All_India_Index_Upto_April23__1___1[[#This Row],[Personal care and effects]],All_India_Index_Upto_April23__1___1[[#This Row],[Education]],All_India_Index_Upto_April23__1___1[[#This Row],[Recreation and amusement]])</f>
        <v>152.77500000000001</v>
      </c>
      <c r="AI294" s="12">
        <f>SUM(All_India_Index_Upto_April23__1___1[[#This Row],[Cereals and products]:[Pan, tobacco and intoxicants]])</f>
        <v>2257.9999999999995</v>
      </c>
      <c r="AJ294" s="12">
        <f>SUM(All_India_Index_Upto_April23__1___1[[#This Row],[Household goods and services]],All_India_Index_Upto_April23__1___1[[#This Row],[Housing]])</f>
        <v>307.10000000000002</v>
      </c>
      <c r="AK294" s="12">
        <f>All_India_Index_Upto_April23__1___1[[#This Row],[Clothing]]+All_India_Index_Upto_April23__1___1[[#This Row],[Footwear]]</f>
        <v>293.79999999999995</v>
      </c>
      <c r="AL294" s="12">
        <f>All_India_Index_Upto_April23__1___1[[#This Row],[Miscellaneous]]+All_India_Index_Upto_April23__1___1[[#This Row],[Personal care and effects]]+All_India_Index_Upto_April23__1___1[[#This Row],[Education]]+All_India_Index_Upto_April23__1___1[[#This Row],[Recreation and amusement]]</f>
        <v>611.1</v>
      </c>
      <c r="AM29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3923.3999999999996</v>
      </c>
    </row>
    <row r="295" spans="1:39" x14ac:dyDescent="0.3">
      <c r="A295" t="s">
        <v>33</v>
      </c>
      <c r="B295">
        <v>2021</v>
      </c>
      <c r="C295" t="s">
        <v>35</v>
      </c>
      <c r="D295" t="str">
        <f t="shared" si="4"/>
        <v>Mar-21</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s="12">
        <f>AVERAGE(All_India_Index_Upto_April23__1___1[[#This Row],[Cereals and products]:[Pan, tobacco and intoxicants]])</f>
        <v>159.10714285714286</v>
      </c>
      <c r="AG295" s="12">
        <f>AVERAGE(All_India_Index_Upto_April23__1___1[[#This Row],[Household goods and services]],All_India_Index_Upto_April23__1___1[[#This Row],[Housing]])</f>
        <v>155.55000000000001</v>
      </c>
      <c r="AH295" s="12">
        <f>AVERAGE(All_India_Index_Upto_April23__1___1[[#This Row],[Miscellaneous]],All_India_Index_Upto_April23__1___1[[#This Row],[Personal care and effects]],All_India_Index_Upto_April23__1___1[[#This Row],[Education]],All_India_Index_Upto_April23__1___1[[#This Row],[Recreation and amusement]])</f>
        <v>155.1</v>
      </c>
      <c r="AI295" s="12">
        <f>SUM(All_India_Index_Upto_April23__1___1[[#This Row],[Cereals and products]:[Pan, tobacco and intoxicants]])</f>
        <v>2227.5</v>
      </c>
      <c r="AJ295" s="12">
        <f>SUM(All_India_Index_Upto_April23__1___1[[#This Row],[Household goods and services]],All_India_Index_Upto_April23__1___1[[#This Row],[Housing]])</f>
        <v>311.10000000000002</v>
      </c>
      <c r="AK295" s="12">
        <f>All_India_Index_Upto_April23__1___1[[#This Row],[Clothing]]+All_India_Index_Upto_April23__1___1[[#This Row],[Footwear]]</f>
        <v>305.70000000000005</v>
      </c>
      <c r="AL295" s="12">
        <f>All_India_Index_Upto_April23__1___1[[#This Row],[Miscellaneous]]+All_India_Index_Upto_April23__1___1[[#This Row],[Personal care and effects]]+All_India_Index_Upto_April23__1___1[[#This Row],[Education]]+All_India_Index_Upto_April23__1___1[[#This Row],[Recreation and amusement]]</f>
        <v>620.4</v>
      </c>
      <c r="AM29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3928.0999999999995</v>
      </c>
    </row>
    <row r="296" spans="1:39" hidden="1" x14ac:dyDescent="0.3">
      <c r="A296" t="s">
        <v>30</v>
      </c>
      <c r="B296">
        <v>2021</v>
      </c>
      <c r="C296" t="s">
        <v>36</v>
      </c>
      <c r="D296" t="str">
        <f t="shared" si="4"/>
        <v>Apr-21</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s="12">
        <f>'Handle Missing Value Sheet only'!$F$5</f>
        <v>139.27096774193564</v>
      </c>
      <c r="W296">
        <v>156</v>
      </c>
      <c r="X296">
        <v>155.5</v>
      </c>
      <c r="Y296">
        <v>165.3</v>
      </c>
      <c r="Z296">
        <v>151.69999999999999</v>
      </c>
      <c r="AA296">
        <v>158.6</v>
      </c>
      <c r="AB296">
        <v>164.1</v>
      </c>
      <c r="AC296">
        <v>154.6</v>
      </c>
      <c r="AD296">
        <v>158</v>
      </c>
      <c r="AE296">
        <v>157.6</v>
      </c>
      <c r="AF296" s="12">
        <f>AVERAGE(All_India_Index_Upto_April23__1___1[[#This Row],[Cereals and products]:[Pan, tobacco and intoxicants]])</f>
        <v>159.73571428571429</v>
      </c>
      <c r="AG296" s="12">
        <f>AVERAGE(All_India_Index_Upto_April23__1___1[[#This Row],[Household goods and services]],All_India_Index_Upto_April23__1___1[[#This Row],[Housing]])</f>
        <v>147.38548387096782</v>
      </c>
      <c r="AH296" s="12">
        <f>AVERAGE(All_India_Index_Upto_April23__1___1[[#This Row],[Miscellaneous]],All_India_Index_Upto_April23__1___1[[#This Row],[Personal care and effects]],All_India_Index_Upto_April23__1___1[[#This Row],[Education]],All_India_Index_Upto_April23__1___1[[#This Row],[Recreation and amusement]])</f>
        <v>158.82500000000002</v>
      </c>
      <c r="AI296" s="12">
        <f>SUM(All_India_Index_Upto_April23__1___1[[#This Row],[Cereals and products]:[Pan, tobacco and intoxicants]])</f>
        <v>2236.3000000000002</v>
      </c>
      <c r="AJ296" s="12">
        <f>SUM(All_India_Index_Upto_April23__1___1[[#This Row],[Household goods and services]],All_India_Index_Upto_April23__1___1[[#This Row],[Housing]])</f>
        <v>294.77096774193564</v>
      </c>
      <c r="AK296" s="12">
        <f>All_India_Index_Upto_April23__1___1[[#This Row],[Clothing]]+All_India_Index_Upto_April23__1___1[[#This Row],[Footwear]]</f>
        <v>315.79999999999995</v>
      </c>
      <c r="AL296" s="12">
        <f>All_India_Index_Upto_April23__1___1[[#This Row],[Miscellaneous]]+All_India_Index_Upto_April23__1___1[[#This Row],[Personal care and effects]]+All_India_Index_Upto_April23__1___1[[#This Row],[Education]]+All_India_Index_Upto_April23__1___1[[#This Row],[Recreation and amusement]]</f>
        <v>635.30000000000007</v>
      </c>
      <c r="AM29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3955.1709677419358</v>
      </c>
    </row>
    <row r="297" spans="1:39" hidden="1" x14ac:dyDescent="0.3">
      <c r="A297" t="s">
        <v>32</v>
      </c>
      <c r="B297">
        <v>2021</v>
      </c>
      <c r="C297" t="s">
        <v>36</v>
      </c>
      <c r="D297" t="str">
        <f t="shared" si="4"/>
        <v>Apr-21</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c r="AF297" s="12">
        <f>AVERAGE(All_India_Index_Upto_April23__1___1[[#This Row],[Cereals and products]:[Pan, tobacco and intoxicants]])</f>
        <v>163.14285714285714</v>
      </c>
      <c r="AG297" s="12">
        <f>AVERAGE(All_India_Index_Upto_April23__1___1[[#This Row],[Household goods and services]],All_India_Index_Upto_April23__1___1[[#This Row],[Housing]])</f>
        <v>154.5</v>
      </c>
      <c r="AH297" s="12">
        <f>AVERAGE(All_India_Index_Upto_April23__1___1[[#This Row],[Miscellaneous]],All_India_Index_Upto_April23__1___1[[#This Row],[Personal care and effects]],All_India_Index_Upto_April23__1___1[[#This Row],[Education]],All_India_Index_Upto_April23__1___1[[#This Row],[Recreation and amusement]])</f>
        <v>153.45000000000002</v>
      </c>
      <c r="AI297" s="12">
        <f>SUM(All_India_Index_Upto_April23__1___1[[#This Row],[Cereals and products]:[Pan, tobacco and intoxicants]])</f>
        <v>2284</v>
      </c>
      <c r="AJ297" s="12">
        <f>SUM(All_India_Index_Upto_April23__1___1[[#This Row],[Household goods and services]],All_India_Index_Upto_April23__1___1[[#This Row],[Housing]])</f>
        <v>309</v>
      </c>
      <c r="AK297" s="12">
        <f>All_India_Index_Upto_April23__1___1[[#This Row],[Clothing]]+All_India_Index_Upto_April23__1___1[[#This Row],[Footwear]]</f>
        <v>295.20000000000005</v>
      </c>
      <c r="AL297" s="12">
        <f>All_India_Index_Upto_April23__1___1[[#This Row],[Miscellaneous]]+All_India_Index_Upto_April23__1___1[[#This Row],[Personal care and effects]]+All_India_Index_Upto_April23__1___1[[#This Row],[Education]]+All_India_Index_Upto_April23__1___1[[#This Row],[Recreation and amusement]]</f>
        <v>613.80000000000007</v>
      </c>
      <c r="AM29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3956.5</v>
      </c>
    </row>
    <row r="298" spans="1:39" x14ac:dyDescent="0.3">
      <c r="A298" t="s">
        <v>33</v>
      </c>
      <c r="B298">
        <v>2021</v>
      </c>
      <c r="C298" t="s">
        <v>36</v>
      </c>
      <c r="D298" t="str">
        <f t="shared" si="4"/>
        <v>Apr-21</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s="12">
        <f>AVERAGE(All_India_Index_Upto_April23__1___1[[#This Row],[Cereals and products]:[Pan, tobacco and intoxicants]])</f>
        <v>160.92142857142858</v>
      </c>
      <c r="AG298" s="12">
        <f>AVERAGE(All_India_Index_Upto_April23__1___1[[#This Row],[Household goods and services]],All_India_Index_Upto_April23__1___1[[#This Row],[Housing]])</f>
        <v>156.60000000000002</v>
      </c>
      <c r="AH298" s="12">
        <f>AVERAGE(All_India_Index_Upto_April23__1___1[[#This Row],[Miscellaneous]],All_India_Index_Upto_April23__1___1[[#This Row],[Personal care and effects]],All_India_Index_Upto_April23__1___1[[#This Row],[Education]],All_India_Index_Upto_April23__1___1[[#This Row],[Recreation and amusement]])</f>
        <v>155.82499999999999</v>
      </c>
      <c r="AI298" s="12">
        <f>SUM(All_India_Index_Upto_April23__1___1[[#This Row],[Cereals and products]:[Pan, tobacco and intoxicants]])</f>
        <v>2252.9</v>
      </c>
      <c r="AJ298" s="12">
        <f>SUM(All_India_Index_Upto_April23__1___1[[#This Row],[Household goods and services]],All_India_Index_Upto_April23__1___1[[#This Row],[Housing]])</f>
        <v>313.20000000000005</v>
      </c>
      <c r="AK298" s="12">
        <f>All_India_Index_Upto_April23__1___1[[#This Row],[Clothing]]+All_India_Index_Upto_April23__1___1[[#This Row],[Footwear]]</f>
        <v>307.3</v>
      </c>
      <c r="AL298" s="12">
        <f>All_India_Index_Upto_April23__1___1[[#This Row],[Miscellaneous]]+All_India_Index_Upto_April23__1___1[[#This Row],[Personal care and effects]]+All_India_Index_Upto_April23__1___1[[#This Row],[Education]]+All_India_Index_Upto_April23__1___1[[#This Row],[Recreation and amusement]]</f>
        <v>623.29999999999995</v>
      </c>
      <c r="AM29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3961.2</v>
      </c>
    </row>
    <row r="299" spans="1:39" hidden="1" x14ac:dyDescent="0.3">
      <c r="A299" t="s">
        <v>30</v>
      </c>
      <c r="B299">
        <v>2021</v>
      </c>
      <c r="C299" t="s">
        <v>37</v>
      </c>
      <c r="D299" t="str">
        <f t="shared" si="4"/>
        <v>May-21</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s="12">
        <f>'Handle Missing Value Sheet only'!$F$5</f>
        <v>139.27096774193564</v>
      </c>
      <c r="W299">
        <v>161.69999999999999</v>
      </c>
      <c r="X299">
        <v>158.80000000000001</v>
      </c>
      <c r="Y299">
        <v>169.1</v>
      </c>
      <c r="Z299">
        <v>153.19999999999999</v>
      </c>
      <c r="AA299">
        <v>160</v>
      </c>
      <c r="AB299">
        <v>167.6</v>
      </c>
      <c r="AC299">
        <v>159.30000000000001</v>
      </c>
      <c r="AD299">
        <v>161.1</v>
      </c>
      <c r="AE299">
        <v>161.1</v>
      </c>
      <c r="AF299" s="12">
        <f>AVERAGE(All_India_Index_Upto_April23__1___1[[#This Row],[Cereals and products]:[Pan, tobacco and intoxicants]])</f>
        <v>163.20714285714283</v>
      </c>
      <c r="AG299" s="12">
        <f>AVERAGE(All_India_Index_Upto_April23__1___1[[#This Row],[Household goods and services]],All_India_Index_Upto_April23__1___1[[#This Row],[Housing]])</f>
        <v>149.03548387096782</v>
      </c>
      <c r="AH299" s="12">
        <f>AVERAGE(All_India_Index_Upto_April23__1___1[[#This Row],[Miscellaneous]],All_India_Index_Upto_April23__1___1[[#This Row],[Personal care and effects]],All_India_Index_Upto_April23__1___1[[#This Row],[Education]],All_India_Index_Upto_April23__1___1[[#This Row],[Recreation and amusement]])</f>
        <v>162</v>
      </c>
      <c r="AI299" s="12">
        <f>SUM(All_India_Index_Upto_April23__1___1[[#This Row],[Cereals and products]:[Pan, tobacco and intoxicants]])</f>
        <v>2284.8999999999996</v>
      </c>
      <c r="AJ299" s="12">
        <f>SUM(All_India_Index_Upto_April23__1___1[[#This Row],[Household goods and services]],All_India_Index_Upto_April23__1___1[[#This Row],[Housing]])</f>
        <v>298.07096774193565</v>
      </c>
      <c r="AK299" s="12">
        <f>All_India_Index_Upto_April23__1___1[[#This Row],[Clothing]]+All_India_Index_Upto_April23__1___1[[#This Row],[Footwear]]</f>
        <v>325.89999999999998</v>
      </c>
      <c r="AL299" s="12">
        <f>All_India_Index_Upto_April23__1___1[[#This Row],[Miscellaneous]]+All_India_Index_Upto_April23__1___1[[#This Row],[Personal care and effects]]+All_India_Index_Upto_April23__1___1[[#This Row],[Education]]+All_India_Index_Upto_April23__1___1[[#This Row],[Recreation and amusement]]</f>
        <v>648</v>
      </c>
      <c r="AM29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4040.8709677419347</v>
      </c>
    </row>
    <row r="300" spans="1:39" hidden="1" x14ac:dyDescent="0.3">
      <c r="A300" t="s">
        <v>32</v>
      </c>
      <c r="B300">
        <v>2021</v>
      </c>
      <c r="C300" t="s">
        <v>37</v>
      </c>
      <c r="D300" t="str">
        <f t="shared" si="4"/>
        <v>May-21</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c r="AF300" s="12">
        <f>AVERAGE(All_India_Index_Upto_April23__1___1[[#This Row],[Cereals and products]:[Pan, tobacco and intoxicants]])</f>
        <v>165.92142857142858</v>
      </c>
      <c r="AG300" s="12">
        <f>AVERAGE(All_India_Index_Upto_April23__1___1[[#This Row],[Household goods and services]],All_India_Index_Upto_April23__1___1[[#This Row],[Housing]])</f>
        <v>155.85</v>
      </c>
      <c r="AH300" s="12">
        <f>AVERAGE(All_India_Index_Upto_April23__1___1[[#This Row],[Miscellaneous]],All_India_Index_Upto_April23__1___1[[#This Row],[Personal care and effects]],All_India_Index_Upto_April23__1___1[[#This Row],[Education]],All_India_Index_Upto_April23__1___1[[#This Row],[Recreation and amusement]])</f>
        <v>154.75</v>
      </c>
      <c r="AI300" s="12">
        <f>SUM(All_India_Index_Upto_April23__1___1[[#This Row],[Cereals and products]:[Pan, tobacco and intoxicants]])</f>
        <v>2322.9</v>
      </c>
      <c r="AJ300" s="12">
        <f>SUM(All_India_Index_Upto_April23__1___1[[#This Row],[Household goods and services]],All_India_Index_Upto_April23__1___1[[#This Row],[Housing]])</f>
        <v>311.7</v>
      </c>
      <c r="AK300" s="12">
        <f>All_India_Index_Upto_April23__1___1[[#This Row],[Clothing]]+All_India_Index_Upto_April23__1___1[[#This Row],[Footwear]]</f>
        <v>296.7</v>
      </c>
      <c r="AL300" s="12">
        <f>All_India_Index_Upto_April23__1___1[[#This Row],[Miscellaneous]]+All_India_Index_Upto_April23__1___1[[#This Row],[Personal care and effects]]+All_India_Index_Upto_April23__1___1[[#This Row],[Education]]+All_India_Index_Upto_April23__1___1[[#This Row],[Recreation and amusement]]</f>
        <v>619</v>
      </c>
      <c r="AM30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4011.2000000000003</v>
      </c>
    </row>
    <row r="301" spans="1:39" x14ac:dyDescent="0.3">
      <c r="A301" t="s">
        <v>33</v>
      </c>
      <c r="B301">
        <v>2021</v>
      </c>
      <c r="C301" t="s">
        <v>37</v>
      </c>
      <c r="D301" t="str">
        <f t="shared" si="4"/>
        <v>May-21</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s="12">
        <f>AVERAGE(All_India_Index_Upto_April23__1___1[[#This Row],[Cereals and products]:[Pan, tobacco and intoxicants]])</f>
        <v>164.11428571428573</v>
      </c>
      <c r="AG301" s="12">
        <f>AVERAGE(All_India_Index_Upto_April23__1___1[[#This Row],[Household goods and services]],All_India_Index_Upto_April23__1___1[[#This Row],[Housing]])</f>
        <v>158.14999999999998</v>
      </c>
      <c r="AH301" s="12">
        <f>AVERAGE(All_India_Index_Upto_April23__1___1[[#This Row],[Miscellaneous]],All_India_Index_Upto_April23__1___1[[#This Row],[Personal care and effects]],All_India_Index_Upto_April23__1___1[[#This Row],[Education]],All_India_Index_Upto_April23__1___1[[#This Row],[Recreation and amusement]])</f>
        <v>158.1</v>
      </c>
      <c r="AI301" s="12">
        <f>SUM(All_India_Index_Upto_April23__1___1[[#This Row],[Cereals and products]:[Pan, tobacco and intoxicants]])</f>
        <v>2297.6000000000004</v>
      </c>
      <c r="AJ301" s="12">
        <f>SUM(All_India_Index_Upto_April23__1___1[[#This Row],[Household goods and services]],All_India_Index_Upto_April23__1___1[[#This Row],[Housing]])</f>
        <v>316.29999999999995</v>
      </c>
      <c r="AK301" s="12">
        <f>All_India_Index_Upto_April23__1___1[[#This Row],[Clothing]]+All_India_Index_Upto_April23__1___1[[#This Row],[Footwear]]</f>
        <v>313.89999999999998</v>
      </c>
      <c r="AL301" s="12">
        <f>All_India_Index_Upto_April23__1___1[[#This Row],[Miscellaneous]]+All_India_Index_Upto_April23__1___1[[#This Row],[Personal care and effects]]+All_India_Index_Upto_April23__1___1[[#This Row],[Education]]+All_India_Index_Upto_April23__1___1[[#This Row],[Recreation and amusement]]</f>
        <v>632.4</v>
      </c>
      <c r="AM30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4034.3000000000006</v>
      </c>
    </row>
    <row r="302" spans="1:39" hidden="1" x14ac:dyDescent="0.3">
      <c r="A302" t="s">
        <v>30</v>
      </c>
      <c r="B302">
        <v>2021</v>
      </c>
      <c r="C302" t="s">
        <v>38</v>
      </c>
      <c r="D302" t="str">
        <f t="shared" si="4"/>
        <v>Jun-21</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s="12">
        <f>'Handle Missing Value Sheet only'!$F$5</f>
        <v>139.27096774193564</v>
      </c>
      <c r="W302">
        <v>162.1</v>
      </c>
      <c r="X302">
        <v>159.19999999999999</v>
      </c>
      <c r="Y302">
        <v>169.7</v>
      </c>
      <c r="Z302">
        <v>154.19999999999999</v>
      </c>
      <c r="AA302">
        <v>160.4</v>
      </c>
      <c r="AB302">
        <v>166.8</v>
      </c>
      <c r="AC302">
        <v>159.4</v>
      </c>
      <c r="AD302">
        <v>161.5</v>
      </c>
      <c r="AE302">
        <v>162.1</v>
      </c>
      <c r="AF302" s="12">
        <f>AVERAGE(All_India_Index_Upto_April23__1___1[[#This Row],[Cereals and products]:[Pan, tobacco and intoxicants]])</f>
        <v>165.12142857142857</v>
      </c>
      <c r="AG302" s="12">
        <f>AVERAGE(All_India_Index_Upto_April23__1___1[[#This Row],[Household goods and services]],All_India_Index_Upto_April23__1___1[[#This Row],[Housing]])</f>
        <v>149.23548387096781</v>
      </c>
      <c r="AH302" s="12">
        <f>AVERAGE(All_India_Index_Upto_April23__1___1[[#This Row],[Miscellaneous]],All_India_Index_Upto_April23__1___1[[#This Row],[Personal care and effects]],All_India_Index_Upto_April23__1___1[[#This Row],[Education]],All_India_Index_Upto_April23__1___1[[#This Row],[Recreation and amusement]])</f>
        <v>162.02500000000001</v>
      </c>
      <c r="AI302" s="12">
        <f>SUM(All_India_Index_Upto_April23__1___1[[#This Row],[Cereals and products]:[Pan, tobacco and intoxicants]])</f>
        <v>2311.6999999999998</v>
      </c>
      <c r="AJ302" s="12">
        <f>SUM(All_India_Index_Upto_April23__1___1[[#This Row],[Household goods and services]],All_India_Index_Upto_April23__1___1[[#This Row],[Housing]])</f>
        <v>298.47096774193562</v>
      </c>
      <c r="AK302" s="12">
        <f>All_India_Index_Upto_April23__1___1[[#This Row],[Clothing]]+All_India_Index_Upto_April23__1___1[[#This Row],[Footwear]]</f>
        <v>325.20000000000005</v>
      </c>
      <c r="AL302" s="12">
        <f>All_India_Index_Upto_April23__1___1[[#This Row],[Miscellaneous]]+All_India_Index_Upto_April23__1___1[[#This Row],[Personal care and effects]]+All_India_Index_Upto_April23__1___1[[#This Row],[Education]]+All_India_Index_Upto_April23__1___1[[#This Row],[Recreation and amusement]]</f>
        <v>648.1</v>
      </c>
      <c r="AM30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4069.4709677419351</v>
      </c>
    </row>
    <row r="303" spans="1:39" hidden="1" x14ac:dyDescent="0.3">
      <c r="A303" t="s">
        <v>32</v>
      </c>
      <c r="B303">
        <v>2021</v>
      </c>
      <c r="C303" t="s">
        <v>38</v>
      </c>
      <c r="D303" t="str">
        <f t="shared" si="4"/>
        <v>Jun-21</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c r="AF303" s="12">
        <f>AVERAGE(All_India_Index_Upto_April23__1___1[[#This Row],[Cereals and products]:[Pan, tobacco and intoxicants]])</f>
        <v>167.84285714285713</v>
      </c>
      <c r="AG303" s="12">
        <f>AVERAGE(All_India_Index_Upto_April23__1___1[[#This Row],[Household goods and services]],All_India_Index_Upto_April23__1___1[[#This Row],[Housing]])</f>
        <v>155.15</v>
      </c>
      <c r="AH303" s="12">
        <f>AVERAGE(All_India_Index_Upto_April23__1___1[[#This Row],[Miscellaneous]],All_India_Index_Upto_April23__1___1[[#This Row],[Personal care and effects]],All_India_Index_Upto_April23__1___1[[#This Row],[Education]],All_India_Index_Upto_April23__1___1[[#This Row],[Recreation and amusement]])</f>
        <v>155.05000000000001</v>
      </c>
      <c r="AI303" s="12">
        <f>SUM(All_India_Index_Upto_April23__1___1[[#This Row],[Cereals and products]:[Pan, tobacco and intoxicants]])</f>
        <v>2349.7999999999997</v>
      </c>
      <c r="AJ303" s="12">
        <f>SUM(All_India_Index_Upto_April23__1___1[[#This Row],[Household goods and services]],All_India_Index_Upto_April23__1___1[[#This Row],[Housing]])</f>
        <v>310.3</v>
      </c>
      <c r="AK303" s="12">
        <f>All_India_Index_Upto_April23__1___1[[#This Row],[Clothing]]+All_India_Index_Upto_April23__1___1[[#This Row],[Footwear]]</f>
        <v>297.8</v>
      </c>
      <c r="AL303" s="12">
        <f>All_India_Index_Upto_April23__1___1[[#This Row],[Miscellaneous]]+All_India_Index_Upto_April23__1___1[[#This Row],[Personal care and effects]]+All_India_Index_Upto_April23__1___1[[#This Row],[Education]]+All_India_Index_Upto_April23__1___1[[#This Row],[Recreation and amusement]]</f>
        <v>620.20000000000005</v>
      </c>
      <c r="AM30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4042.4999999999995</v>
      </c>
    </row>
    <row r="304" spans="1:39" x14ac:dyDescent="0.3">
      <c r="A304" t="s">
        <v>33</v>
      </c>
      <c r="B304">
        <v>2021</v>
      </c>
      <c r="C304" t="s">
        <v>38</v>
      </c>
      <c r="D304" t="str">
        <f t="shared" si="4"/>
        <v>Jun-21</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s="12">
        <f>AVERAGE(All_India_Index_Upto_April23__1___1[[#This Row],[Cereals and products]:[Pan, tobacco and intoxicants]])</f>
        <v>166.05</v>
      </c>
      <c r="AG304" s="12">
        <f>AVERAGE(All_India_Index_Upto_April23__1___1[[#This Row],[Household goods and services]],All_India_Index_Upto_April23__1___1[[#This Row],[Housing]])</f>
        <v>157.65</v>
      </c>
      <c r="AH304" s="12">
        <f>AVERAGE(All_India_Index_Upto_April23__1___1[[#This Row],[Miscellaneous]],All_India_Index_Upto_April23__1___1[[#This Row],[Personal care and effects]],All_India_Index_Upto_April23__1___1[[#This Row],[Education]],All_India_Index_Upto_April23__1___1[[#This Row],[Recreation and amusement]])</f>
        <v>158.25</v>
      </c>
      <c r="AI304" s="12">
        <f>SUM(All_India_Index_Upto_April23__1___1[[#This Row],[Cereals and products]:[Pan, tobacco and intoxicants]])</f>
        <v>2324.7000000000003</v>
      </c>
      <c r="AJ304" s="12">
        <f>SUM(All_India_Index_Upto_April23__1___1[[#This Row],[Household goods and services]],All_India_Index_Upto_April23__1___1[[#This Row],[Housing]])</f>
        <v>315.3</v>
      </c>
      <c r="AK304" s="12">
        <f>All_India_Index_Upto_April23__1___1[[#This Row],[Clothing]]+All_India_Index_Upto_April23__1___1[[#This Row],[Footwear]]</f>
        <v>314</v>
      </c>
      <c r="AL304" s="12">
        <f>All_India_Index_Upto_April23__1___1[[#This Row],[Miscellaneous]]+All_India_Index_Upto_April23__1___1[[#This Row],[Personal care and effects]]+All_India_Index_Upto_April23__1___1[[#This Row],[Education]]+All_India_Index_Upto_April23__1___1[[#This Row],[Recreation and amusement]]</f>
        <v>633</v>
      </c>
      <c r="AM30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4063.8</v>
      </c>
    </row>
    <row r="305" spans="1:39" hidden="1" x14ac:dyDescent="0.3">
      <c r="A305" t="s">
        <v>30</v>
      </c>
      <c r="B305">
        <v>2021</v>
      </c>
      <c r="C305" t="s">
        <v>39</v>
      </c>
      <c r="D305" t="str">
        <f t="shared" si="4"/>
        <v>Jul-21</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s="12">
        <f>'Handle Missing Value Sheet only'!$F$5</f>
        <v>139.27096774193564</v>
      </c>
      <c r="W305">
        <v>162.5</v>
      </c>
      <c r="X305">
        <v>160.30000000000001</v>
      </c>
      <c r="Y305">
        <v>170.4</v>
      </c>
      <c r="Z305">
        <v>157.1</v>
      </c>
      <c r="AA305">
        <v>160.69999999999999</v>
      </c>
      <c r="AB305">
        <v>167.2</v>
      </c>
      <c r="AC305">
        <v>160.4</v>
      </c>
      <c r="AD305">
        <v>162.80000000000001</v>
      </c>
      <c r="AE305">
        <v>163.19999999999999</v>
      </c>
      <c r="AF305" s="12">
        <f>AVERAGE(All_India_Index_Upto_April23__1___1[[#This Row],[Cereals and products]:[Pan, tobacco and intoxicants]])</f>
        <v>165.8642857142857</v>
      </c>
      <c r="AG305" s="12">
        <f>AVERAGE(All_India_Index_Upto_April23__1___1[[#This Row],[Household goods and services]],All_India_Index_Upto_April23__1___1[[#This Row],[Housing]])</f>
        <v>149.78548387096782</v>
      </c>
      <c r="AH305" s="12">
        <f>AVERAGE(All_India_Index_Upto_April23__1___1[[#This Row],[Miscellaneous]],All_India_Index_Upto_April23__1___1[[#This Row],[Personal care and effects]],All_India_Index_Upto_April23__1___1[[#This Row],[Education]],All_India_Index_Upto_April23__1___1[[#This Row],[Recreation and amusement]])</f>
        <v>162.77500000000001</v>
      </c>
      <c r="AI305" s="12">
        <f>SUM(All_India_Index_Upto_April23__1___1[[#This Row],[Cereals and products]:[Pan, tobacco and intoxicants]])</f>
        <v>2322.1</v>
      </c>
      <c r="AJ305" s="12">
        <f>SUM(All_India_Index_Upto_April23__1___1[[#This Row],[Household goods and services]],All_India_Index_Upto_April23__1___1[[#This Row],[Housing]])</f>
        <v>299.57096774193565</v>
      </c>
      <c r="AK305" s="12">
        <f>All_India_Index_Upto_April23__1___1[[#This Row],[Clothing]]+All_India_Index_Upto_April23__1___1[[#This Row],[Footwear]]</f>
        <v>327.10000000000002</v>
      </c>
      <c r="AL305" s="12">
        <f>All_India_Index_Upto_April23__1___1[[#This Row],[Miscellaneous]]+All_India_Index_Upto_April23__1___1[[#This Row],[Personal care and effects]]+All_India_Index_Upto_April23__1___1[[#This Row],[Education]]+All_India_Index_Upto_April23__1___1[[#This Row],[Recreation and amusement]]</f>
        <v>651.1</v>
      </c>
      <c r="AM30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4089.8709677419356</v>
      </c>
    </row>
    <row r="306" spans="1:39" hidden="1" x14ac:dyDescent="0.3">
      <c r="A306" t="s">
        <v>32</v>
      </c>
      <c r="B306">
        <v>2021</v>
      </c>
      <c r="C306" t="s">
        <v>39</v>
      </c>
      <c r="D306" t="str">
        <f t="shared" si="4"/>
        <v>Jul-21</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c r="AF306" s="12">
        <f>AVERAGE(All_India_Index_Upto_April23__1___1[[#This Row],[Cereals and products]:[Pan, tobacco and intoxicants]])</f>
        <v>169.09285714285716</v>
      </c>
      <c r="AG306" s="12">
        <f>AVERAGE(All_India_Index_Upto_April23__1___1[[#This Row],[Household goods and services]],All_India_Index_Upto_April23__1___1[[#This Row],[Housing]])</f>
        <v>156.1</v>
      </c>
      <c r="AH306" s="12">
        <f>AVERAGE(All_India_Index_Upto_April23__1___1[[#This Row],[Miscellaneous]],All_India_Index_Upto_April23__1___1[[#This Row],[Personal care and effects]],All_India_Index_Upto_April23__1___1[[#This Row],[Education]],All_India_Index_Upto_April23__1___1[[#This Row],[Recreation and amusement]])</f>
        <v>156.52500000000001</v>
      </c>
      <c r="AI306" s="12">
        <f>SUM(All_India_Index_Upto_April23__1___1[[#This Row],[Cereals and products]:[Pan, tobacco and intoxicants]])</f>
        <v>2367.3000000000002</v>
      </c>
      <c r="AJ306" s="12">
        <f>SUM(All_India_Index_Upto_April23__1___1[[#This Row],[Household goods and services]],All_India_Index_Upto_April23__1___1[[#This Row],[Housing]])</f>
        <v>312.2</v>
      </c>
      <c r="AK306" s="12">
        <f>All_India_Index_Upto_April23__1___1[[#This Row],[Clothing]]+All_India_Index_Upto_April23__1___1[[#This Row],[Footwear]]</f>
        <v>299.8</v>
      </c>
      <c r="AL306" s="12">
        <f>All_India_Index_Upto_April23__1___1[[#This Row],[Miscellaneous]]+All_India_Index_Upto_April23__1___1[[#This Row],[Personal care and effects]]+All_India_Index_Upto_April23__1___1[[#This Row],[Education]]+All_India_Index_Upto_April23__1___1[[#This Row],[Recreation and amusement]]</f>
        <v>626.1</v>
      </c>
      <c r="AM30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4074.1000000000004</v>
      </c>
    </row>
    <row r="307" spans="1:39" x14ac:dyDescent="0.3">
      <c r="A307" t="s">
        <v>33</v>
      </c>
      <c r="B307">
        <v>2021</v>
      </c>
      <c r="C307" t="s">
        <v>39</v>
      </c>
      <c r="D307" t="str">
        <f t="shared" si="4"/>
        <v>Jul-21</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s="12">
        <f>AVERAGE(All_India_Index_Upto_April23__1___1[[#This Row],[Cereals and products]:[Pan, tobacco and intoxicants]])</f>
        <v>167.01428571428571</v>
      </c>
      <c r="AG307" s="12">
        <f>AVERAGE(All_India_Index_Upto_April23__1___1[[#This Row],[Household goods and services]],All_India_Index_Upto_April23__1___1[[#This Row],[Housing]])</f>
        <v>158.65</v>
      </c>
      <c r="AH307" s="12">
        <f>AVERAGE(All_India_Index_Upto_April23__1___1[[#This Row],[Miscellaneous]],All_India_Index_Upto_April23__1___1[[#This Row],[Personal care and effects]],All_India_Index_Upto_April23__1___1[[#This Row],[Education]],All_India_Index_Upto_April23__1___1[[#This Row],[Recreation and amusement]])</f>
        <v>159.4</v>
      </c>
      <c r="AI307" s="12">
        <f>SUM(All_India_Index_Upto_April23__1___1[[#This Row],[Cereals and products]:[Pan, tobacco and intoxicants]])</f>
        <v>2338.1999999999998</v>
      </c>
      <c r="AJ307" s="12">
        <f>SUM(All_India_Index_Upto_April23__1___1[[#This Row],[Household goods and services]],All_India_Index_Upto_April23__1___1[[#This Row],[Housing]])</f>
        <v>317.3</v>
      </c>
      <c r="AK307" s="12">
        <f>All_India_Index_Upto_April23__1___1[[#This Row],[Clothing]]+All_India_Index_Upto_April23__1___1[[#This Row],[Footwear]]</f>
        <v>315.89999999999998</v>
      </c>
      <c r="AL307" s="12">
        <f>All_India_Index_Upto_April23__1___1[[#This Row],[Miscellaneous]]+All_India_Index_Upto_April23__1___1[[#This Row],[Personal care and effects]]+All_India_Index_Upto_April23__1___1[[#This Row],[Education]]+All_India_Index_Upto_April23__1___1[[#This Row],[Recreation and amusement]]</f>
        <v>637.6</v>
      </c>
      <c r="AM30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4089.7999999999997</v>
      </c>
    </row>
    <row r="308" spans="1:39" hidden="1" x14ac:dyDescent="0.3">
      <c r="A308" t="s">
        <v>30</v>
      </c>
      <c r="B308">
        <v>2021</v>
      </c>
      <c r="C308" t="s">
        <v>40</v>
      </c>
      <c r="D308" t="str">
        <f t="shared" si="4"/>
        <v>Aug-21</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s="12">
        <f>'Handle Missing Value Sheet only'!$F$5</f>
        <v>139.27096774193564</v>
      </c>
      <c r="W308">
        <v>163.1</v>
      </c>
      <c r="X308">
        <v>160.9</v>
      </c>
      <c r="Y308">
        <v>171.1</v>
      </c>
      <c r="Z308">
        <v>157.69999999999999</v>
      </c>
      <c r="AA308">
        <v>161.1</v>
      </c>
      <c r="AB308">
        <v>167.5</v>
      </c>
      <c r="AC308">
        <v>160.30000000000001</v>
      </c>
      <c r="AD308">
        <v>163.30000000000001</v>
      </c>
      <c r="AE308">
        <v>163.6</v>
      </c>
      <c r="AF308" s="12">
        <f>AVERAGE(All_India_Index_Upto_April23__1___1[[#This Row],[Cereals and products]:[Pan, tobacco and intoxicants]])</f>
        <v>165.78571428571428</v>
      </c>
      <c r="AG308" s="12">
        <f>AVERAGE(All_India_Index_Upto_April23__1___1[[#This Row],[Household goods and services]],All_India_Index_Upto_April23__1___1[[#This Row],[Housing]])</f>
        <v>150.08548387096783</v>
      </c>
      <c r="AH308" s="12">
        <f>AVERAGE(All_India_Index_Upto_April23__1___1[[#This Row],[Miscellaneous]],All_India_Index_Upto_April23__1___1[[#This Row],[Personal care and effects]],All_India_Index_Upto_April23__1___1[[#This Row],[Education]],All_India_Index_Upto_April23__1___1[[#This Row],[Recreation and amusement]])</f>
        <v>163.05000000000001</v>
      </c>
      <c r="AI308" s="12">
        <f>SUM(All_India_Index_Upto_April23__1___1[[#This Row],[Cereals and products]:[Pan, tobacco and intoxicants]])</f>
        <v>2321</v>
      </c>
      <c r="AJ308" s="12">
        <f>SUM(All_India_Index_Upto_April23__1___1[[#This Row],[Household goods and services]],All_India_Index_Upto_April23__1___1[[#This Row],[Housing]])</f>
        <v>300.17096774193567</v>
      </c>
      <c r="AK308" s="12">
        <f>All_India_Index_Upto_April23__1___1[[#This Row],[Clothing]]+All_India_Index_Upto_April23__1___1[[#This Row],[Footwear]]</f>
        <v>329.6</v>
      </c>
      <c r="AL308" s="12">
        <f>All_India_Index_Upto_April23__1___1[[#This Row],[Miscellaneous]]+All_India_Index_Upto_April23__1___1[[#This Row],[Personal care and effects]]+All_India_Index_Upto_April23__1___1[[#This Row],[Education]]+All_India_Index_Upto_April23__1___1[[#This Row],[Recreation and amusement]]</f>
        <v>652.20000000000005</v>
      </c>
      <c r="AM30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4094.8709677419356</v>
      </c>
    </row>
    <row r="309" spans="1:39" hidden="1" x14ac:dyDescent="0.3">
      <c r="A309" t="s">
        <v>32</v>
      </c>
      <c r="B309">
        <v>2021</v>
      </c>
      <c r="C309" t="s">
        <v>40</v>
      </c>
      <c r="D309" t="str">
        <f t="shared" si="4"/>
        <v>Aug-21</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c r="AF309" s="12">
        <f>AVERAGE(All_India_Index_Upto_April23__1___1[[#This Row],[Cereals and products]:[Pan, tobacco and intoxicants]])</f>
        <v>168.17142857142858</v>
      </c>
      <c r="AG309" s="12">
        <f>AVERAGE(All_India_Index_Upto_April23__1___1[[#This Row],[Household goods and services]],All_India_Index_Upto_April23__1___1[[#This Row],[Housing]])</f>
        <v>157.64999999999998</v>
      </c>
      <c r="AH309" s="12">
        <f>AVERAGE(All_India_Index_Upto_April23__1___1[[#This Row],[Miscellaneous]],All_India_Index_Upto_April23__1___1[[#This Row],[Personal care and effects]],All_India_Index_Upto_April23__1___1[[#This Row],[Education]],All_India_Index_Upto_April23__1___1[[#This Row],[Recreation and amusement]])</f>
        <v>157.42500000000001</v>
      </c>
      <c r="AI309" s="12">
        <f>SUM(All_India_Index_Upto_April23__1___1[[#This Row],[Cereals and products]:[Pan, tobacco and intoxicants]])</f>
        <v>2354.4</v>
      </c>
      <c r="AJ309" s="12">
        <f>SUM(All_India_Index_Upto_April23__1___1[[#This Row],[Household goods and services]],All_India_Index_Upto_April23__1___1[[#This Row],[Housing]])</f>
        <v>315.29999999999995</v>
      </c>
      <c r="AK309" s="12">
        <f>All_India_Index_Upto_April23__1___1[[#This Row],[Clothing]]+All_India_Index_Upto_April23__1___1[[#This Row],[Footwear]]</f>
        <v>303.39999999999998</v>
      </c>
      <c r="AL309" s="12">
        <f>All_India_Index_Upto_April23__1___1[[#This Row],[Miscellaneous]]+All_India_Index_Upto_April23__1___1[[#This Row],[Personal care and effects]]+All_India_Index_Upto_April23__1___1[[#This Row],[Education]]+All_India_Index_Upto_April23__1___1[[#This Row],[Recreation and amusement]]</f>
        <v>629.70000000000005</v>
      </c>
      <c r="AM30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4076.7000000000003</v>
      </c>
    </row>
    <row r="310" spans="1:39" x14ac:dyDescent="0.3">
      <c r="A310" t="s">
        <v>33</v>
      </c>
      <c r="B310">
        <v>2021</v>
      </c>
      <c r="C310" t="s">
        <v>40</v>
      </c>
      <c r="D310" t="str">
        <f t="shared" si="4"/>
        <v>Aug-21</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s="12">
        <f>AVERAGE(All_India_Index_Upto_April23__1___1[[#This Row],[Cereals and products]:[Pan, tobacco and intoxicants]])</f>
        <v>166.72142857142856</v>
      </c>
      <c r="AG310" s="12">
        <f>AVERAGE(All_India_Index_Upto_April23__1___1[[#This Row],[Household goods and services]],All_India_Index_Upto_April23__1___1[[#This Row],[Housing]])</f>
        <v>159.80000000000001</v>
      </c>
      <c r="AH310" s="12">
        <f>AVERAGE(All_India_Index_Upto_April23__1___1[[#This Row],[Miscellaneous]],All_India_Index_Upto_April23__1___1[[#This Row],[Personal care and effects]],All_India_Index_Upto_April23__1___1[[#This Row],[Education]],All_India_Index_Upto_April23__1___1[[#This Row],[Recreation and amusement]])</f>
        <v>160.35</v>
      </c>
      <c r="AI310" s="12">
        <f>SUM(All_India_Index_Upto_April23__1___1[[#This Row],[Cereals and products]:[Pan, tobacco and intoxicants]])</f>
        <v>2334.1</v>
      </c>
      <c r="AJ310" s="12">
        <f>SUM(All_India_Index_Upto_April23__1___1[[#This Row],[Household goods and services]],All_India_Index_Upto_April23__1___1[[#This Row],[Housing]])</f>
        <v>319.60000000000002</v>
      </c>
      <c r="AK310" s="12">
        <f>All_India_Index_Upto_April23__1___1[[#This Row],[Clothing]]+All_India_Index_Upto_April23__1___1[[#This Row],[Footwear]]</f>
        <v>319.8</v>
      </c>
      <c r="AL310" s="12">
        <f>All_India_Index_Upto_April23__1___1[[#This Row],[Miscellaneous]]+All_India_Index_Upto_April23__1___1[[#This Row],[Personal care and effects]]+All_India_Index_Upto_April23__1___1[[#This Row],[Education]]+All_India_Index_Upto_April23__1___1[[#This Row],[Recreation and amusement]]</f>
        <v>641.4</v>
      </c>
      <c r="AM31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4099.9000000000005</v>
      </c>
    </row>
    <row r="311" spans="1:39" hidden="1" x14ac:dyDescent="0.3">
      <c r="A311" t="s">
        <v>30</v>
      </c>
      <c r="B311">
        <v>2021</v>
      </c>
      <c r="C311" t="s">
        <v>41</v>
      </c>
      <c r="D311" t="str">
        <f t="shared" si="4"/>
        <v>Sep-21</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s="12">
        <f>'Handle Missing Value Sheet only'!$F$5</f>
        <v>139.27096774193564</v>
      </c>
      <c r="W311">
        <v>163.69999999999999</v>
      </c>
      <c r="X311">
        <v>161.30000000000001</v>
      </c>
      <c r="Y311">
        <v>171.9</v>
      </c>
      <c r="Z311">
        <v>157.80000000000001</v>
      </c>
      <c r="AA311">
        <v>162.69999999999999</v>
      </c>
      <c r="AB311">
        <v>168.5</v>
      </c>
      <c r="AC311">
        <v>160.19999999999999</v>
      </c>
      <c r="AD311">
        <v>163.80000000000001</v>
      </c>
      <c r="AE311">
        <v>164</v>
      </c>
      <c r="AF311" s="12">
        <f>AVERAGE(All_India_Index_Upto_April23__1___1[[#This Row],[Cereals and products]:[Pan, tobacco and intoxicants]])</f>
        <v>166.00714285714284</v>
      </c>
      <c r="AG311" s="12">
        <f>AVERAGE(All_India_Index_Upto_April23__1___1[[#This Row],[Household goods and services]],All_India_Index_Upto_April23__1___1[[#This Row],[Housing]])</f>
        <v>150.28548387096782</v>
      </c>
      <c r="AH311" s="12">
        <f>AVERAGE(All_India_Index_Upto_April23__1___1[[#This Row],[Miscellaneous]],All_India_Index_Upto_April23__1___1[[#This Row],[Personal care and effects]],All_India_Index_Upto_April23__1___1[[#This Row],[Education]],All_India_Index_Upto_April23__1___1[[#This Row],[Recreation and amusement]])</f>
        <v>163.80000000000001</v>
      </c>
      <c r="AI311" s="12">
        <f>SUM(All_India_Index_Upto_April23__1___1[[#This Row],[Cereals and products]:[Pan, tobacco and intoxicants]])</f>
        <v>2324.1</v>
      </c>
      <c r="AJ311" s="12">
        <f>SUM(All_India_Index_Upto_April23__1___1[[#This Row],[Household goods and services]],All_India_Index_Upto_April23__1___1[[#This Row],[Housing]])</f>
        <v>300.57096774193565</v>
      </c>
      <c r="AK311" s="12">
        <f>All_India_Index_Upto_April23__1___1[[#This Row],[Clothing]]+All_India_Index_Upto_April23__1___1[[#This Row],[Footwear]]</f>
        <v>331.29999999999995</v>
      </c>
      <c r="AL311" s="12">
        <f>All_India_Index_Upto_April23__1___1[[#This Row],[Miscellaneous]]+All_India_Index_Upto_April23__1___1[[#This Row],[Personal care and effects]]+All_India_Index_Upto_April23__1___1[[#This Row],[Education]]+All_India_Index_Upto_April23__1___1[[#This Row],[Recreation and amusement]]</f>
        <v>655.20000000000005</v>
      </c>
      <c r="AM31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4104.5709677419363</v>
      </c>
    </row>
    <row r="312" spans="1:39" hidden="1" x14ac:dyDescent="0.3">
      <c r="A312" t="s">
        <v>32</v>
      </c>
      <c r="B312">
        <v>2021</v>
      </c>
      <c r="C312" t="s">
        <v>41</v>
      </c>
      <c r="D312" t="str">
        <f t="shared" si="4"/>
        <v>Sep-21</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c r="AF312" s="12">
        <f>AVERAGE(All_India_Index_Upto_April23__1___1[[#This Row],[Cereals and products]:[Pan, tobacco and intoxicants]])</f>
        <v>168.17142857142858</v>
      </c>
      <c r="AG312" s="12">
        <f>AVERAGE(All_India_Index_Upto_April23__1___1[[#This Row],[Household goods and services]],All_India_Index_Upto_April23__1___1[[#This Row],[Housing]])</f>
        <v>157.69999999999999</v>
      </c>
      <c r="AH312" s="12">
        <f>AVERAGE(All_India_Index_Upto_April23__1___1[[#This Row],[Miscellaneous]],All_India_Index_Upto_April23__1___1[[#This Row],[Personal care and effects]],All_India_Index_Upto_April23__1___1[[#This Row],[Education]],All_India_Index_Upto_April23__1___1[[#This Row],[Recreation and amusement]])</f>
        <v>157.45000000000002</v>
      </c>
      <c r="AI312" s="12">
        <f>SUM(All_India_Index_Upto_April23__1___1[[#This Row],[Cereals and products]:[Pan, tobacco and intoxicants]])</f>
        <v>2354.4</v>
      </c>
      <c r="AJ312" s="12">
        <f>SUM(All_India_Index_Upto_April23__1___1[[#This Row],[Household goods and services]],All_India_Index_Upto_April23__1___1[[#This Row],[Housing]])</f>
        <v>315.39999999999998</v>
      </c>
      <c r="AK312" s="12">
        <f>All_India_Index_Upto_April23__1___1[[#This Row],[Clothing]]+All_India_Index_Upto_April23__1___1[[#This Row],[Footwear]]</f>
        <v>303.39999999999998</v>
      </c>
      <c r="AL312" s="12">
        <f>All_India_Index_Upto_April23__1___1[[#This Row],[Miscellaneous]]+All_India_Index_Upto_April23__1___1[[#This Row],[Personal care and effects]]+All_India_Index_Upto_April23__1___1[[#This Row],[Education]]+All_India_Index_Upto_April23__1___1[[#This Row],[Recreation and amusement]]</f>
        <v>629.80000000000007</v>
      </c>
      <c r="AM31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4077.1000000000004</v>
      </c>
    </row>
    <row r="313" spans="1:39" x14ac:dyDescent="0.3">
      <c r="A313" t="s">
        <v>33</v>
      </c>
      <c r="B313">
        <v>2021</v>
      </c>
      <c r="C313" t="s">
        <v>41</v>
      </c>
      <c r="D313" t="str">
        <f t="shared" si="4"/>
        <v>Sep-21</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s="12">
        <f>AVERAGE(All_India_Index_Upto_April23__1___1[[#This Row],[Cereals and products]:[Pan, tobacco and intoxicants]])</f>
        <v>166.72142857142856</v>
      </c>
      <c r="AG313" s="12">
        <f>AVERAGE(All_India_Index_Upto_April23__1___1[[#This Row],[Household goods and services]],All_India_Index_Upto_April23__1___1[[#This Row],[Housing]])</f>
        <v>159.80000000000001</v>
      </c>
      <c r="AH313" s="12">
        <f>AVERAGE(All_India_Index_Upto_April23__1___1[[#This Row],[Miscellaneous]],All_India_Index_Upto_April23__1___1[[#This Row],[Personal care and effects]],All_India_Index_Upto_April23__1___1[[#This Row],[Education]],All_India_Index_Upto_April23__1___1[[#This Row],[Recreation and amusement]])</f>
        <v>160.35</v>
      </c>
      <c r="AI313" s="12">
        <f>SUM(All_India_Index_Upto_April23__1___1[[#This Row],[Cereals and products]:[Pan, tobacco and intoxicants]])</f>
        <v>2334.1</v>
      </c>
      <c r="AJ313" s="12">
        <f>SUM(All_India_Index_Upto_April23__1___1[[#This Row],[Household goods and services]],All_India_Index_Upto_April23__1___1[[#This Row],[Housing]])</f>
        <v>319.60000000000002</v>
      </c>
      <c r="AK313" s="12">
        <f>All_India_Index_Upto_April23__1___1[[#This Row],[Clothing]]+All_India_Index_Upto_April23__1___1[[#This Row],[Footwear]]</f>
        <v>319.89999999999998</v>
      </c>
      <c r="AL313" s="12">
        <f>All_India_Index_Upto_April23__1___1[[#This Row],[Miscellaneous]]+All_India_Index_Upto_April23__1___1[[#This Row],[Personal care and effects]]+All_India_Index_Upto_April23__1___1[[#This Row],[Education]]+All_India_Index_Upto_April23__1___1[[#This Row],[Recreation and amusement]]</f>
        <v>641.4</v>
      </c>
      <c r="AM31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4100</v>
      </c>
    </row>
    <row r="314" spans="1:39" hidden="1" x14ac:dyDescent="0.3">
      <c r="A314" t="s">
        <v>30</v>
      </c>
      <c r="B314">
        <v>2021</v>
      </c>
      <c r="C314" t="s">
        <v>42</v>
      </c>
      <c r="D314" t="str">
        <f t="shared" si="4"/>
        <v>Oct-21</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s="12">
        <f>'Handle Missing Value Sheet only'!$F$5</f>
        <v>139.27096774193564</v>
      </c>
      <c r="W314">
        <v>165.5</v>
      </c>
      <c r="X314">
        <v>162</v>
      </c>
      <c r="Y314">
        <v>172.5</v>
      </c>
      <c r="Z314">
        <v>159.5</v>
      </c>
      <c r="AA314">
        <v>163.19999999999999</v>
      </c>
      <c r="AB314">
        <v>169</v>
      </c>
      <c r="AC314">
        <v>161.1</v>
      </c>
      <c r="AD314">
        <v>164.7</v>
      </c>
      <c r="AE314">
        <v>166.3</v>
      </c>
      <c r="AF314" s="12">
        <f>AVERAGE(All_India_Index_Upto_April23__1___1[[#This Row],[Cereals and products]:[Pan, tobacco and intoxicants]])</f>
        <v>168.2428571428571</v>
      </c>
      <c r="AG314" s="12">
        <f>AVERAGE(All_India_Index_Upto_April23__1___1[[#This Row],[Household goods and services]],All_India_Index_Upto_April23__1___1[[#This Row],[Housing]])</f>
        <v>150.63548387096782</v>
      </c>
      <c r="AH314" s="12">
        <f>AVERAGE(All_India_Index_Upto_April23__1___1[[#This Row],[Miscellaneous]],All_India_Index_Upto_April23__1___1[[#This Row],[Personal care and effects]],All_India_Index_Upto_April23__1___1[[#This Row],[Education]],All_India_Index_Upto_April23__1___1[[#This Row],[Recreation and amusement]])</f>
        <v>164.5</v>
      </c>
      <c r="AI314" s="12">
        <f>SUM(All_India_Index_Upto_April23__1___1[[#This Row],[Cereals and products]:[Pan, tobacco and intoxicants]])</f>
        <v>2355.3999999999996</v>
      </c>
      <c r="AJ314" s="12">
        <f>SUM(All_India_Index_Upto_April23__1___1[[#This Row],[Household goods and services]],All_India_Index_Upto_April23__1___1[[#This Row],[Housing]])</f>
        <v>301.27096774193564</v>
      </c>
      <c r="AK314" s="12">
        <f>All_India_Index_Upto_April23__1___1[[#This Row],[Clothing]]+All_India_Index_Upto_April23__1___1[[#This Row],[Footwear]]</f>
        <v>333.70000000000005</v>
      </c>
      <c r="AL314" s="12">
        <f>All_India_Index_Upto_April23__1___1[[#This Row],[Miscellaneous]]+All_India_Index_Upto_April23__1___1[[#This Row],[Personal care and effects]]+All_India_Index_Upto_April23__1___1[[#This Row],[Education]]+All_India_Index_Upto_April23__1___1[[#This Row],[Recreation and amusement]]</f>
        <v>658</v>
      </c>
      <c r="AM31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4145.8709677419356</v>
      </c>
    </row>
    <row r="315" spans="1:39" hidden="1" x14ac:dyDescent="0.3">
      <c r="A315" t="s">
        <v>32</v>
      </c>
      <c r="B315">
        <v>2021</v>
      </c>
      <c r="C315" t="s">
        <v>42</v>
      </c>
      <c r="D315" t="str">
        <f t="shared" si="4"/>
        <v>Oct-21</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c r="AF315" s="12">
        <f>AVERAGE(All_India_Index_Upto_April23__1___1[[#This Row],[Cereals and products]:[Pan, tobacco and intoxicants]])</f>
        <v>171.10000000000005</v>
      </c>
      <c r="AG315" s="12">
        <f>AVERAGE(All_India_Index_Upto_April23__1___1[[#This Row],[Household goods and services]],All_India_Index_Upto_April23__1___1[[#This Row],[Housing]])</f>
        <v>158.94999999999999</v>
      </c>
      <c r="AH315" s="12">
        <f>AVERAGE(All_India_Index_Upto_April23__1___1[[#This Row],[Miscellaneous]],All_India_Index_Upto_April23__1___1[[#This Row],[Personal care and effects]],All_India_Index_Upto_April23__1___1[[#This Row],[Education]],All_India_Index_Upto_April23__1___1[[#This Row],[Recreation and amusement]])</f>
        <v>158.17500000000001</v>
      </c>
      <c r="AI315" s="12">
        <f>SUM(All_India_Index_Upto_April23__1___1[[#This Row],[Cereals and products]:[Pan, tobacco and intoxicants]])</f>
        <v>2395.4000000000005</v>
      </c>
      <c r="AJ315" s="12">
        <f>SUM(All_India_Index_Upto_April23__1___1[[#This Row],[Household goods and services]],All_India_Index_Upto_April23__1___1[[#This Row],[Housing]])</f>
        <v>317.89999999999998</v>
      </c>
      <c r="AK315" s="12">
        <f>All_India_Index_Upto_April23__1___1[[#This Row],[Clothing]]+All_India_Index_Upto_April23__1___1[[#This Row],[Footwear]]</f>
        <v>305.20000000000005</v>
      </c>
      <c r="AL315" s="12">
        <f>All_India_Index_Upto_April23__1___1[[#This Row],[Miscellaneous]]+All_India_Index_Upto_April23__1___1[[#This Row],[Personal care and effects]]+All_India_Index_Upto_April23__1___1[[#This Row],[Education]]+All_India_Index_Upto_April23__1___1[[#This Row],[Recreation and amusement]]</f>
        <v>632.70000000000005</v>
      </c>
      <c r="AM31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4129.1000000000004</v>
      </c>
    </row>
    <row r="316" spans="1:39" x14ac:dyDescent="0.3">
      <c r="A316" t="s">
        <v>33</v>
      </c>
      <c r="B316">
        <v>2021</v>
      </c>
      <c r="C316" t="s">
        <v>42</v>
      </c>
      <c r="D316" t="str">
        <f t="shared" si="4"/>
        <v>Oct-21</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s="12">
        <f>AVERAGE(All_India_Index_Upto_April23__1___1[[#This Row],[Cereals and products]:[Pan, tobacco and intoxicants]])</f>
        <v>169.15714285714284</v>
      </c>
      <c r="AG316" s="12">
        <f>AVERAGE(All_India_Index_Upto_April23__1___1[[#This Row],[Household goods and services]],All_India_Index_Upto_April23__1___1[[#This Row],[Housing]])</f>
        <v>161</v>
      </c>
      <c r="AH316" s="12">
        <f>AVERAGE(All_India_Index_Upto_April23__1___1[[#This Row],[Miscellaneous]],All_India_Index_Upto_April23__1___1[[#This Row],[Personal care and effects]],All_India_Index_Upto_April23__1___1[[#This Row],[Education]],All_India_Index_Upto_April23__1___1[[#This Row],[Recreation and amusement]])</f>
        <v>161.07500000000002</v>
      </c>
      <c r="AI316" s="12">
        <f>SUM(All_India_Index_Upto_April23__1___1[[#This Row],[Cereals and products]:[Pan, tobacco and intoxicants]])</f>
        <v>2368.1999999999998</v>
      </c>
      <c r="AJ316" s="12">
        <f>SUM(All_India_Index_Upto_April23__1___1[[#This Row],[Household goods and services]],All_India_Index_Upto_April23__1___1[[#This Row],[Housing]])</f>
        <v>322</v>
      </c>
      <c r="AK316" s="12">
        <f>All_India_Index_Upto_April23__1___1[[#This Row],[Clothing]]+All_India_Index_Upto_April23__1___1[[#This Row],[Footwear]]</f>
        <v>322</v>
      </c>
      <c r="AL316" s="12">
        <f>All_India_Index_Upto_April23__1___1[[#This Row],[Miscellaneous]]+All_India_Index_Upto_April23__1___1[[#This Row],[Personal care and effects]]+All_India_Index_Upto_April23__1___1[[#This Row],[Education]]+All_India_Index_Upto_April23__1___1[[#This Row],[Recreation and amusement]]</f>
        <v>644.30000000000007</v>
      </c>
      <c r="AM31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4145.5</v>
      </c>
    </row>
    <row r="317" spans="1:39" hidden="1" x14ac:dyDescent="0.3">
      <c r="A317" t="s">
        <v>30</v>
      </c>
      <c r="B317">
        <v>2021</v>
      </c>
      <c r="C317" t="s">
        <v>44</v>
      </c>
      <c r="D317" t="str">
        <f t="shared" si="4"/>
        <v>Nov-21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s="12">
        <f>'Handle Missing Value Sheet only'!$F$5</f>
        <v>139.27096774193564</v>
      </c>
      <c r="W317">
        <v>165.3</v>
      </c>
      <c r="X317">
        <v>162.9</v>
      </c>
      <c r="Y317">
        <v>173.4</v>
      </c>
      <c r="Z317">
        <v>158.9</v>
      </c>
      <c r="AA317">
        <v>163.80000000000001</v>
      </c>
      <c r="AB317">
        <v>169.3</v>
      </c>
      <c r="AC317">
        <v>162.4</v>
      </c>
      <c r="AD317">
        <v>165.2</v>
      </c>
      <c r="AE317">
        <v>167.6</v>
      </c>
      <c r="AF317" s="12">
        <f>AVERAGE(All_India_Index_Upto_April23__1___1[[#This Row],[Cereals and products]:[Pan, tobacco and intoxicants]])</f>
        <v>169.52857142857144</v>
      </c>
      <c r="AG317" s="12">
        <f>AVERAGE(All_India_Index_Upto_April23__1___1[[#This Row],[Household goods and services]],All_India_Index_Upto_April23__1___1[[#This Row],[Housing]])</f>
        <v>151.08548387096783</v>
      </c>
      <c r="AH317" s="12">
        <f>AVERAGE(All_India_Index_Upto_April23__1___1[[#This Row],[Miscellaneous]],All_India_Index_Upto_April23__1___1[[#This Row],[Personal care and effects]],All_India_Index_Upto_April23__1___1[[#This Row],[Education]],All_India_Index_Upto_April23__1___1[[#This Row],[Recreation and amusement]])</f>
        <v>165.17500000000001</v>
      </c>
      <c r="AI317" s="12">
        <f>SUM(All_India_Index_Upto_April23__1___1[[#This Row],[Cereals and products]:[Pan, tobacco and intoxicants]])</f>
        <v>2373.4</v>
      </c>
      <c r="AJ317" s="12">
        <f>SUM(All_India_Index_Upto_April23__1___1[[#This Row],[Household goods and services]],All_India_Index_Upto_April23__1___1[[#This Row],[Housing]])</f>
        <v>302.17096774193567</v>
      </c>
      <c r="AK317" s="12">
        <f>All_India_Index_Upto_April23__1___1[[#This Row],[Clothing]]+All_India_Index_Upto_April23__1___1[[#This Row],[Footwear]]</f>
        <v>336.4</v>
      </c>
      <c r="AL317" s="12">
        <f>All_India_Index_Upto_April23__1___1[[#This Row],[Miscellaneous]]+All_India_Index_Upto_April23__1___1[[#This Row],[Personal care and effects]]+All_India_Index_Upto_April23__1___1[[#This Row],[Education]]+All_India_Index_Upto_April23__1___1[[#This Row],[Recreation and amusement]]</f>
        <v>660.7</v>
      </c>
      <c r="AM31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4170.2709677419361</v>
      </c>
    </row>
    <row r="318" spans="1:39" hidden="1" x14ac:dyDescent="0.3">
      <c r="A318" t="s">
        <v>32</v>
      </c>
      <c r="B318">
        <v>2021</v>
      </c>
      <c r="C318" t="s">
        <v>44</v>
      </c>
      <c r="D318" t="str">
        <f t="shared" si="4"/>
        <v>Nov-21</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c r="AF318" s="12">
        <f>AVERAGE(All_India_Index_Upto_April23__1___1[[#This Row],[Cereals and products]:[Pan, tobacco and intoxicants]])</f>
        <v>172.4928571428571</v>
      </c>
      <c r="AG318" s="12">
        <f>AVERAGE(All_India_Index_Upto_April23__1___1[[#This Row],[Household goods and services]],All_India_Index_Upto_April23__1___1[[#This Row],[Housing]])</f>
        <v>159.69999999999999</v>
      </c>
      <c r="AH318" s="12">
        <f>AVERAGE(All_India_Index_Upto_April23__1___1[[#This Row],[Miscellaneous]],All_India_Index_Upto_April23__1___1[[#This Row],[Personal care and effects]],All_India_Index_Upto_April23__1___1[[#This Row],[Education]],All_India_Index_Upto_April23__1___1[[#This Row],[Recreation and amusement]])</f>
        <v>159.15</v>
      </c>
      <c r="AI318" s="12">
        <f>SUM(All_India_Index_Upto_April23__1___1[[#This Row],[Cereals and products]:[Pan, tobacco and intoxicants]])</f>
        <v>2414.8999999999996</v>
      </c>
      <c r="AJ318" s="12">
        <f>SUM(All_India_Index_Upto_April23__1___1[[#This Row],[Household goods and services]],All_India_Index_Upto_April23__1___1[[#This Row],[Housing]])</f>
        <v>319.39999999999998</v>
      </c>
      <c r="AK318" s="12">
        <f>All_India_Index_Upto_April23__1___1[[#This Row],[Clothing]]+All_India_Index_Upto_April23__1___1[[#This Row],[Footwear]]</f>
        <v>307.60000000000002</v>
      </c>
      <c r="AL318" s="12">
        <f>All_India_Index_Upto_April23__1___1[[#This Row],[Miscellaneous]]+All_India_Index_Upto_April23__1___1[[#This Row],[Personal care and effects]]+All_India_Index_Upto_April23__1___1[[#This Row],[Education]]+All_India_Index_Upto_April23__1___1[[#This Row],[Recreation and amusement]]</f>
        <v>636.6</v>
      </c>
      <c r="AM31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4155.4999999999991</v>
      </c>
    </row>
    <row r="319" spans="1:39" x14ac:dyDescent="0.3">
      <c r="A319" t="s">
        <v>33</v>
      </c>
      <c r="B319">
        <v>2021</v>
      </c>
      <c r="C319" t="s">
        <v>44</v>
      </c>
      <c r="D319" t="str">
        <f t="shared" si="4"/>
        <v>Nov-21</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s="12">
        <f>AVERAGE(All_India_Index_Upto_April23__1___1[[#This Row],[Cereals and products]:[Pan, tobacco and intoxicants]])</f>
        <v>170.5</v>
      </c>
      <c r="AG319" s="12">
        <f>AVERAGE(All_India_Index_Upto_April23__1___1[[#This Row],[Household goods and services]],All_India_Index_Upto_April23__1___1[[#This Row],[Housing]])</f>
        <v>161.75</v>
      </c>
      <c r="AH319" s="12">
        <f>AVERAGE(All_India_Index_Upto_April23__1___1[[#This Row],[Miscellaneous]],All_India_Index_Upto_April23__1___1[[#This Row],[Personal care and effects]],All_India_Index_Upto_April23__1___1[[#This Row],[Education]],All_India_Index_Upto_April23__1___1[[#This Row],[Recreation and amusement]])</f>
        <v>161.92500000000001</v>
      </c>
      <c r="AI319" s="12">
        <f>SUM(All_India_Index_Upto_April23__1___1[[#This Row],[Cereals and products]:[Pan, tobacco and intoxicants]])</f>
        <v>2387</v>
      </c>
      <c r="AJ319" s="12">
        <f>SUM(All_India_Index_Upto_April23__1___1[[#This Row],[Household goods and services]],All_India_Index_Upto_April23__1___1[[#This Row],[Housing]])</f>
        <v>323.5</v>
      </c>
      <c r="AK319" s="12">
        <f>All_India_Index_Upto_April23__1___1[[#This Row],[Clothing]]+All_India_Index_Upto_April23__1___1[[#This Row],[Footwear]]</f>
        <v>324.60000000000002</v>
      </c>
      <c r="AL319" s="12">
        <f>All_India_Index_Upto_April23__1___1[[#This Row],[Miscellaneous]]+All_India_Index_Upto_April23__1___1[[#This Row],[Personal care and effects]]+All_India_Index_Upto_April23__1___1[[#This Row],[Education]]+All_India_Index_Upto_April23__1___1[[#This Row],[Recreation and amusement]]</f>
        <v>647.70000000000005</v>
      </c>
      <c r="AM31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4171.4000000000005</v>
      </c>
    </row>
    <row r="320" spans="1:39" hidden="1" x14ac:dyDescent="0.3">
      <c r="A320" t="s">
        <v>30</v>
      </c>
      <c r="B320">
        <v>2021</v>
      </c>
      <c r="C320" t="s">
        <v>45</v>
      </c>
      <c r="D320" t="str">
        <f t="shared" si="4"/>
        <v>Dec-21</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s="12">
        <f>'Handle Missing Value Sheet only'!$F$5</f>
        <v>139.27096774193564</v>
      </c>
      <c r="W320">
        <v>165.6</v>
      </c>
      <c r="X320">
        <v>163.9</v>
      </c>
      <c r="Y320">
        <v>174</v>
      </c>
      <c r="Z320">
        <v>160.1</v>
      </c>
      <c r="AA320">
        <v>164.5</v>
      </c>
      <c r="AB320">
        <v>169.7</v>
      </c>
      <c r="AC320">
        <v>162.80000000000001</v>
      </c>
      <c r="AD320">
        <v>166</v>
      </c>
      <c r="AE320">
        <v>167</v>
      </c>
      <c r="AF320" s="12">
        <f>AVERAGE(All_India_Index_Upto_April23__1___1[[#This Row],[Cereals and products]:[Pan, tobacco and intoxicants]])</f>
        <v>168.5</v>
      </c>
      <c r="AG320" s="12">
        <f>AVERAGE(All_India_Index_Upto_April23__1___1[[#This Row],[Household goods and services]],All_India_Index_Upto_April23__1___1[[#This Row],[Housing]])</f>
        <v>151.58548387096783</v>
      </c>
      <c r="AH320" s="12">
        <f>AVERAGE(All_India_Index_Upto_April23__1___1[[#This Row],[Miscellaneous]],All_India_Index_Upto_April23__1___1[[#This Row],[Personal care and effects]],All_India_Index_Upto_April23__1___1[[#This Row],[Education]],All_India_Index_Upto_April23__1___1[[#This Row],[Recreation and amusement]])</f>
        <v>165.75</v>
      </c>
      <c r="AI320" s="12">
        <f>SUM(All_India_Index_Upto_April23__1___1[[#This Row],[Cereals and products]:[Pan, tobacco and intoxicants]])</f>
        <v>2359</v>
      </c>
      <c r="AJ320" s="12">
        <f>SUM(All_India_Index_Upto_April23__1___1[[#This Row],[Household goods and services]],All_India_Index_Upto_April23__1___1[[#This Row],[Housing]])</f>
        <v>303.17096774193567</v>
      </c>
      <c r="AK320" s="12">
        <f>All_India_Index_Upto_April23__1___1[[#This Row],[Clothing]]+All_India_Index_Upto_April23__1___1[[#This Row],[Footwear]]</f>
        <v>339.1</v>
      </c>
      <c r="AL320" s="12">
        <f>All_India_Index_Upto_April23__1___1[[#This Row],[Miscellaneous]]+All_India_Index_Upto_April23__1___1[[#This Row],[Personal care and effects]]+All_India_Index_Upto_April23__1___1[[#This Row],[Education]]+All_India_Index_Upto_April23__1___1[[#This Row],[Recreation and amusement]]</f>
        <v>663</v>
      </c>
      <c r="AM32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4163.970967741936</v>
      </c>
    </row>
    <row r="321" spans="1:39" hidden="1" x14ac:dyDescent="0.3">
      <c r="A321" t="s">
        <v>32</v>
      </c>
      <c r="B321">
        <v>2021</v>
      </c>
      <c r="C321" t="s">
        <v>45</v>
      </c>
      <c r="D321" t="str">
        <f t="shared" si="4"/>
        <v>Dec-21</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c r="AF321" s="12">
        <f>AVERAGE(All_India_Index_Upto_April23__1___1[[#This Row],[Cereals and products]:[Pan, tobacco and intoxicants]])</f>
        <v>171.65000000000003</v>
      </c>
      <c r="AG321" s="12">
        <f>AVERAGE(All_India_Index_Upto_April23__1___1[[#This Row],[Household goods and services]],All_India_Index_Upto_April23__1___1[[#This Row],[Housing]])</f>
        <v>159.69999999999999</v>
      </c>
      <c r="AH321" s="12">
        <f>AVERAGE(All_India_Index_Upto_April23__1___1[[#This Row],[Miscellaneous]],All_India_Index_Upto_April23__1___1[[#This Row],[Personal care and effects]],All_India_Index_Upto_April23__1___1[[#This Row],[Education]],All_India_Index_Upto_April23__1___1[[#This Row],[Recreation and amusement]])</f>
        <v>159.60000000000002</v>
      </c>
      <c r="AI321" s="12">
        <f>SUM(All_India_Index_Upto_April23__1___1[[#This Row],[Cereals and products]:[Pan, tobacco and intoxicants]])</f>
        <v>2403.1000000000004</v>
      </c>
      <c r="AJ321" s="12">
        <f>SUM(All_India_Index_Upto_April23__1___1[[#This Row],[Household goods and services]],All_India_Index_Upto_April23__1___1[[#This Row],[Housing]])</f>
        <v>319.39999999999998</v>
      </c>
      <c r="AK321" s="12">
        <f>All_India_Index_Upto_April23__1___1[[#This Row],[Clothing]]+All_India_Index_Upto_April23__1___1[[#This Row],[Footwear]]</f>
        <v>310</v>
      </c>
      <c r="AL321" s="12">
        <f>All_India_Index_Upto_April23__1___1[[#This Row],[Miscellaneous]]+All_India_Index_Upto_April23__1___1[[#This Row],[Personal care and effects]]+All_India_Index_Upto_April23__1___1[[#This Row],[Education]]+All_India_Index_Upto_April23__1___1[[#This Row],[Recreation and amusement]]</f>
        <v>638.40000000000009</v>
      </c>
      <c r="AM32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4149.5000000000009</v>
      </c>
    </row>
    <row r="322" spans="1:39" x14ac:dyDescent="0.3">
      <c r="A322" t="s">
        <v>33</v>
      </c>
      <c r="B322">
        <v>2021</v>
      </c>
      <c r="C322" t="s">
        <v>45</v>
      </c>
      <c r="D322" t="str">
        <f t="shared" ref="D322:D373" si="5">TEXT(DATE(B322, MONTH(1&amp;C322), 1), "mmm-yy")</f>
        <v>Dec-21</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s="12">
        <f>AVERAGE(All_India_Index_Upto_April23__1___1[[#This Row],[Cereals and products]:[Pan, tobacco and intoxicants]])</f>
        <v>169.52142857142857</v>
      </c>
      <c r="AG322" s="12">
        <f>AVERAGE(All_India_Index_Upto_April23__1___1[[#This Row],[Household goods and services]],All_India_Index_Upto_April23__1___1[[#This Row],[Housing]])</f>
        <v>161.80000000000001</v>
      </c>
      <c r="AH322" s="12">
        <f>AVERAGE(All_India_Index_Upto_April23__1___1[[#This Row],[Miscellaneous]],All_India_Index_Upto_April23__1___1[[#This Row],[Personal care and effects]],All_India_Index_Upto_April23__1___1[[#This Row],[Education]],All_India_Index_Upto_April23__1___1[[#This Row],[Recreation and amusement]])</f>
        <v>162.4</v>
      </c>
      <c r="AI322" s="12">
        <f>SUM(All_India_Index_Upto_April23__1___1[[#This Row],[Cereals and products]:[Pan, tobacco and intoxicants]])</f>
        <v>2373.3000000000002</v>
      </c>
      <c r="AJ322" s="12">
        <f>SUM(All_India_Index_Upto_April23__1___1[[#This Row],[Household goods and services]],All_India_Index_Upto_April23__1___1[[#This Row],[Housing]])</f>
        <v>323.60000000000002</v>
      </c>
      <c r="AK322" s="12">
        <f>All_India_Index_Upto_April23__1___1[[#This Row],[Clothing]]+All_India_Index_Upto_April23__1___1[[#This Row],[Footwear]]</f>
        <v>327.2</v>
      </c>
      <c r="AL322" s="12">
        <f>All_India_Index_Upto_April23__1___1[[#This Row],[Miscellaneous]]+All_India_Index_Upto_April23__1___1[[#This Row],[Personal care and effects]]+All_India_Index_Upto_April23__1___1[[#This Row],[Education]]+All_India_Index_Upto_April23__1___1[[#This Row],[Recreation and amusement]]</f>
        <v>649.6</v>
      </c>
      <c r="AM32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4164.1000000000004</v>
      </c>
    </row>
    <row r="323" spans="1:39" hidden="1" x14ac:dyDescent="0.3">
      <c r="A323" t="s">
        <v>30</v>
      </c>
      <c r="B323">
        <v>2022</v>
      </c>
      <c r="C323" t="s">
        <v>31</v>
      </c>
      <c r="D323" t="str">
        <f t="shared" si="5"/>
        <v>Jan-22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s="12">
        <f>'Handle Missing Value Sheet only'!$F$5</f>
        <v>139.27096774193564</v>
      </c>
      <c r="W323">
        <v>165.8</v>
      </c>
      <c r="X323">
        <v>164.9</v>
      </c>
      <c r="Y323">
        <v>174.7</v>
      </c>
      <c r="Z323">
        <v>160.80000000000001</v>
      </c>
      <c r="AA323">
        <v>164.9</v>
      </c>
      <c r="AB323">
        <v>169.9</v>
      </c>
      <c r="AC323">
        <v>163.19999999999999</v>
      </c>
      <c r="AD323">
        <v>166.6</v>
      </c>
      <c r="AE323">
        <v>166.4</v>
      </c>
      <c r="AF323" s="12">
        <f>AVERAGE(All_India_Index_Upto_April23__1___1[[#This Row],[Cereals and products]:[Pan, tobacco and intoxicants]])</f>
        <v>167.40714285714284</v>
      </c>
      <c r="AG323" s="12">
        <f>AVERAGE(All_India_Index_Upto_April23__1___1[[#This Row],[Household goods and services]],All_India_Index_Upto_April23__1___1[[#This Row],[Housing]])</f>
        <v>152.08548387096783</v>
      </c>
      <c r="AH323" s="12">
        <f>AVERAGE(All_India_Index_Upto_April23__1___1[[#This Row],[Miscellaneous]],All_India_Index_Upto_April23__1___1[[#This Row],[Personal care and effects]],All_India_Index_Upto_April23__1___1[[#This Row],[Education]],All_India_Index_Upto_April23__1___1[[#This Row],[Recreation and amusement]])</f>
        <v>166.14999999999998</v>
      </c>
      <c r="AI323" s="12">
        <f>SUM(All_India_Index_Upto_April23__1___1[[#This Row],[Cereals and products]:[Pan, tobacco and intoxicants]])</f>
        <v>2343.6999999999998</v>
      </c>
      <c r="AJ323" s="12">
        <f>SUM(All_India_Index_Upto_April23__1___1[[#This Row],[Household goods and services]],All_India_Index_Upto_April23__1___1[[#This Row],[Housing]])</f>
        <v>304.17096774193567</v>
      </c>
      <c r="AK323" s="12">
        <f>All_India_Index_Upto_April23__1___1[[#This Row],[Clothing]]+All_India_Index_Upto_April23__1___1[[#This Row],[Footwear]]</f>
        <v>342.5</v>
      </c>
      <c r="AL323" s="12">
        <f>All_India_Index_Upto_April23__1___1[[#This Row],[Miscellaneous]]+All_India_Index_Upto_April23__1___1[[#This Row],[Personal care and effects]]+All_India_Index_Upto_April23__1___1[[#This Row],[Education]]+All_India_Index_Upto_April23__1___1[[#This Row],[Recreation and amusement]]</f>
        <v>664.59999999999991</v>
      </c>
      <c r="AM32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4156.2709677419352</v>
      </c>
    </row>
    <row r="324" spans="1:39" hidden="1" x14ac:dyDescent="0.3">
      <c r="A324" t="s">
        <v>32</v>
      </c>
      <c r="B324">
        <v>2022</v>
      </c>
      <c r="C324" t="s">
        <v>31</v>
      </c>
      <c r="D324" t="str">
        <f t="shared" si="5"/>
        <v>Jan-22</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c r="AF324" s="12">
        <f>AVERAGE(All_India_Index_Upto_April23__1___1[[#This Row],[Cereals and products]:[Pan, tobacco and intoxicants]])</f>
        <v>170.22142857142856</v>
      </c>
      <c r="AG324" s="12">
        <f>AVERAGE(All_India_Index_Upto_April23__1___1[[#This Row],[Household goods and services]],All_India_Index_Upto_April23__1___1[[#This Row],[Housing]])</f>
        <v>160.65</v>
      </c>
      <c r="AH324" s="12">
        <f>AVERAGE(All_India_Index_Upto_April23__1___1[[#This Row],[Miscellaneous]],All_India_Index_Upto_April23__1___1[[#This Row],[Personal care and effects]],All_India_Index_Upto_April23__1___1[[#This Row],[Education]],All_India_Index_Upto_April23__1___1[[#This Row],[Recreation and amusement]])</f>
        <v>160.19999999999999</v>
      </c>
      <c r="AI324" s="12">
        <f>SUM(All_India_Index_Upto_April23__1___1[[#This Row],[Cereals and products]:[Pan, tobacco and intoxicants]])</f>
        <v>2383.1</v>
      </c>
      <c r="AJ324" s="12">
        <f>SUM(All_India_Index_Upto_April23__1___1[[#This Row],[Household goods and services]],All_India_Index_Upto_April23__1___1[[#This Row],[Housing]])</f>
        <v>321.3</v>
      </c>
      <c r="AK324" s="12">
        <f>All_India_Index_Upto_April23__1___1[[#This Row],[Clothing]]+All_India_Index_Upto_April23__1___1[[#This Row],[Footwear]]</f>
        <v>313.2</v>
      </c>
      <c r="AL324" s="12">
        <f>All_India_Index_Upto_April23__1___1[[#This Row],[Miscellaneous]]+All_India_Index_Upto_April23__1___1[[#This Row],[Personal care and effects]]+All_India_Index_Upto_April23__1___1[[#This Row],[Education]]+All_India_Index_Upto_April23__1___1[[#This Row],[Recreation and amusement]]</f>
        <v>640.79999999999995</v>
      </c>
      <c r="AM32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4138.7999999999993</v>
      </c>
    </row>
    <row r="325" spans="1:39" x14ac:dyDescent="0.3">
      <c r="A325" t="s">
        <v>33</v>
      </c>
      <c r="B325">
        <v>2022</v>
      </c>
      <c r="C325" t="s">
        <v>31</v>
      </c>
      <c r="D325" t="str">
        <f t="shared" si="5"/>
        <v>Jan-22</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s="12">
        <f>AVERAGE(All_India_Index_Upto_April23__1___1[[#This Row],[Cereals and products]:[Pan, tobacco and intoxicants]])</f>
        <v>168.31428571428569</v>
      </c>
      <c r="AG325" s="12">
        <f>AVERAGE(All_India_Index_Upto_April23__1___1[[#This Row],[Household goods and services]],All_India_Index_Upto_April23__1___1[[#This Row],[Housing]])</f>
        <v>162.80000000000001</v>
      </c>
      <c r="AH325" s="12">
        <f>AVERAGE(All_India_Index_Upto_April23__1___1[[#This Row],[Miscellaneous]],All_India_Index_Upto_April23__1___1[[#This Row],[Personal care and effects]],All_India_Index_Upto_April23__1___1[[#This Row],[Education]],All_India_Index_Upto_April23__1___1[[#This Row],[Recreation and amusement]])</f>
        <v>162.89999999999998</v>
      </c>
      <c r="AI325" s="12">
        <f>SUM(All_India_Index_Upto_April23__1___1[[#This Row],[Cereals and products]:[Pan, tobacco and intoxicants]])</f>
        <v>2356.3999999999996</v>
      </c>
      <c r="AJ325" s="12">
        <f>SUM(All_India_Index_Upto_April23__1___1[[#This Row],[Household goods and services]],All_India_Index_Upto_April23__1___1[[#This Row],[Housing]])</f>
        <v>325.60000000000002</v>
      </c>
      <c r="AK325" s="12">
        <f>All_India_Index_Upto_April23__1___1[[#This Row],[Clothing]]+All_India_Index_Upto_April23__1___1[[#This Row],[Footwear]]</f>
        <v>330.6</v>
      </c>
      <c r="AL325" s="12">
        <f>All_India_Index_Upto_April23__1___1[[#This Row],[Miscellaneous]]+All_India_Index_Upto_April23__1___1[[#This Row],[Personal care and effects]]+All_India_Index_Upto_April23__1___1[[#This Row],[Education]]+All_India_Index_Upto_April23__1___1[[#This Row],[Recreation and amusement]]</f>
        <v>651.59999999999991</v>
      </c>
      <c r="AM32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4156.3</v>
      </c>
    </row>
    <row r="326" spans="1:39" hidden="1" x14ac:dyDescent="0.3">
      <c r="A326" t="s">
        <v>30</v>
      </c>
      <c r="B326">
        <v>2022</v>
      </c>
      <c r="C326" t="s">
        <v>34</v>
      </c>
      <c r="D326" t="str">
        <f t="shared" si="5"/>
        <v>Feb-22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s="12">
        <f>'Handle Missing Value Sheet only'!$F$5</f>
        <v>139.27096774193564</v>
      </c>
      <c r="W326">
        <v>167.4</v>
      </c>
      <c r="X326">
        <v>165.7</v>
      </c>
      <c r="Y326">
        <v>175.3</v>
      </c>
      <c r="Z326">
        <v>161.19999999999999</v>
      </c>
      <c r="AA326">
        <v>165.5</v>
      </c>
      <c r="AB326">
        <v>170.3</v>
      </c>
      <c r="AC326">
        <v>164.5</v>
      </c>
      <c r="AD326">
        <v>167.3</v>
      </c>
      <c r="AE326">
        <v>166.7</v>
      </c>
      <c r="AF326" s="12">
        <f>AVERAGE(All_India_Index_Upto_April23__1___1[[#This Row],[Cereals and products]:[Pan, tobacco and intoxicants]])</f>
        <v>167.27857142857144</v>
      </c>
      <c r="AG326" s="12">
        <f>AVERAGE(All_India_Index_Upto_April23__1___1[[#This Row],[Household goods and services]],All_India_Index_Upto_April23__1___1[[#This Row],[Housing]])</f>
        <v>152.48548387096781</v>
      </c>
      <c r="AH326" s="12">
        <f>AVERAGE(All_India_Index_Upto_April23__1___1[[#This Row],[Miscellaneous]],All_India_Index_Upto_April23__1___1[[#This Row],[Personal care and effects]],All_India_Index_Upto_April23__1___1[[#This Row],[Education]],All_India_Index_Upto_April23__1___1[[#This Row],[Recreation and amusement]])</f>
        <v>166.9</v>
      </c>
      <c r="AI326" s="12">
        <f>SUM(All_India_Index_Upto_April23__1___1[[#This Row],[Cereals and products]:[Pan, tobacco and intoxicants]])</f>
        <v>2341.9</v>
      </c>
      <c r="AJ326" s="12">
        <f>SUM(All_India_Index_Upto_April23__1___1[[#This Row],[Household goods and services]],All_India_Index_Upto_April23__1___1[[#This Row],[Housing]])</f>
        <v>304.97096774193562</v>
      </c>
      <c r="AK326" s="12">
        <f>All_India_Index_Upto_April23__1___1[[#This Row],[Clothing]]+All_India_Index_Upto_April23__1___1[[#This Row],[Footwear]]</f>
        <v>345.1</v>
      </c>
      <c r="AL326" s="12">
        <f>All_India_Index_Upto_April23__1___1[[#This Row],[Miscellaneous]]+All_India_Index_Upto_April23__1___1[[#This Row],[Personal care and effects]]+All_India_Index_Upto_April23__1___1[[#This Row],[Education]]+All_India_Index_Upto_April23__1___1[[#This Row],[Recreation and amusement]]</f>
        <v>667.6</v>
      </c>
      <c r="AM32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4163.470967741936</v>
      </c>
    </row>
    <row r="327" spans="1:39" hidden="1" x14ac:dyDescent="0.3">
      <c r="A327" t="s">
        <v>32</v>
      </c>
      <c r="B327">
        <v>2022</v>
      </c>
      <c r="C327" t="s">
        <v>34</v>
      </c>
      <c r="D327" t="str">
        <f t="shared" si="5"/>
        <v>Feb-22</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c r="AF327" s="12">
        <f>AVERAGE(All_India_Index_Upto_April23__1___1[[#This Row],[Cereals and products]:[Pan, tobacco and intoxicants]])</f>
        <v>170</v>
      </c>
      <c r="AG327" s="12">
        <f>AVERAGE(All_India_Index_Upto_April23__1___1[[#This Row],[Household goods and services]],All_India_Index_Upto_April23__1___1[[#This Row],[Housing]])</f>
        <v>161.44999999999999</v>
      </c>
      <c r="AH327" s="12">
        <f>AVERAGE(All_India_Index_Upto_April23__1___1[[#This Row],[Miscellaneous]],All_India_Index_Upto_April23__1___1[[#This Row],[Personal care and effects]],All_India_Index_Upto_April23__1___1[[#This Row],[Education]],All_India_Index_Upto_April23__1___1[[#This Row],[Recreation and amusement]])</f>
        <v>161.27500000000001</v>
      </c>
      <c r="AI327" s="12">
        <f>SUM(All_India_Index_Upto_April23__1___1[[#This Row],[Cereals and products]:[Pan, tobacco and intoxicants]])</f>
        <v>2380</v>
      </c>
      <c r="AJ327" s="12">
        <f>SUM(All_India_Index_Upto_April23__1___1[[#This Row],[Household goods and services]],All_India_Index_Upto_April23__1___1[[#This Row],[Housing]])</f>
        <v>322.89999999999998</v>
      </c>
      <c r="AK327" s="12">
        <f>All_India_Index_Upto_April23__1___1[[#This Row],[Clothing]]+All_India_Index_Upto_April23__1___1[[#This Row],[Footwear]]</f>
        <v>316.10000000000002</v>
      </c>
      <c r="AL327" s="12">
        <f>All_India_Index_Upto_April23__1___1[[#This Row],[Miscellaneous]]+All_India_Index_Upto_April23__1___1[[#This Row],[Personal care and effects]]+All_India_Index_Upto_April23__1___1[[#This Row],[Education]]+All_India_Index_Upto_April23__1___1[[#This Row],[Recreation and amusement]]</f>
        <v>645.1</v>
      </c>
      <c r="AM32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4147.3999999999996</v>
      </c>
    </row>
    <row r="328" spans="1:39" x14ac:dyDescent="0.3">
      <c r="A328" t="s">
        <v>33</v>
      </c>
      <c r="B328">
        <v>2022</v>
      </c>
      <c r="C328" t="s">
        <v>34</v>
      </c>
      <c r="D328" t="str">
        <f t="shared" si="5"/>
        <v>Feb-22</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s="12">
        <f>AVERAGE(All_India_Index_Upto_April23__1___1[[#This Row],[Cereals and products]:[Pan, tobacco and intoxicants]])</f>
        <v>168.14285714285717</v>
      </c>
      <c r="AG328" s="12">
        <f>AVERAGE(All_India_Index_Upto_April23__1___1[[#This Row],[Household goods and services]],All_India_Index_Upto_April23__1___1[[#This Row],[Housing]])</f>
        <v>163.65</v>
      </c>
      <c r="AH328" s="12">
        <f>AVERAGE(All_India_Index_Upto_April23__1___1[[#This Row],[Miscellaneous]],All_India_Index_Upto_April23__1___1[[#This Row],[Personal care and effects]],All_India_Index_Upto_April23__1___1[[#This Row],[Education]],All_India_Index_Upto_April23__1___1[[#This Row],[Recreation and amusement]])</f>
        <v>163.85</v>
      </c>
      <c r="AI328" s="12">
        <f>SUM(All_India_Index_Upto_April23__1___1[[#This Row],[Cereals and products]:[Pan, tobacco and intoxicants]])</f>
        <v>2354.0000000000005</v>
      </c>
      <c r="AJ328" s="12">
        <f>SUM(All_India_Index_Upto_April23__1___1[[#This Row],[Household goods and services]],All_India_Index_Upto_April23__1___1[[#This Row],[Housing]])</f>
        <v>327.3</v>
      </c>
      <c r="AK328" s="12">
        <f>All_India_Index_Upto_April23__1___1[[#This Row],[Clothing]]+All_India_Index_Upto_April23__1___1[[#This Row],[Footwear]]</f>
        <v>333.20000000000005</v>
      </c>
      <c r="AL328" s="12">
        <f>All_India_Index_Upto_April23__1___1[[#This Row],[Miscellaneous]]+All_India_Index_Upto_April23__1___1[[#This Row],[Personal care and effects]]+All_India_Index_Upto_April23__1___1[[#This Row],[Education]]+All_India_Index_Upto_April23__1___1[[#This Row],[Recreation and amusement]]</f>
        <v>655.4</v>
      </c>
      <c r="AM32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4164.7000000000007</v>
      </c>
    </row>
    <row r="329" spans="1:39" hidden="1" x14ac:dyDescent="0.3">
      <c r="A329" t="s">
        <v>30</v>
      </c>
      <c r="B329">
        <v>2022</v>
      </c>
      <c r="C329" t="s">
        <v>35</v>
      </c>
      <c r="D329" t="str">
        <f t="shared" si="5"/>
        <v>Mar-22</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s="12">
        <f>'Handle Missing Value Sheet only'!$F$5</f>
        <v>139.27096774193564</v>
      </c>
      <c r="W329">
        <v>168.9</v>
      </c>
      <c r="X329">
        <v>166.5</v>
      </c>
      <c r="Y329">
        <v>176</v>
      </c>
      <c r="Z329">
        <v>162</v>
      </c>
      <c r="AA329">
        <v>166.6</v>
      </c>
      <c r="AB329">
        <v>170.6</v>
      </c>
      <c r="AC329">
        <v>167.4</v>
      </c>
      <c r="AD329">
        <v>168.3</v>
      </c>
      <c r="AE329">
        <v>168.7</v>
      </c>
      <c r="AF329" s="12">
        <f>AVERAGE(All_India_Index_Upto_April23__1___1[[#This Row],[Cereals and products]:[Pan, tobacco and intoxicants]])</f>
        <v>169.38571428571433</v>
      </c>
      <c r="AG329" s="12">
        <f>AVERAGE(All_India_Index_Upto_April23__1___1[[#This Row],[Household goods and services]],All_India_Index_Upto_April23__1___1[[#This Row],[Housing]])</f>
        <v>152.88548387096782</v>
      </c>
      <c r="AH329" s="12">
        <f>AVERAGE(All_India_Index_Upto_April23__1___1[[#This Row],[Miscellaneous]],All_India_Index_Upto_April23__1___1[[#This Row],[Personal care and effects]],All_India_Index_Upto_April23__1___1[[#This Row],[Education]],All_India_Index_Upto_April23__1___1[[#This Row],[Recreation and amusement]])</f>
        <v>168.22500000000002</v>
      </c>
      <c r="AI329" s="12">
        <f>SUM(All_India_Index_Upto_April23__1___1[[#This Row],[Cereals and products]:[Pan, tobacco and intoxicants]])</f>
        <v>2371.4000000000005</v>
      </c>
      <c r="AJ329" s="12">
        <f>SUM(All_India_Index_Upto_April23__1___1[[#This Row],[Household goods and services]],All_India_Index_Upto_April23__1___1[[#This Row],[Housing]])</f>
        <v>305.77096774193564</v>
      </c>
      <c r="AK329" s="12">
        <f>All_India_Index_Upto_April23__1___1[[#This Row],[Clothing]]+All_India_Index_Upto_April23__1___1[[#This Row],[Footwear]]</f>
        <v>348.6</v>
      </c>
      <c r="AL329" s="12">
        <f>All_India_Index_Upto_April23__1___1[[#This Row],[Miscellaneous]]+All_India_Index_Upto_April23__1___1[[#This Row],[Personal care and effects]]+All_India_Index_Upto_April23__1___1[[#This Row],[Education]]+All_India_Index_Upto_April23__1___1[[#This Row],[Recreation and amusement]]</f>
        <v>672.90000000000009</v>
      </c>
      <c r="AM32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4205.5709677419363</v>
      </c>
    </row>
    <row r="330" spans="1:39" hidden="1" x14ac:dyDescent="0.3">
      <c r="A330" t="s">
        <v>32</v>
      </c>
      <c r="B330">
        <v>2022</v>
      </c>
      <c r="C330" t="s">
        <v>35</v>
      </c>
      <c r="D330" t="str">
        <f t="shared" si="5"/>
        <v>Mar-22</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c r="AF330" s="12">
        <f>AVERAGE(All_India_Index_Upto_April23__1___1[[#This Row],[Cereals and products]:[Pan, tobacco and intoxicants]])</f>
        <v>170.98571428571429</v>
      </c>
      <c r="AG330" s="12">
        <f>AVERAGE(All_India_Index_Upto_April23__1___1[[#This Row],[Household goods and services]],All_India_Index_Upto_April23__1___1[[#This Row],[Housing]])</f>
        <v>161.94999999999999</v>
      </c>
      <c r="AH330" s="12">
        <f>AVERAGE(All_India_Index_Upto_April23__1___1[[#This Row],[Miscellaneous]],All_India_Index_Upto_April23__1___1[[#This Row],[Personal care and effects]],All_India_Index_Upto_April23__1___1[[#This Row],[Education]],All_India_Index_Upto_April23__1___1[[#This Row],[Recreation and amusement]])</f>
        <v>162.72499999999999</v>
      </c>
      <c r="AI330" s="12">
        <f>SUM(All_India_Index_Upto_April23__1___1[[#This Row],[Cereals and products]:[Pan, tobacco and intoxicants]])</f>
        <v>2393.8000000000002</v>
      </c>
      <c r="AJ330" s="12">
        <f>SUM(All_India_Index_Upto_April23__1___1[[#This Row],[Household goods and services]],All_India_Index_Upto_April23__1___1[[#This Row],[Housing]])</f>
        <v>323.89999999999998</v>
      </c>
      <c r="AK330" s="12">
        <f>All_India_Index_Upto_April23__1___1[[#This Row],[Clothing]]+All_India_Index_Upto_April23__1___1[[#This Row],[Footwear]]</f>
        <v>319.7</v>
      </c>
      <c r="AL330" s="12">
        <f>All_India_Index_Upto_April23__1___1[[#This Row],[Miscellaneous]]+All_India_Index_Upto_April23__1___1[[#This Row],[Personal care and effects]]+All_India_Index_Upto_April23__1___1[[#This Row],[Education]]+All_India_Index_Upto_April23__1___1[[#This Row],[Recreation and amusement]]</f>
        <v>650.9</v>
      </c>
      <c r="AM33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4175.2</v>
      </c>
    </row>
    <row r="331" spans="1:39" x14ac:dyDescent="0.3">
      <c r="A331" t="s">
        <v>33</v>
      </c>
      <c r="B331">
        <v>2022</v>
      </c>
      <c r="C331" t="s">
        <v>35</v>
      </c>
      <c r="D331" t="str">
        <f t="shared" si="5"/>
        <v>Mar-22</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s="12">
        <f>AVERAGE(All_India_Index_Upto_April23__1___1[[#This Row],[Cereals and products]:[Pan, tobacco and intoxicants]])</f>
        <v>169.85</v>
      </c>
      <c r="AG331" s="12">
        <f>AVERAGE(All_India_Index_Upto_April23__1___1[[#This Row],[Household goods and services]],All_India_Index_Upto_April23__1___1[[#This Row],[Housing]])</f>
        <v>164.05</v>
      </c>
      <c r="AH331" s="12">
        <f>AVERAGE(All_India_Index_Upto_April23__1___1[[#This Row],[Miscellaneous]],All_India_Index_Upto_April23__1___1[[#This Row],[Personal care and effects]],All_India_Index_Upto_April23__1___1[[#This Row],[Education]],All_India_Index_Upto_April23__1___1[[#This Row],[Recreation and amusement]])</f>
        <v>165.27499999999998</v>
      </c>
      <c r="AI331" s="12">
        <f>SUM(All_India_Index_Upto_April23__1___1[[#This Row],[Cereals and products]:[Pan, tobacco and intoxicants]])</f>
        <v>2377.9</v>
      </c>
      <c r="AJ331" s="12">
        <f>SUM(All_India_Index_Upto_April23__1___1[[#This Row],[Household goods and services]],All_India_Index_Upto_April23__1___1[[#This Row],[Housing]])</f>
        <v>328.1</v>
      </c>
      <c r="AK331" s="12">
        <f>All_India_Index_Upto_April23__1___1[[#This Row],[Clothing]]+All_India_Index_Upto_April23__1___1[[#This Row],[Footwear]]</f>
        <v>336.7</v>
      </c>
      <c r="AL331" s="12">
        <f>All_India_Index_Upto_April23__1___1[[#This Row],[Miscellaneous]]+All_India_Index_Upto_April23__1___1[[#This Row],[Personal care and effects]]+All_India_Index_Upto_April23__1___1[[#This Row],[Education]]+All_India_Index_Upto_April23__1___1[[#This Row],[Recreation and amusement]]</f>
        <v>661.09999999999991</v>
      </c>
      <c r="AM33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4201.9000000000005</v>
      </c>
    </row>
    <row r="332" spans="1:39" hidden="1" x14ac:dyDescent="0.3">
      <c r="A332" t="s">
        <v>30</v>
      </c>
      <c r="B332">
        <v>2022</v>
      </c>
      <c r="C332" t="s">
        <v>36</v>
      </c>
      <c r="D332" t="str">
        <f t="shared" si="5"/>
        <v>Apr-22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s="12">
        <f>'Handle Missing Value Sheet only'!$F$5</f>
        <v>139.27096774193564</v>
      </c>
      <c r="W332">
        <v>173.3</v>
      </c>
      <c r="X332">
        <v>167.7</v>
      </c>
      <c r="Y332">
        <v>177</v>
      </c>
      <c r="Z332">
        <v>166.2</v>
      </c>
      <c r="AA332">
        <v>167.2</v>
      </c>
      <c r="AB332">
        <v>170.9</v>
      </c>
      <c r="AC332">
        <v>169</v>
      </c>
      <c r="AD332">
        <v>170.2</v>
      </c>
      <c r="AE332">
        <v>170.8</v>
      </c>
      <c r="AF332" s="12">
        <f>AVERAGE(All_India_Index_Upto_April23__1___1[[#This Row],[Cereals and products]:[Pan, tobacco and intoxicants]])</f>
        <v>171.3857142857143</v>
      </c>
      <c r="AG332" s="12">
        <f>AVERAGE(All_India_Index_Upto_April23__1___1[[#This Row],[Household goods and services]],All_India_Index_Upto_April23__1___1[[#This Row],[Housing]])</f>
        <v>153.48548387096781</v>
      </c>
      <c r="AH332" s="12">
        <f>AVERAGE(All_India_Index_Upto_April23__1___1[[#This Row],[Miscellaneous]],All_India_Index_Upto_April23__1___1[[#This Row],[Personal care and effects]],All_India_Index_Upto_April23__1___1[[#This Row],[Education]],All_India_Index_Upto_April23__1___1[[#This Row],[Recreation and amusement]])</f>
        <v>169.32499999999999</v>
      </c>
      <c r="AI332" s="12">
        <f>SUM(All_India_Index_Upto_April23__1___1[[#This Row],[Cereals and products]:[Pan, tobacco and intoxicants]])</f>
        <v>2399.4</v>
      </c>
      <c r="AJ332" s="12">
        <f>SUM(All_India_Index_Upto_April23__1___1[[#This Row],[Household goods and services]],All_India_Index_Upto_April23__1___1[[#This Row],[Housing]])</f>
        <v>306.97096774193562</v>
      </c>
      <c r="AK332" s="12">
        <f>All_India_Index_Upto_April23__1___1[[#This Row],[Clothing]]+All_India_Index_Upto_April23__1___1[[#This Row],[Footwear]]</f>
        <v>352.6</v>
      </c>
      <c r="AL332" s="12">
        <f>All_India_Index_Upto_April23__1___1[[#This Row],[Miscellaneous]]+All_India_Index_Upto_April23__1___1[[#This Row],[Personal care and effects]]+All_India_Index_Upto_April23__1___1[[#This Row],[Education]]+All_India_Index_Upto_April23__1___1[[#This Row],[Recreation and amusement]]</f>
        <v>677.3</v>
      </c>
      <c r="AM33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4252.7709677419352</v>
      </c>
    </row>
    <row r="333" spans="1:39" hidden="1" x14ac:dyDescent="0.3">
      <c r="A333" t="s">
        <v>32</v>
      </c>
      <c r="B333">
        <v>2022</v>
      </c>
      <c r="C333" t="s">
        <v>36</v>
      </c>
      <c r="D333" t="str">
        <f t="shared" si="5"/>
        <v>Apr-22</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c r="AF333" s="12">
        <f>AVERAGE(All_India_Index_Upto_April23__1___1[[#This Row],[Cereals and products]:[Pan, tobacco and intoxicants]])</f>
        <v>173.39285714285714</v>
      </c>
      <c r="AG333" s="12">
        <f>AVERAGE(All_India_Index_Upto_April23__1___1[[#This Row],[Household goods and services]],All_India_Index_Upto_April23__1___1[[#This Row],[Housing]])</f>
        <v>163.4</v>
      </c>
      <c r="AH333" s="12">
        <f>AVERAGE(All_India_Index_Upto_April23__1___1[[#This Row],[Miscellaneous]],All_India_Index_Upto_April23__1___1[[#This Row],[Personal care and effects]],All_India_Index_Upto_April23__1___1[[#This Row],[Education]],All_India_Index_Upto_April23__1___1[[#This Row],[Recreation and amusement]])</f>
        <v>164.42500000000001</v>
      </c>
      <c r="AI333" s="12">
        <f>SUM(All_India_Index_Upto_April23__1___1[[#This Row],[Cereals and products]:[Pan, tobacco and intoxicants]])</f>
        <v>2427.5</v>
      </c>
      <c r="AJ333" s="12">
        <f>SUM(All_India_Index_Upto_April23__1___1[[#This Row],[Household goods and services]],All_India_Index_Upto_April23__1___1[[#This Row],[Housing]])</f>
        <v>326.8</v>
      </c>
      <c r="AK333" s="12">
        <f>All_India_Index_Upto_April23__1___1[[#This Row],[Clothing]]+All_India_Index_Upto_April23__1___1[[#This Row],[Footwear]]</f>
        <v>322.89999999999998</v>
      </c>
      <c r="AL333" s="12">
        <f>All_India_Index_Upto_April23__1___1[[#This Row],[Miscellaneous]]+All_India_Index_Upto_April23__1___1[[#This Row],[Personal care and effects]]+All_India_Index_Upto_April23__1___1[[#This Row],[Education]]+All_India_Index_Upto_April23__1___1[[#This Row],[Recreation and amusement]]</f>
        <v>657.7</v>
      </c>
      <c r="AM33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4233.7000000000007</v>
      </c>
    </row>
    <row r="334" spans="1:39" x14ac:dyDescent="0.3">
      <c r="A334" t="s">
        <v>33</v>
      </c>
      <c r="B334">
        <v>2022</v>
      </c>
      <c r="C334" t="s">
        <v>36</v>
      </c>
      <c r="D334" t="str">
        <f t="shared" si="5"/>
        <v>Apr-22</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c r="AF334" s="12">
        <f>AVERAGE(All_India_Index_Upto_April23__1___1[[#This Row],[Cereals and products]:[Pan, tobacco and intoxicants]])</f>
        <v>172.01428571428573</v>
      </c>
      <c r="AG334" s="12">
        <f>AVERAGE(All_India_Index_Upto_April23__1___1[[#This Row],[Household goods and services]],All_India_Index_Upto_April23__1___1[[#This Row],[Housing]])</f>
        <v>165.5</v>
      </c>
      <c r="AH334" s="12">
        <f>AVERAGE(All_India_Index_Upto_April23__1___1[[#This Row],[Miscellaneous]],All_India_Index_Upto_April23__1___1[[#This Row],[Personal care and effects]],All_India_Index_Upto_April23__1___1[[#This Row],[Education]],All_India_Index_Upto_April23__1___1[[#This Row],[Recreation and amusement]])</f>
        <v>166.72499999999999</v>
      </c>
      <c r="AI334" s="12">
        <f>SUM(All_India_Index_Upto_April23__1___1[[#This Row],[Cereals and products]:[Pan, tobacco and intoxicants]])</f>
        <v>2408.2000000000003</v>
      </c>
      <c r="AJ334" s="12">
        <f>SUM(All_India_Index_Upto_April23__1___1[[#This Row],[Household goods and services]],All_India_Index_Upto_April23__1___1[[#This Row],[Housing]])</f>
        <v>331</v>
      </c>
      <c r="AK334" s="12">
        <f>All_India_Index_Upto_April23__1___1[[#This Row],[Clothing]]+All_India_Index_Upto_April23__1___1[[#This Row],[Footwear]]</f>
        <v>340.4</v>
      </c>
      <c r="AL334" s="12">
        <f>All_India_Index_Upto_April23__1___1[[#This Row],[Miscellaneous]]+All_India_Index_Upto_April23__1___1[[#This Row],[Personal care and effects]]+All_India_Index_Upto_April23__1___1[[#This Row],[Education]]+All_India_Index_Upto_April23__1___1[[#This Row],[Recreation and amusement]]</f>
        <v>666.9</v>
      </c>
      <c r="AM33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4255.3</v>
      </c>
    </row>
    <row r="335" spans="1:39" hidden="1" x14ac:dyDescent="0.3">
      <c r="A335" t="s">
        <v>30</v>
      </c>
      <c r="B335">
        <v>2022</v>
      </c>
      <c r="C335" t="s">
        <v>37</v>
      </c>
      <c r="D335" t="str">
        <f t="shared" si="5"/>
        <v>May-22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s="12">
        <f>'Handle Missing Value Sheet only'!$F$5</f>
        <v>139.27096774193564</v>
      </c>
      <c r="W335">
        <v>175.3</v>
      </c>
      <c r="X335">
        <v>168.9</v>
      </c>
      <c r="Y335">
        <v>177.7</v>
      </c>
      <c r="Z335">
        <v>167.1</v>
      </c>
      <c r="AA335">
        <v>167.6</v>
      </c>
      <c r="AB335">
        <v>171.8</v>
      </c>
      <c r="AC335">
        <v>168.5</v>
      </c>
      <c r="AD335">
        <v>170.9</v>
      </c>
      <c r="AE335">
        <v>172.5</v>
      </c>
      <c r="AF335" s="12">
        <f>AVERAGE(All_India_Index_Upto_April23__1___1[[#This Row],[Cereals and products]:[Pan, tobacco and intoxicants]])</f>
        <v>172.83571428571432</v>
      </c>
      <c r="AG335" s="12">
        <f>AVERAGE(All_India_Index_Upto_April23__1___1[[#This Row],[Household goods and services]],All_India_Index_Upto_April23__1___1[[#This Row],[Housing]])</f>
        <v>154.08548387096783</v>
      </c>
      <c r="AH335" s="12">
        <f>AVERAGE(All_India_Index_Upto_April23__1___1[[#This Row],[Miscellaneous]],All_India_Index_Upto_April23__1___1[[#This Row],[Personal care and effects]],All_India_Index_Upto_April23__1___1[[#This Row],[Education]],All_India_Index_Upto_April23__1___1[[#This Row],[Recreation and amusement]])</f>
        <v>169.7</v>
      </c>
      <c r="AI335" s="12">
        <f>SUM(All_India_Index_Upto_April23__1___1[[#This Row],[Cereals and products]:[Pan, tobacco and intoxicants]])</f>
        <v>2419.7000000000003</v>
      </c>
      <c r="AJ335" s="12">
        <f>SUM(All_India_Index_Upto_April23__1___1[[#This Row],[Household goods and services]],All_India_Index_Upto_April23__1___1[[#This Row],[Housing]])</f>
        <v>308.17096774193567</v>
      </c>
      <c r="AK335" s="12">
        <f>All_India_Index_Upto_April23__1___1[[#This Row],[Clothing]]+All_India_Index_Upto_April23__1___1[[#This Row],[Footwear]]</f>
        <v>356.5</v>
      </c>
      <c r="AL335" s="12">
        <f>All_India_Index_Upto_April23__1___1[[#This Row],[Miscellaneous]]+All_India_Index_Upto_April23__1___1[[#This Row],[Personal care and effects]]+All_India_Index_Upto_April23__1___1[[#This Row],[Education]]+All_India_Index_Upto_April23__1___1[[#This Row],[Recreation and amusement]]</f>
        <v>678.8</v>
      </c>
      <c r="AM33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4283.2709677419361</v>
      </c>
    </row>
    <row r="336" spans="1:39" hidden="1" x14ac:dyDescent="0.3">
      <c r="A336" t="s">
        <v>32</v>
      </c>
      <c r="B336">
        <v>2022</v>
      </c>
      <c r="C336" t="s">
        <v>37</v>
      </c>
      <c r="D336" t="str">
        <f t="shared" si="5"/>
        <v>May-22</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c r="AF336" s="12">
        <f>AVERAGE(All_India_Index_Upto_April23__1___1[[#This Row],[Cereals and products]:[Pan, tobacco and intoxicants]])</f>
        <v>175.69285714285715</v>
      </c>
      <c r="AG336" s="12">
        <f>AVERAGE(All_India_Index_Upto_April23__1___1[[#This Row],[Household goods and services]],All_India_Index_Upto_April23__1___1[[#This Row],[Housing]])</f>
        <v>164.3</v>
      </c>
      <c r="AH336" s="12">
        <f>AVERAGE(All_India_Index_Upto_April23__1___1[[#This Row],[Miscellaneous]],All_India_Index_Upto_April23__1___1[[#This Row],[Personal care and effects]],All_India_Index_Upto_April23__1___1[[#This Row],[Education]],All_India_Index_Upto_April23__1___1[[#This Row],[Recreation and amusement]])</f>
        <v>165.1</v>
      </c>
      <c r="AI336" s="12">
        <f>SUM(All_India_Index_Upto_April23__1___1[[#This Row],[Cereals and products]:[Pan, tobacco and intoxicants]])</f>
        <v>2459.7000000000003</v>
      </c>
      <c r="AJ336" s="12">
        <f>SUM(All_India_Index_Upto_April23__1___1[[#This Row],[Household goods and services]],All_India_Index_Upto_April23__1___1[[#This Row],[Housing]])</f>
        <v>328.6</v>
      </c>
      <c r="AK336" s="12">
        <f>All_India_Index_Upto_April23__1___1[[#This Row],[Clothing]]+All_India_Index_Upto_April23__1___1[[#This Row],[Footwear]]</f>
        <v>325.89999999999998</v>
      </c>
      <c r="AL336" s="12">
        <f>All_India_Index_Upto_April23__1___1[[#This Row],[Miscellaneous]]+All_India_Index_Upto_April23__1___1[[#This Row],[Personal care and effects]]+All_India_Index_Upto_April23__1___1[[#This Row],[Education]]+All_India_Index_Upto_April23__1___1[[#This Row],[Recreation and amusement]]</f>
        <v>660.4</v>
      </c>
      <c r="AM33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4277.6000000000004</v>
      </c>
    </row>
    <row r="337" spans="1:39" x14ac:dyDescent="0.3">
      <c r="A337" t="s">
        <v>33</v>
      </c>
      <c r="B337">
        <v>2022</v>
      </c>
      <c r="C337" t="s">
        <v>37</v>
      </c>
      <c r="D337" t="str">
        <f t="shared" si="5"/>
        <v>May-22</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c r="AF337" s="12">
        <f>AVERAGE(All_India_Index_Upto_April23__1___1[[#This Row],[Cereals and products]:[Pan, tobacco and intoxicants]])</f>
        <v>173.78571428571431</v>
      </c>
      <c r="AG337" s="12">
        <f>AVERAGE(All_India_Index_Upto_April23__1___1[[#This Row],[Household goods and services]],All_India_Index_Upto_April23__1___1[[#This Row],[Housing]])</f>
        <v>166.35</v>
      </c>
      <c r="AH337" s="12">
        <f>AVERAGE(All_India_Index_Upto_April23__1___1[[#This Row],[Miscellaneous]],All_India_Index_Upto_April23__1___1[[#This Row],[Personal care and effects]],All_India_Index_Upto_April23__1___1[[#This Row],[Education]],All_India_Index_Upto_April23__1___1[[#This Row],[Recreation and amusement]])</f>
        <v>167.22499999999999</v>
      </c>
      <c r="AI337" s="12">
        <f>SUM(All_India_Index_Upto_April23__1___1[[#This Row],[Cereals and products]:[Pan, tobacco and intoxicants]])</f>
        <v>2433.0000000000005</v>
      </c>
      <c r="AJ337" s="12">
        <f>SUM(All_India_Index_Upto_April23__1___1[[#This Row],[Household goods and services]],All_India_Index_Upto_April23__1___1[[#This Row],[Housing]])</f>
        <v>332.7</v>
      </c>
      <c r="AK337" s="12">
        <f>All_India_Index_Upto_April23__1___1[[#This Row],[Clothing]]+All_India_Index_Upto_April23__1___1[[#This Row],[Footwear]]</f>
        <v>344</v>
      </c>
      <c r="AL337" s="12">
        <f>All_India_Index_Upto_April23__1___1[[#This Row],[Miscellaneous]]+All_India_Index_Upto_April23__1___1[[#This Row],[Personal care and effects]]+All_India_Index_Upto_April23__1___1[[#This Row],[Education]]+All_India_Index_Upto_April23__1___1[[#This Row],[Recreation and amusement]]</f>
        <v>668.9</v>
      </c>
      <c r="AM33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4291.0000000000009</v>
      </c>
    </row>
    <row r="338" spans="1:39" hidden="1" x14ac:dyDescent="0.3">
      <c r="A338" t="s">
        <v>30</v>
      </c>
      <c r="B338">
        <v>2022</v>
      </c>
      <c r="C338" t="s">
        <v>38</v>
      </c>
      <c r="D338" t="str">
        <f t="shared" si="5"/>
        <v>Jun-22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s="12">
        <f>'Handle Missing Value Sheet only'!$F$5</f>
        <v>139.27096774193564</v>
      </c>
      <c r="W338">
        <v>176.7</v>
      </c>
      <c r="X338">
        <v>170.3</v>
      </c>
      <c r="Y338">
        <v>178.2</v>
      </c>
      <c r="Z338">
        <v>165.5</v>
      </c>
      <c r="AA338">
        <v>168</v>
      </c>
      <c r="AB338">
        <v>172.6</v>
      </c>
      <c r="AC338">
        <v>169.5</v>
      </c>
      <c r="AD338">
        <v>171</v>
      </c>
      <c r="AE338">
        <v>173.6</v>
      </c>
      <c r="AF338" s="12">
        <f>AVERAGE(All_India_Index_Upto_April23__1___1[[#This Row],[Cereals and products]:[Pan, tobacco and intoxicants]])</f>
        <v>174.37142857142859</v>
      </c>
      <c r="AG338" s="12">
        <f>AVERAGE(All_India_Index_Upto_April23__1___1[[#This Row],[Household goods and services]],All_India_Index_Upto_April23__1___1[[#This Row],[Housing]])</f>
        <v>154.78548387096782</v>
      </c>
      <c r="AH338" s="12">
        <f>AVERAGE(All_India_Index_Upto_April23__1___1[[#This Row],[Miscellaneous]],All_India_Index_Upto_April23__1___1[[#This Row],[Personal care and effects]],All_India_Index_Upto_April23__1___1[[#This Row],[Education]],All_India_Index_Upto_April23__1___1[[#This Row],[Recreation and amusement]])</f>
        <v>170.27500000000001</v>
      </c>
      <c r="AI338" s="12">
        <f>SUM(All_India_Index_Upto_April23__1___1[[#This Row],[Cereals and products]:[Pan, tobacco and intoxicants]])</f>
        <v>2441.2000000000003</v>
      </c>
      <c r="AJ338" s="12">
        <f>SUM(All_India_Index_Upto_April23__1___1[[#This Row],[Household goods and services]],All_India_Index_Upto_April23__1___1[[#This Row],[Housing]])</f>
        <v>309.57096774193565</v>
      </c>
      <c r="AK338" s="12">
        <f>All_India_Index_Upto_April23__1___1[[#This Row],[Clothing]]+All_India_Index_Upto_April23__1___1[[#This Row],[Footwear]]</f>
        <v>359.4</v>
      </c>
      <c r="AL338" s="12">
        <f>All_India_Index_Upto_April23__1___1[[#This Row],[Miscellaneous]]+All_India_Index_Upto_April23__1___1[[#This Row],[Personal care and effects]]+All_India_Index_Upto_April23__1___1[[#This Row],[Education]]+All_India_Index_Upto_April23__1___1[[#This Row],[Recreation and amusement]]</f>
        <v>681.1</v>
      </c>
      <c r="AM33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4311.6709677419358</v>
      </c>
    </row>
    <row r="339" spans="1:39" hidden="1" x14ac:dyDescent="0.3">
      <c r="A339" t="s">
        <v>32</v>
      </c>
      <c r="B339">
        <v>2022</v>
      </c>
      <c r="C339" t="s">
        <v>38</v>
      </c>
      <c r="D339" t="str">
        <f t="shared" si="5"/>
        <v>Jun-22</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c r="AF339" s="12">
        <f>AVERAGE(All_India_Index_Upto_April23__1___1[[#This Row],[Cereals and products]:[Pan, tobacco and intoxicants]])</f>
        <v>177.55714285714288</v>
      </c>
      <c r="AG339" s="12">
        <f>AVERAGE(All_India_Index_Upto_April23__1___1[[#This Row],[Household goods and services]],All_India_Index_Upto_April23__1___1[[#This Row],[Housing]])</f>
        <v>164.45</v>
      </c>
      <c r="AH339" s="12">
        <f>AVERAGE(All_India_Index_Upto_April23__1___1[[#This Row],[Miscellaneous]],All_India_Index_Upto_April23__1___1[[#This Row],[Personal care and effects]],All_India_Index_Upto_April23__1___1[[#This Row],[Education]],All_India_Index_Upto_April23__1___1[[#This Row],[Recreation and amusement]])</f>
        <v>165.9</v>
      </c>
      <c r="AI339" s="12">
        <f>SUM(All_India_Index_Upto_April23__1___1[[#This Row],[Cereals and products]:[Pan, tobacco and intoxicants]])</f>
        <v>2485.8000000000002</v>
      </c>
      <c r="AJ339" s="12">
        <f>SUM(All_India_Index_Upto_April23__1___1[[#This Row],[Household goods and services]],All_India_Index_Upto_April23__1___1[[#This Row],[Housing]])</f>
        <v>328.9</v>
      </c>
      <c r="AK339" s="12">
        <f>All_India_Index_Upto_April23__1___1[[#This Row],[Clothing]]+All_India_Index_Upto_April23__1___1[[#This Row],[Footwear]]</f>
        <v>329</v>
      </c>
      <c r="AL339" s="12">
        <f>All_India_Index_Upto_April23__1___1[[#This Row],[Miscellaneous]]+All_India_Index_Upto_April23__1___1[[#This Row],[Personal care and effects]]+All_India_Index_Upto_April23__1___1[[#This Row],[Education]]+All_India_Index_Upto_April23__1___1[[#This Row],[Recreation and amusement]]</f>
        <v>663.6</v>
      </c>
      <c r="AM33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4310.2999999999993</v>
      </c>
    </row>
    <row r="340" spans="1:39" x14ac:dyDescent="0.3">
      <c r="A340" t="s">
        <v>33</v>
      </c>
      <c r="B340">
        <v>2022</v>
      </c>
      <c r="C340" t="s">
        <v>38</v>
      </c>
      <c r="D340" t="str">
        <f t="shared" si="5"/>
        <v>Jun-22</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c r="AF340" s="12">
        <f>AVERAGE(All_India_Index_Upto_April23__1___1[[#This Row],[Cereals and products]:[Pan, tobacco and intoxicants]])</f>
        <v>175.44285714285715</v>
      </c>
      <c r="AG340" s="12">
        <f>AVERAGE(All_India_Index_Upto_April23__1___1[[#This Row],[Household goods and services]],All_India_Index_Upto_April23__1___1[[#This Row],[Housing]])</f>
        <v>166.60000000000002</v>
      </c>
      <c r="AH340" s="12">
        <f>AVERAGE(All_India_Index_Upto_April23__1___1[[#This Row],[Miscellaneous]],All_India_Index_Upto_April23__1___1[[#This Row],[Personal care and effects]],All_India_Index_Upto_April23__1___1[[#This Row],[Education]],All_India_Index_Upto_April23__1___1[[#This Row],[Recreation and amusement]])</f>
        <v>167.92500000000001</v>
      </c>
      <c r="AI340" s="12">
        <f>SUM(All_India_Index_Upto_April23__1___1[[#This Row],[Cereals and products]:[Pan, tobacco and intoxicants]])</f>
        <v>2456.2000000000003</v>
      </c>
      <c r="AJ340" s="12">
        <f>SUM(All_India_Index_Upto_April23__1___1[[#This Row],[Household goods and services]],All_India_Index_Upto_April23__1___1[[#This Row],[Housing]])</f>
        <v>333.20000000000005</v>
      </c>
      <c r="AK340" s="12">
        <f>All_India_Index_Upto_April23__1___1[[#This Row],[Clothing]]+All_India_Index_Upto_April23__1___1[[#This Row],[Footwear]]</f>
        <v>347</v>
      </c>
      <c r="AL340" s="12">
        <f>All_India_Index_Upto_April23__1___1[[#This Row],[Miscellaneous]]+All_India_Index_Upto_April23__1___1[[#This Row],[Personal care and effects]]+All_India_Index_Upto_April23__1___1[[#This Row],[Education]]+All_India_Index_Upto_April23__1___1[[#This Row],[Recreation and amusement]]</f>
        <v>671.7</v>
      </c>
      <c r="AM34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4320.6000000000004</v>
      </c>
    </row>
    <row r="341" spans="1:39" hidden="1" x14ac:dyDescent="0.3">
      <c r="A341" t="s">
        <v>30</v>
      </c>
      <c r="B341">
        <v>2022</v>
      </c>
      <c r="C341" t="s">
        <v>39</v>
      </c>
      <c r="D341" t="str">
        <f t="shared" si="5"/>
        <v>Jul-22</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s="12">
        <f>'Handle Missing Value Sheet only'!$F$5</f>
        <v>139.27096774193564</v>
      </c>
      <c r="W341">
        <v>179.6</v>
      </c>
      <c r="X341">
        <v>171.3</v>
      </c>
      <c r="Y341">
        <v>178.8</v>
      </c>
      <c r="Z341">
        <v>166.3</v>
      </c>
      <c r="AA341">
        <v>168.6</v>
      </c>
      <c r="AB341">
        <v>174.7</v>
      </c>
      <c r="AC341">
        <v>169.7</v>
      </c>
      <c r="AD341">
        <v>171.8</v>
      </c>
      <c r="AE341">
        <v>174.3</v>
      </c>
      <c r="AF341" s="12">
        <f>AVERAGE(All_India_Index_Upto_April23__1___1[[#This Row],[Cereals and products]:[Pan, tobacco and intoxicants]])</f>
        <v>174.69285714285712</v>
      </c>
      <c r="AG341" s="12">
        <f>AVERAGE(All_India_Index_Upto_April23__1___1[[#This Row],[Household goods and services]],All_India_Index_Upto_April23__1___1[[#This Row],[Housing]])</f>
        <v>155.28548387096782</v>
      </c>
      <c r="AH341" s="12">
        <f>AVERAGE(All_India_Index_Upto_April23__1___1[[#This Row],[Miscellaneous]],All_India_Index_Upto_April23__1___1[[#This Row],[Personal care and effects]],All_India_Index_Upto_April23__1___1[[#This Row],[Education]],All_India_Index_Upto_April23__1___1[[#This Row],[Recreation and amusement]])</f>
        <v>171.20000000000002</v>
      </c>
      <c r="AI341" s="12">
        <f>SUM(All_India_Index_Upto_April23__1___1[[#This Row],[Cereals and products]:[Pan, tobacco and intoxicants]])</f>
        <v>2445.6999999999998</v>
      </c>
      <c r="AJ341" s="12">
        <f>SUM(All_India_Index_Upto_April23__1___1[[#This Row],[Household goods and services]],All_India_Index_Upto_April23__1___1[[#This Row],[Housing]])</f>
        <v>310.57096774193565</v>
      </c>
      <c r="AK341" s="12">
        <f>All_India_Index_Upto_April23__1___1[[#This Row],[Clothing]]+All_India_Index_Upto_April23__1___1[[#This Row],[Footwear]]</f>
        <v>362.3</v>
      </c>
      <c r="AL341" s="12">
        <f>All_India_Index_Upto_April23__1___1[[#This Row],[Miscellaneous]]+All_India_Index_Upto_April23__1___1[[#This Row],[Personal care and effects]]+All_India_Index_Upto_April23__1___1[[#This Row],[Education]]+All_India_Index_Upto_April23__1___1[[#This Row],[Recreation and amusement]]</f>
        <v>684.80000000000007</v>
      </c>
      <c r="AM34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4328.0709677419363</v>
      </c>
    </row>
    <row r="342" spans="1:39" hidden="1" x14ac:dyDescent="0.3">
      <c r="A342" t="s">
        <v>32</v>
      </c>
      <c r="B342">
        <v>2022</v>
      </c>
      <c r="C342" t="s">
        <v>39</v>
      </c>
      <c r="D342" t="str">
        <f t="shared" si="5"/>
        <v>Jul-22</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c r="AF342" s="12">
        <f>AVERAGE(All_India_Index_Upto_April23__1___1[[#This Row],[Cereals and products]:[Pan, tobacco and intoxicants]])</f>
        <v>177.87142857142857</v>
      </c>
      <c r="AG342" s="12">
        <f>AVERAGE(All_India_Index_Upto_April23__1___1[[#This Row],[Household goods and services]],All_India_Index_Upto_April23__1___1[[#This Row],[Housing]])</f>
        <v>165.45</v>
      </c>
      <c r="AH342" s="12">
        <f>AVERAGE(All_India_Index_Upto_April23__1___1[[#This Row],[Miscellaneous]],All_India_Index_Upto_April23__1___1[[#This Row],[Personal care and effects]],All_India_Index_Upto_April23__1___1[[#This Row],[Education]],All_India_Index_Upto_April23__1___1[[#This Row],[Recreation and amusement]])</f>
        <v>167.05</v>
      </c>
      <c r="AI342" s="12">
        <f>SUM(All_India_Index_Upto_April23__1___1[[#This Row],[Cereals and products]:[Pan, tobacco and intoxicants]])</f>
        <v>2490.1999999999998</v>
      </c>
      <c r="AJ342" s="12">
        <f>SUM(All_India_Index_Upto_April23__1___1[[#This Row],[Household goods and services]],All_India_Index_Upto_April23__1___1[[#This Row],[Housing]])</f>
        <v>330.9</v>
      </c>
      <c r="AK342" s="12">
        <f>All_India_Index_Upto_April23__1___1[[#This Row],[Clothing]]+All_India_Index_Upto_April23__1___1[[#This Row],[Footwear]]</f>
        <v>331.4</v>
      </c>
      <c r="AL342" s="12">
        <f>All_India_Index_Upto_April23__1___1[[#This Row],[Miscellaneous]]+All_India_Index_Upto_April23__1___1[[#This Row],[Personal care and effects]]+All_India_Index_Upto_April23__1___1[[#This Row],[Education]]+All_India_Index_Upto_April23__1___1[[#This Row],[Recreation and amusement]]</f>
        <v>668.2</v>
      </c>
      <c r="AM34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4329.3</v>
      </c>
    </row>
    <row r="343" spans="1:39" x14ac:dyDescent="0.3">
      <c r="A343" t="s">
        <v>33</v>
      </c>
      <c r="B343">
        <v>2022</v>
      </c>
      <c r="C343" t="s">
        <v>39</v>
      </c>
      <c r="D343" t="str">
        <f t="shared" si="5"/>
        <v>Jul-22</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c r="AF343" s="12">
        <f>AVERAGE(All_India_Index_Upto_April23__1___1[[#This Row],[Cereals and products]:[Pan, tobacco and intoxicants]])</f>
        <v>175.77857142857144</v>
      </c>
      <c r="AG343" s="12">
        <f>AVERAGE(All_India_Index_Upto_April23__1___1[[#This Row],[Household goods and services]],All_India_Index_Upto_April23__1___1[[#This Row],[Housing]])</f>
        <v>167.60000000000002</v>
      </c>
      <c r="AH343" s="12">
        <f>AVERAGE(All_India_Index_Upto_April23__1___1[[#This Row],[Miscellaneous]],All_India_Index_Upto_April23__1___1[[#This Row],[Personal care and effects]],All_India_Index_Upto_April23__1___1[[#This Row],[Education]],All_India_Index_Upto_April23__1___1[[#This Row],[Recreation and amusement]])</f>
        <v>168.95</v>
      </c>
      <c r="AI343" s="12">
        <f>SUM(All_India_Index_Upto_April23__1___1[[#This Row],[Cereals and products]:[Pan, tobacco and intoxicants]])</f>
        <v>2460.9</v>
      </c>
      <c r="AJ343" s="12">
        <f>SUM(All_India_Index_Upto_April23__1___1[[#This Row],[Household goods and services]],All_India_Index_Upto_April23__1___1[[#This Row],[Housing]])</f>
        <v>335.20000000000005</v>
      </c>
      <c r="AK343" s="12">
        <f>All_India_Index_Upto_April23__1___1[[#This Row],[Clothing]]+All_India_Index_Upto_April23__1___1[[#This Row],[Footwear]]</f>
        <v>349.6</v>
      </c>
      <c r="AL343" s="12">
        <f>All_India_Index_Upto_April23__1___1[[#This Row],[Miscellaneous]]+All_India_Index_Upto_April23__1___1[[#This Row],[Personal care and effects]]+All_India_Index_Upto_April23__1___1[[#This Row],[Education]]+All_India_Index_Upto_April23__1___1[[#This Row],[Recreation and amusement]]</f>
        <v>675.8</v>
      </c>
      <c r="AM34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4338.8</v>
      </c>
    </row>
    <row r="344" spans="1:39" hidden="1" x14ac:dyDescent="0.3">
      <c r="A344" t="s">
        <v>30</v>
      </c>
      <c r="B344">
        <v>2022</v>
      </c>
      <c r="C344" t="s">
        <v>40</v>
      </c>
      <c r="D344" t="str">
        <f t="shared" si="5"/>
        <v>Aug-22</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s="12">
        <f>'Handle Missing Value Sheet only'!$F$5</f>
        <v>139.27096774193564</v>
      </c>
      <c r="W344">
        <v>179.1</v>
      </c>
      <c r="X344">
        <v>172.3</v>
      </c>
      <c r="Y344">
        <v>179.4</v>
      </c>
      <c r="Z344">
        <v>166.6</v>
      </c>
      <c r="AA344">
        <v>169.3</v>
      </c>
      <c r="AB344">
        <v>175.7</v>
      </c>
      <c r="AC344">
        <v>171.1</v>
      </c>
      <c r="AD344">
        <v>172.6</v>
      </c>
      <c r="AE344">
        <v>175.3</v>
      </c>
      <c r="AF344" s="12">
        <f>AVERAGE(All_India_Index_Upto_April23__1___1[[#This Row],[Cereals and products]:[Pan, tobacco and intoxicants]])</f>
        <v>174.96428571428569</v>
      </c>
      <c r="AG344" s="12">
        <f>AVERAGE(All_India_Index_Upto_April23__1___1[[#This Row],[Household goods and services]],All_India_Index_Upto_April23__1___1[[#This Row],[Housing]])</f>
        <v>155.78548387096782</v>
      </c>
      <c r="AH344" s="12">
        <f>AVERAGE(All_India_Index_Upto_April23__1___1[[#This Row],[Miscellaneous]],All_India_Index_Upto_April23__1___1[[#This Row],[Personal care and effects]],All_India_Index_Upto_April23__1___1[[#This Row],[Education]],All_India_Index_Upto_April23__1___1[[#This Row],[Recreation and amusement]])</f>
        <v>172.17500000000001</v>
      </c>
      <c r="AI344" s="12">
        <f>SUM(All_India_Index_Upto_April23__1___1[[#This Row],[Cereals and products]:[Pan, tobacco and intoxicants]])</f>
        <v>2449.4999999999995</v>
      </c>
      <c r="AJ344" s="12">
        <f>SUM(All_India_Index_Upto_April23__1___1[[#This Row],[Household goods and services]],All_India_Index_Upto_April23__1___1[[#This Row],[Housing]])</f>
        <v>311.57096774193565</v>
      </c>
      <c r="AK344" s="12">
        <f>All_India_Index_Upto_April23__1___1[[#This Row],[Clothing]]+All_India_Index_Upto_April23__1___1[[#This Row],[Footwear]]</f>
        <v>364.9</v>
      </c>
      <c r="AL344" s="12">
        <f>All_India_Index_Upto_April23__1___1[[#This Row],[Miscellaneous]]+All_India_Index_Upto_April23__1___1[[#This Row],[Personal care and effects]]+All_India_Index_Upto_April23__1___1[[#This Row],[Education]]+All_India_Index_Upto_April23__1___1[[#This Row],[Recreation and amusement]]</f>
        <v>688.7</v>
      </c>
      <c r="AM34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4339.7709677419352</v>
      </c>
    </row>
    <row r="345" spans="1:39" hidden="1" x14ac:dyDescent="0.3">
      <c r="A345" t="s">
        <v>32</v>
      </c>
      <c r="B345">
        <v>2022</v>
      </c>
      <c r="C345" t="s">
        <v>40</v>
      </c>
      <c r="D345" t="str">
        <f t="shared" si="5"/>
        <v>Aug-22</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c r="AF345" s="12">
        <f>AVERAGE(All_India_Index_Upto_April23__1___1[[#This Row],[Cereals and products]:[Pan, tobacco and intoxicants]])</f>
        <v>178.02857142857141</v>
      </c>
      <c r="AG345" s="12">
        <f>AVERAGE(All_India_Index_Upto_April23__1___1[[#This Row],[Household goods and services]],All_India_Index_Upto_April23__1___1[[#This Row],[Housing]])</f>
        <v>166.6</v>
      </c>
      <c r="AH345" s="12">
        <f>AVERAGE(All_India_Index_Upto_April23__1___1[[#This Row],[Miscellaneous]],All_India_Index_Upto_April23__1___1[[#This Row],[Personal care and effects]],All_India_Index_Upto_April23__1___1[[#This Row],[Education]],All_India_Index_Upto_April23__1___1[[#This Row],[Recreation and amusement]])</f>
        <v>167.95000000000002</v>
      </c>
      <c r="AI345" s="12">
        <f>SUM(All_India_Index_Upto_April23__1___1[[#This Row],[Cereals and products]:[Pan, tobacco and intoxicants]])</f>
        <v>2492.3999999999996</v>
      </c>
      <c r="AJ345" s="12">
        <f>SUM(All_India_Index_Upto_April23__1___1[[#This Row],[Household goods and services]],All_India_Index_Upto_April23__1___1[[#This Row],[Housing]])</f>
        <v>333.2</v>
      </c>
      <c r="AK345" s="12">
        <f>All_India_Index_Upto_April23__1___1[[#This Row],[Clothing]]+All_India_Index_Upto_April23__1___1[[#This Row],[Footwear]]</f>
        <v>333.7</v>
      </c>
      <c r="AL345" s="12">
        <f>All_India_Index_Upto_April23__1___1[[#This Row],[Miscellaneous]]+All_India_Index_Upto_April23__1___1[[#This Row],[Personal care and effects]]+All_India_Index_Upto_April23__1___1[[#This Row],[Education]]+All_India_Index_Upto_April23__1___1[[#This Row],[Recreation and amusement]]</f>
        <v>671.80000000000007</v>
      </c>
      <c r="AM34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4339.7999999999993</v>
      </c>
    </row>
    <row r="346" spans="1:39" x14ac:dyDescent="0.3">
      <c r="A346" t="s">
        <v>33</v>
      </c>
      <c r="B346">
        <v>2022</v>
      </c>
      <c r="C346" t="s">
        <v>40</v>
      </c>
      <c r="D346" t="str">
        <f t="shared" si="5"/>
        <v>Aug-22</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c r="AF346" s="12">
        <f>AVERAGE(All_India_Index_Upto_April23__1___1[[#This Row],[Cereals and products]:[Pan, tobacco and intoxicants]])</f>
        <v>176.01428571428573</v>
      </c>
      <c r="AG346" s="12">
        <f>AVERAGE(All_India_Index_Upto_April23__1___1[[#This Row],[Household goods and services]],All_India_Index_Upto_April23__1___1[[#This Row],[Housing]])</f>
        <v>168.75</v>
      </c>
      <c r="AH346" s="12">
        <f>AVERAGE(All_India_Index_Upto_April23__1___1[[#This Row],[Miscellaneous]],All_India_Index_Upto_April23__1___1[[#This Row],[Personal care and effects]],All_India_Index_Upto_April23__1___1[[#This Row],[Education]],All_India_Index_Upto_April23__1___1[[#This Row],[Recreation and amusement]])</f>
        <v>169.87499999999997</v>
      </c>
      <c r="AI346" s="12">
        <f>SUM(All_India_Index_Upto_April23__1___1[[#This Row],[Cereals and products]:[Pan, tobacco and intoxicants]])</f>
        <v>2464.2000000000003</v>
      </c>
      <c r="AJ346" s="12">
        <f>SUM(All_India_Index_Upto_April23__1___1[[#This Row],[Household goods and services]],All_India_Index_Upto_April23__1___1[[#This Row],[Housing]])</f>
        <v>337.5</v>
      </c>
      <c r="AK346" s="12">
        <f>All_India_Index_Upto_April23__1___1[[#This Row],[Clothing]]+All_India_Index_Upto_April23__1___1[[#This Row],[Footwear]]</f>
        <v>352.2</v>
      </c>
      <c r="AL346" s="12">
        <f>All_India_Index_Upto_April23__1___1[[#This Row],[Miscellaneous]]+All_India_Index_Upto_April23__1___1[[#This Row],[Personal care and effects]]+All_India_Index_Upto_April23__1___1[[#This Row],[Education]]+All_India_Index_Upto_April23__1___1[[#This Row],[Recreation and amusement]]</f>
        <v>679.49999999999989</v>
      </c>
      <c r="AM34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4350.9000000000005</v>
      </c>
    </row>
    <row r="347" spans="1:39" hidden="1" x14ac:dyDescent="0.3">
      <c r="A347" t="s">
        <v>30</v>
      </c>
      <c r="B347">
        <v>2022</v>
      </c>
      <c r="C347" t="s">
        <v>41</v>
      </c>
      <c r="D347" t="str">
        <f t="shared" si="5"/>
        <v>Sep-22</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s="12">
        <f>'Handle Missing Value Sheet only'!$F$5</f>
        <v>139.27096774193564</v>
      </c>
      <c r="W347">
        <v>179.7</v>
      </c>
      <c r="X347">
        <v>173.6</v>
      </c>
      <c r="Y347">
        <v>180.2</v>
      </c>
      <c r="Z347">
        <v>166.9</v>
      </c>
      <c r="AA347">
        <v>170</v>
      </c>
      <c r="AB347">
        <v>176.2</v>
      </c>
      <c r="AC347">
        <v>170.8</v>
      </c>
      <c r="AD347">
        <v>173.1</v>
      </c>
      <c r="AE347">
        <v>176.4</v>
      </c>
      <c r="AF347" s="12">
        <f>AVERAGE(All_India_Index_Upto_April23__1___1[[#This Row],[Cereals and products]:[Pan, tobacco and intoxicants]])</f>
        <v>175.87857142857143</v>
      </c>
      <c r="AG347" s="12">
        <f>AVERAGE(All_India_Index_Upto_April23__1___1[[#This Row],[Household goods and services]],All_India_Index_Upto_April23__1___1[[#This Row],[Housing]])</f>
        <v>156.4354838709678</v>
      </c>
      <c r="AH347" s="12">
        <f>AVERAGE(All_India_Index_Upto_April23__1___1[[#This Row],[Miscellaneous]],All_India_Index_Upto_April23__1___1[[#This Row],[Personal care and effects]],All_India_Index_Upto_April23__1___1[[#This Row],[Education]],All_India_Index_Upto_April23__1___1[[#This Row],[Recreation and amusement]])</f>
        <v>172.52499999999998</v>
      </c>
      <c r="AI347" s="12">
        <f>SUM(All_India_Index_Upto_April23__1___1[[#This Row],[Cereals and products]:[Pan, tobacco and intoxicants]])</f>
        <v>2462.3000000000002</v>
      </c>
      <c r="AJ347" s="12">
        <f>SUM(All_India_Index_Upto_April23__1___1[[#This Row],[Household goods and services]],All_India_Index_Upto_April23__1___1[[#This Row],[Housing]])</f>
        <v>312.8709677419356</v>
      </c>
      <c r="AK347" s="12">
        <f>All_India_Index_Upto_April23__1___1[[#This Row],[Clothing]]+All_India_Index_Upto_April23__1___1[[#This Row],[Footwear]]</f>
        <v>368</v>
      </c>
      <c r="AL347" s="12">
        <f>All_India_Index_Upto_April23__1___1[[#This Row],[Miscellaneous]]+All_India_Index_Upto_April23__1___1[[#This Row],[Personal care and effects]]+All_India_Index_Upto_April23__1___1[[#This Row],[Education]]+All_India_Index_Upto_April23__1___1[[#This Row],[Recreation and amusement]]</f>
        <v>690.09999999999991</v>
      </c>
      <c r="AM34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4360.0709677419354</v>
      </c>
    </row>
    <row r="348" spans="1:39" hidden="1" x14ac:dyDescent="0.3">
      <c r="A348" t="s">
        <v>32</v>
      </c>
      <c r="B348">
        <v>2022</v>
      </c>
      <c r="C348" t="s">
        <v>41</v>
      </c>
      <c r="D348" t="str">
        <f t="shared" si="5"/>
        <v>Sep-22</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c r="AF348" s="12">
        <f>AVERAGE(All_India_Index_Upto_April23__1___1[[#This Row],[Cereals and products]:[Pan, tobacco and intoxicants]])</f>
        <v>179.00714285714284</v>
      </c>
      <c r="AG348" s="12">
        <f>AVERAGE(All_India_Index_Upto_April23__1___1[[#This Row],[Household goods and services]],All_India_Index_Upto_April23__1___1[[#This Row],[Housing]])</f>
        <v>167.25</v>
      </c>
      <c r="AH348" s="12">
        <f>AVERAGE(All_India_Index_Upto_April23__1___1[[#This Row],[Miscellaneous]],All_India_Index_Upto_April23__1___1[[#This Row],[Personal care and effects]],All_India_Index_Upto_April23__1___1[[#This Row],[Education]],All_India_Index_Upto_April23__1___1[[#This Row],[Recreation and amusement]])</f>
        <v>168.47500000000002</v>
      </c>
      <c r="AI348" s="12">
        <f>SUM(All_India_Index_Upto_April23__1___1[[#This Row],[Cereals and products]:[Pan, tobacco and intoxicants]])</f>
        <v>2506.1</v>
      </c>
      <c r="AJ348" s="12">
        <f>SUM(All_India_Index_Upto_April23__1___1[[#This Row],[Household goods and services]],All_India_Index_Upto_April23__1___1[[#This Row],[Housing]])</f>
        <v>334.5</v>
      </c>
      <c r="AK348" s="12">
        <f>All_India_Index_Upto_April23__1___1[[#This Row],[Clothing]]+All_India_Index_Upto_April23__1___1[[#This Row],[Footwear]]</f>
        <v>336.7</v>
      </c>
      <c r="AL348" s="12">
        <f>All_India_Index_Upto_April23__1___1[[#This Row],[Miscellaneous]]+All_India_Index_Upto_April23__1___1[[#This Row],[Personal care and effects]]+All_India_Index_Upto_April23__1___1[[#This Row],[Education]]+All_India_Index_Upto_April23__1___1[[#This Row],[Recreation and amusement]]</f>
        <v>673.90000000000009</v>
      </c>
      <c r="AM34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4362.3999999999996</v>
      </c>
    </row>
    <row r="349" spans="1:39" x14ac:dyDescent="0.3">
      <c r="A349" t="s">
        <v>33</v>
      </c>
      <c r="B349">
        <v>2022</v>
      </c>
      <c r="C349" t="s">
        <v>41</v>
      </c>
      <c r="D349" t="str">
        <f t="shared" si="5"/>
        <v>Sep-22</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s="12">
        <f>AVERAGE(All_India_Index_Upto_April23__1___1[[#This Row],[Cereals and products]:[Pan, tobacco and intoxicants]])</f>
        <v>176.91428571428574</v>
      </c>
      <c r="AG349" s="12">
        <f>AVERAGE(All_India_Index_Upto_April23__1___1[[#This Row],[Household goods and services]],All_India_Index_Upto_April23__1___1[[#This Row],[Housing]])</f>
        <v>169.5</v>
      </c>
      <c r="AH349" s="12">
        <f>AVERAGE(All_India_Index_Upto_April23__1___1[[#This Row],[Miscellaneous]],All_India_Index_Upto_April23__1___1[[#This Row],[Personal care and effects]],All_India_Index_Upto_April23__1___1[[#This Row],[Education]],All_India_Index_Upto_April23__1___1[[#This Row],[Recreation and amusement]])</f>
        <v>170.32500000000002</v>
      </c>
      <c r="AI349" s="12">
        <f>SUM(All_India_Index_Upto_April23__1___1[[#This Row],[Cereals and products]:[Pan, tobacco and intoxicants]])</f>
        <v>2476.8000000000002</v>
      </c>
      <c r="AJ349" s="12">
        <f>SUM(All_India_Index_Upto_April23__1___1[[#This Row],[Household goods and services]],All_India_Index_Upto_April23__1___1[[#This Row],[Housing]])</f>
        <v>339</v>
      </c>
      <c r="AK349" s="12">
        <f>All_India_Index_Upto_April23__1___1[[#This Row],[Clothing]]+All_India_Index_Upto_April23__1___1[[#This Row],[Footwear]]</f>
        <v>355.20000000000005</v>
      </c>
      <c r="AL349" s="12">
        <f>All_India_Index_Upto_April23__1___1[[#This Row],[Miscellaneous]]+All_India_Index_Upto_April23__1___1[[#This Row],[Personal care and effects]]+All_India_Index_Upto_April23__1___1[[#This Row],[Education]]+All_India_Index_Upto_April23__1___1[[#This Row],[Recreation and amusement]]</f>
        <v>681.30000000000007</v>
      </c>
      <c r="AM34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4371.9000000000005</v>
      </c>
    </row>
    <row r="350" spans="1:39" hidden="1" x14ac:dyDescent="0.3">
      <c r="A350" t="s">
        <v>30</v>
      </c>
      <c r="B350">
        <v>2022</v>
      </c>
      <c r="C350" t="s">
        <v>42</v>
      </c>
      <c r="D350" t="str">
        <f t="shared" si="5"/>
        <v>Oct-22</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s="12">
        <f>'Handle Missing Value Sheet only'!$F$5</f>
        <v>139.27096774193564</v>
      </c>
      <c r="W350">
        <v>180.8</v>
      </c>
      <c r="X350">
        <v>174.4</v>
      </c>
      <c r="Y350">
        <v>181.2</v>
      </c>
      <c r="Z350">
        <v>167.4</v>
      </c>
      <c r="AA350">
        <v>170.6</v>
      </c>
      <c r="AB350">
        <v>176.5</v>
      </c>
      <c r="AC350">
        <v>172</v>
      </c>
      <c r="AD350">
        <v>173.9</v>
      </c>
      <c r="AE350">
        <v>177.9</v>
      </c>
      <c r="AF350" s="12">
        <f>AVERAGE(All_India_Index_Upto_April23__1___1[[#This Row],[Cereals and products]:[Pan, tobacco and intoxicants]])</f>
        <v>177.1</v>
      </c>
      <c r="AG350" s="12">
        <f>AVERAGE(All_India_Index_Upto_April23__1___1[[#This Row],[Household goods and services]],All_India_Index_Upto_April23__1___1[[#This Row],[Housing]])</f>
        <v>156.83548387096783</v>
      </c>
      <c r="AH350" s="12">
        <f>AVERAGE(All_India_Index_Upto_April23__1___1[[#This Row],[Miscellaneous]],All_India_Index_Upto_April23__1___1[[#This Row],[Personal care and effects]],All_India_Index_Upto_April23__1___1[[#This Row],[Education]],All_India_Index_Upto_April23__1___1[[#This Row],[Recreation and amusement]])</f>
        <v>173.25</v>
      </c>
      <c r="AI350" s="12">
        <f>SUM(All_India_Index_Upto_April23__1___1[[#This Row],[Cereals and products]:[Pan, tobacco and intoxicants]])</f>
        <v>2479.4</v>
      </c>
      <c r="AJ350" s="12">
        <f>SUM(All_India_Index_Upto_April23__1___1[[#This Row],[Household goods and services]],All_India_Index_Upto_April23__1___1[[#This Row],[Housing]])</f>
        <v>313.67096774193567</v>
      </c>
      <c r="AK350" s="12">
        <f>All_India_Index_Upto_April23__1___1[[#This Row],[Clothing]]+All_India_Index_Upto_April23__1___1[[#This Row],[Footwear]]</f>
        <v>370.5</v>
      </c>
      <c r="AL350" s="12">
        <f>All_India_Index_Upto_April23__1___1[[#This Row],[Miscellaneous]]+All_India_Index_Upto_April23__1___1[[#This Row],[Personal care and effects]]+All_India_Index_Upto_April23__1___1[[#This Row],[Education]]+All_India_Index_Upto_April23__1___1[[#This Row],[Recreation and amusement]]</f>
        <v>693</v>
      </c>
      <c r="AM35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4385.970967741936</v>
      </c>
    </row>
    <row r="351" spans="1:39" hidden="1" x14ac:dyDescent="0.3">
      <c r="A351" t="s">
        <v>32</v>
      </c>
      <c r="B351">
        <v>2022</v>
      </c>
      <c r="C351" t="s">
        <v>42</v>
      </c>
      <c r="D351" t="str">
        <f t="shared" si="5"/>
        <v>Oct-22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c r="AF351" s="12">
        <f>AVERAGE(All_India_Index_Upto_April23__1___1[[#This Row],[Cereals and products]:[Pan, tobacco and intoxicants]])</f>
        <v>180.17142857142858</v>
      </c>
      <c r="AG351" s="12">
        <f>AVERAGE(All_India_Index_Upto_April23__1___1[[#This Row],[Household goods and services]],All_India_Index_Upto_April23__1___1[[#This Row],[Housing]])</f>
        <v>168.6</v>
      </c>
      <c r="AH351" s="12">
        <f>AVERAGE(All_India_Index_Upto_April23__1___1[[#This Row],[Miscellaneous]],All_India_Index_Upto_April23__1___1[[#This Row],[Personal care and effects]],All_India_Index_Upto_April23__1___1[[#This Row],[Education]],All_India_Index_Upto_April23__1___1[[#This Row],[Recreation and amusement]])</f>
        <v>169.15</v>
      </c>
      <c r="AI351" s="12">
        <f>SUM(All_India_Index_Upto_April23__1___1[[#This Row],[Cereals and products]:[Pan, tobacco and intoxicants]])</f>
        <v>2522.4</v>
      </c>
      <c r="AJ351" s="12">
        <f>SUM(All_India_Index_Upto_April23__1___1[[#This Row],[Household goods and services]],All_India_Index_Upto_April23__1___1[[#This Row],[Housing]])</f>
        <v>337.2</v>
      </c>
      <c r="AK351" s="12">
        <f>All_India_Index_Upto_April23__1___1[[#This Row],[Clothing]]+All_India_Index_Upto_April23__1___1[[#This Row],[Footwear]]</f>
        <v>338.1</v>
      </c>
      <c r="AL351" s="12">
        <f>All_India_Index_Upto_April23__1___1[[#This Row],[Miscellaneous]]+All_India_Index_Upto_April23__1___1[[#This Row],[Personal care and effects]]+All_India_Index_Upto_April23__1___1[[#This Row],[Education]]+All_India_Index_Upto_April23__1___1[[#This Row],[Recreation and amusement]]</f>
        <v>676.6</v>
      </c>
      <c r="AM35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4387.8</v>
      </c>
    </row>
    <row r="352" spans="1:39" x14ac:dyDescent="0.3">
      <c r="A352" t="s">
        <v>33</v>
      </c>
      <c r="B352">
        <v>2022</v>
      </c>
      <c r="C352" t="s">
        <v>42</v>
      </c>
      <c r="D352" t="str">
        <f t="shared" si="5"/>
        <v>Oct-22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c r="AF352" s="12">
        <f>AVERAGE(All_India_Index_Upto_April23__1___1[[#This Row],[Cereals and products]:[Pan, tobacco and intoxicants]])</f>
        <v>178.11428571428573</v>
      </c>
      <c r="AG352" s="12">
        <f>AVERAGE(All_India_Index_Upto_April23__1___1[[#This Row],[Household goods and services]],All_India_Index_Upto_April23__1___1[[#This Row],[Housing]])</f>
        <v>170.8</v>
      </c>
      <c r="AH352" s="12">
        <f>AVERAGE(All_India_Index_Upto_April23__1___1[[#This Row],[Miscellaneous]],All_India_Index_Upto_April23__1___1[[#This Row],[Personal care and effects]],All_India_Index_Upto_April23__1___1[[#This Row],[Education]],All_India_Index_Upto_April23__1___1[[#This Row],[Recreation and amusement]])</f>
        <v>171.05</v>
      </c>
      <c r="AI352" s="12">
        <f>SUM(All_India_Index_Upto_April23__1___1[[#This Row],[Cereals and products]:[Pan, tobacco and intoxicants]])</f>
        <v>2493.6000000000004</v>
      </c>
      <c r="AJ352" s="12">
        <f>SUM(All_India_Index_Upto_April23__1___1[[#This Row],[Household goods and services]],All_India_Index_Upto_April23__1___1[[#This Row],[Housing]])</f>
        <v>341.6</v>
      </c>
      <c r="AK352" s="12">
        <f>All_India_Index_Upto_April23__1___1[[#This Row],[Clothing]]+All_India_Index_Upto_April23__1___1[[#This Row],[Footwear]]</f>
        <v>357.20000000000005</v>
      </c>
      <c r="AL352" s="12">
        <f>All_India_Index_Upto_April23__1___1[[#This Row],[Miscellaneous]]+All_India_Index_Upto_April23__1___1[[#This Row],[Personal care and effects]]+All_India_Index_Upto_April23__1___1[[#This Row],[Education]]+All_India_Index_Upto_April23__1___1[[#This Row],[Recreation and amusement]]</f>
        <v>684.2</v>
      </c>
      <c r="AM35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4398.7000000000007</v>
      </c>
    </row>
    <row r="353" spans="1:39" hidden="1" x14ac:dyDescent="0.3">
      <c r="A353" t="s">
        <v>30</v>
      </c>
      <c r="B353">
        <v>2022</v>
      </c>
      <c r="C353" t="s">
        <v>44</v>
      </c>
      <c r="D353" t="str">
        <f t="shared" si="5"/>
        <v>Nov-22</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s="12">
        <f>'Handle Missing Value Sheet only'!$F$5</f>
        <v>139.27096774193564</v>
      </c>
      <c r="W353">
        <v>181.9</v>
      </c>
      <c r="X353">
        <v>175.5</v>
      </c>
      <c r="Y353">
        <v>182.3</v>
      </c>
      <c r="Z353">
        <v>167.5</v>
      </c>
      <c r="AA353">
        <v>170.8</v>
      </c>
      <c r="AB353">
        <v>176.9</v>
      </c>
      <c r="AC353">
        <v>173.4</v>
      </c>
      <c r="AD353">
        <v>174.6</v>
      </c>
      <c r="AE353">
        <v>177.8</v>
      </c>
      <c r="AF353" s="12">
        <f>AVERAGE(All_India_Index_Upto_April23__1___1[[#This Row],[Cereals and products]:[Pan, tobacco and intoxicants]])</f>
        <v>177.37142857142857</v>
      </c>
      <c r="AG353" s="12">
        <f>AVERAGE(All_India_Index_Upto_April23__1___1[[#This Row],[Household goods and services]],All_India_Index_Upto_April23__1___1[[#This Row],[Housing]])</f>
        <v>157.38548387096782</v>
      </c>
      <c r="AH353" s="12">
        <f>AVERAGE(All_India_Index_Upto_April23__1___1[[#This Row],[Miscellaneous]],All_India_Index_Upto_April23__1___1[[#This Row],[Personal care and effects]],All_India_Index_Upto_April23__1___1[[#This Row],[Education]],All_India_Index_Upto_April23__1___1[[#This Row],[Recreation and amusement]])</f>
        <v>173.92500000000001</v>
      </c>
      <c r="AI353" s="12">
        <f>SUM(All_India_Index_Upto_April23__1___1[[#This Row],[Cereals and products]:[Pan, tobacco and intoxicants]])</f>
        <v>2483.1999999999998</v>
      </c>
      <c r="AJ353" s="12">
        <f>SUM(All_India_Index_Upto_April23__1___1[[#This Row],[Household goods and services]],All_India_Index_Upto_April23__1___1[[#This Row],[Housing]])</f>
        <v>314.77096774193564</v>
      </c>
      <c r="AK353" s="12">
        <f>All_India_Index_Upto_April23__1___1[[#This Row],[Clothing]]+All_India_Index_Upto_April23__1___1[[#This Row],[Footwear]]</f>
        <v>372.4</v>
      </c>
      <c r="AL353" s="12">
        <f>All_India_Index_Upto_April23__1___1[[#This Row],[Miscellaneous]]+All_India_Index_Upto_April23__1___1[[#This Row],[Personal care and effects]]+All_India_Index_Upto_April23__1___1[[#This Row],[Education]]+All_India_Index_Upto_April23__1___1[[#This Row],[Recreation and amusement]]</f>
        <v>695.7</v>
      </c>
      <c r="AM35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4397.7709677419352</v>
      </c>
    </row>
    <row r="354" spans="1:39" hidden="1" x14ac:dyDescent="0.3">
      <c r="A354" t="s">
        <v>32</v>
      </c>
      <c r="B354">
        <v>2022</v>
      </c>
      <c r="C354" t="s">
        <v>44</v>
      </c>
      <c r="D354" t="str">
        <f t="shared" si="5"/>
        <v>Nov-22</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c r="AF354" s="12">
        <f>AVERAGE(All_India_Index_Upto_April23__1___1[[#This Row],[Cereals and products]:[Pan, tobacco and intoxicants]])</f>
        <v>179.64285714285714</v>
      </c>
      <c r="AG354" s="12">
        <f>AVERAGE(All_India_Index_Upto_April23__1___1[[#This Row],[Household goods and services]],All_India_Index_Upto_April23__1___1[[#This Row],[Housing]])</f>
        <v>169.35000000000002</v>
      </c>
      <c r="AH354" s="12">
        <f>AVERAGE(All_India_Index_Upto_April23__1___1[[#This Row],[Miscellaneous]],All_India_Index_Upto_April23__1___1[[#This Row],[Personal care and effects]],All_India_Index_Upto_April23__1___1[[#This Row],[Education]],All_India_Index_Upto_April23__1___1[[#This Row],[Recreation and amusement]])</f>
        <v>169.85000000000002</v>
      </c>
      <c r="AI354" s="12">
        <f>SUM(All_India_Index_Upto_April23__1___1[[#This Row],[Cereals and products]:[Pan, tobacco and intoxicants]])</f>
        <v>2515</v>
      </c>
      <c r="AJ354" s="12">
        <f>SUM(All_India_Index_Upto_April23__1___1[[#This Row],[Household goods and services]],All_India_Index_Upto_April23__1___1[[#This Row],[Housing]])</f>
        <v>338.70000000000005</v>
      </c>
      <c r="AK354" s="12">
        <f>All_India_Index_Upto_April23__1___1[[#This Row],[Clothing]]+All_India_Index_Upto_April23__1___1[[#This Row],[Footwear]]</f>
        <v>340.2</v>
      </c>
      <c r="AL354" s="12">
        <f>All_India_Index_Upto_April23__1___1[[#This Row],[Miscellaneous]]+All_India_Index_Upto_April23__1___1[[#This Row],[Personal care and effects]]+All_India_Index_Upto_April23__1___1[[#This Row],[Education]]+All_India_Index_Upto_April23__1___1[[#This Row],[Recreation and amusement]]</f>
        <v>679.40000000000009</v>
      </c>
      <c r="AM35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4388.3</v>
      </c>
    </row>
    <row r="355" spans="1:39" x14ac:dyDescent="0.3">
      <c r="A355" t="s">
        <v>33</v>
      </c>
      <c r="B355">
        <v>2022</v>
      </c>
      <c r="C355" t="s">
        <v>44</v>
      </c>
      <c r="D355" t="str">
        <f t="shared" si="5"/>
        <v>Nov-22</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c r="AF355" s="12">
        <f>AVERAGE(All_India_Index_Upto_April23__1___1[[#This Row],[Cereals and products]:[Pan, tobacco and intoxicants]])</f>
        <v>178.12142857142859</v>
      </c>
      <c r="AG355" s="12">
        <f>AVERAGE(All_India_Index_Upto_April23__1___1[[#This Row],[Household goods and services]],All_India_Index_Upto_April23__1___1[[#This Row],[Housing]])</f>
        <v>171.60000000000002</v>
      </c>
      <c r="AH355" s="12">
        <f>AVERAGE(All_India_Index_Upto_April23__1___1[[#This Row],[Miscellaneous]],All_India_Index_Upto_April23__1___1[[#This Row],[Personal care and effects]],All_India_Index_Upto_April23__1___1[[#This Row],[Education]],All_India_Index_Upto_April23__1___1[[#This Row],[Recreation and amusement]])</f>
        <v>171.72499999999999</v>
      </c>
      <c r="AI355" s="12">
        <f>SUM(All_India_Index_Upto_April23__1___1[[#This Row],[Cereals and products]:[Pan, tobacco and intoxicants]])</f>
        <v>2493.7000000000003</v>
      </c>
      <c r="AJ355" s="12">
        <f>SUM(All_India_Index_Upto_April23__1___1[[#This Row],[Household goods and services]],All_India_Index_Upto_April23__1___1[[#This Row],[Housing]])</f>
        <v>343.20000000000005</v>
      </c>
      <c r="AK355" s="12">
        <f>All_India_Index_Upto_April23__1___1[[#This Row],[Clothing]]+All_India_Index_Upto_April23__1___1[[#This Row],[Footwear]]</f>
        <v>359.29999999999995</v>
      </c>
      <c r="AL355" s="12">
        <f>All_India_Index_Upto_April23__1___1[[#This Row],[Miscellaneous]]+All_India_Index_Upto_April23__1___1[[#This Row],[Personal care and effects]]+All_India_Index_Upto_April23__1___1[[#This Row],[Education]]+All_India_Index_Upto_April23__1___1[[#This Row],[Recreation and amusement]]</f>
        <v>686.9</v>
      </c>
      <c r="AM35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4407.2000000000007</v>
      </c>
    </row>
    <row r="356" spans="1:39" hidden="1" x14ac:dyDescent="0.3">
      <c r="A356" t="s">
        <v>30</v>
      </c>
      <c r="B356">
        <v>2022</v>
      </c>
      <c r="C356" t="s">
        <v>45</v>
      </c>
      <c r="D356" t="str">
        <f t="shared" si="5"/>
        <v>Dec-22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s="12">
        <f>'Handle Missing Value Sheet only'!$F$5</f>
        <v>139.27096774193564</v>
      </c>
      <c r="W356">
        <v>182.8</v>
      </c>
      <c r="X356">
        <v>176.4</v>
      </c>
      <c r="Y356">
        <v>183.5</v>
      </c>
      <c r="Z356">
        <v>167.8</v>
      </c>
      <c r="AA356">
        <v>171.2</v>
      </c>
      <c r="AB356">
        <v>177.3</v>
      </c>
      <c r="AC356">
        <v>175.7</v>
      </c>
      <c r="AD356">
        <v>175.5</v>
      </c>
      <c r="AE356">
        <v>177.1</v>
      </c>
      <c r="AF356" s="12">
        <f>AVERAGE(All_India_Index_Upto_April23__1___1[[#This Row],[Cereals and products]:[Pan, tobacco and intoxicants]])</f>
        <v>176.64285714285714</v>
      </c>
      <c r="AG356" s="12">
        <f>AVERAGE(All_India_Index_Upto_April23__1___1[[#This Row],[Household goods and services]],All_India_Index_Upto_April23__1___1[[#This Row],[Housing]])</f>
        <v>157.83548387096783</v>
      </c>
      <c r="AH356" s="12">
        <f>AVERAGE(All_India_Index_Upto_April23__1___1[[#This Row],[Miscellaneous]],All_India_Index_Upto_April23__1___1[[#This Row],[Personal care and effects]],All_India_Index_Upto_April23__1___1[[#This Row],[Education]],All_India_Index_Upto_April23__1___1[[#This Row],[Recreation and amusement]])</f>
        <v>174.92500000000001</v>
      </c>
      <c r="AI356" s="12">
        <f>SUM(All_India_Index_Upto_April23__1___1[[#This Row],[Cereals and products]:[Pan, tobacco and intoxicants]])</f>
        <v>2473</v>
      </c>
      <c r="AJ356" s="12">
        <f>SUM(All_India_Index_Upto_April23__1___1[[#This Row],[Household goods and services]],All_India_Index_Upto_April23__1___1[[#This Row],[Housing]])</f>
        <v>315.67096774193567</v>
      </c>
      <c r="AK356" s="12">
        <f>All_India_Index_Upto_April23__1___1[[#This Row],[Clothing]]+All_India_Index_Upto_April23__1___1[[#This Row],[Footwear]]</f>
        <v>374</v>
      </c>
      <c r="AL356" s="12">
        <f>All_India_Index_Upto_April23__1___1[[#This Row],[Miscellaneous]]+All_India_Index_Upto_April23__1___1[[#This Row],[Personal care and effects]]+All_India_Index_Upto_April23__1___1[[#This Row],[Education]]+All_India_Index_Upto_April23__1___1[[#This Row],[Recreation and amusement]]</f>
        <v>699.7</v>
      </c>
      <c r="AM35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4396.470967741936</v>
      </c>
    </row>
    <row r="357" spans="1:39" hidden="1" x14ac:dyDescent="0.3">
      <c r="A357" t="s">
        <v>32</v>
      </c>
      <c r="B357">
        <v>2022</v>
      </c>
      <c r="C357" t="s">
        <v>45</v>
      </c>
      <c r="D357" t="str">
        <f t="shared" si="5"/>
        <v>Dec-22</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c r="AF357" s="12">
        <f>AVERAGE(All_India_Index_Upto_April23__1___1[[#This Row],[Cereals and products]:[Pan, tobacco and intoxicants]])</f>
        <v>178.34999999999997</v>
      </c>
      <c r="AG357" s="12">
        <f>AVERAGE(All_India_Index_Upto_April23__1___1[[#This Row],[Household goods and services]],All_India_Index_Upto_April23__1___1[[#This Row],[Housing]])</f>
        <v>169</v>
      </c>
      <c r="AH357" s="12">
        <f>AVERAGE(All_India_Index_Upto_April23__1___1[[#This Row],[Miscellaneous]],All_India_Index_Upto_April23__1___1[[#This Row],[Personal care and effects]],All_India_Index_Upto_April23__1___1[[#This Row],[Education]],All_India_Index_Upto_April23__1___1[[#This Row],[Recreation and amusement]])</f>
        <v>170.77500000000001</v>
      </c>
      <c r="AI357" s="12">
        <f>SUM(All_India_Index_Upto_April23__1___1[[#This Row],[Cereals and products]:[Pan, tobacco and intoxicants]])</f>
        <v>2496.8999999999996</v>
      </c>
      <c r="AJ357" s="12">
        <f>SUM(All_India_Index_Upto_April23__1___1[[#This Row],[Household goods and services]],All_India_Index_Upto_April23__1___1[[#This Row],[Housing]])</f>
        <v>338</v>
      </c>
      <c r="AK357" s="12">
        <f>All_India_Index_Upto_April23__1___1[[#This Row],[Clothing]]+All_India_Index_Upto_April23__1___1[[#This Row],[Footwear]]</f>
        <v>342.2</v>
      </c>
      <c r="AL357" s="12">
        <f>All_India_Index_Upto_April23__1___1[[#This Row],[Miscellaneous]]+All_India_Index_Upto_April23__1___1[[#This Row],[Personal care and effects]]+All_India_Index_Upto_April23__1___1[[#This Row],[Education]]+All_India_Index_Upto_April23__1___1[[#This Row],[Recreation and amusement]]</f>
        <v>683.1</v>
      </c>
      <c r="AM35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4377.4000000000005</v>
      </c>
    </row>
    <row r="358" spans="1:39" x14ac:dyDescent="0.3">
      <c r="A358" t="s">
        <v>33</v>
      </c>
      <c r="B358">
        <v>2022</v>
      </c>
      <c r="C358" t="s">
        <v>45</v>
      </c>
      <c r="D358" t="str">
        <f t="shared" si="5"/>
        <v>Dec-22</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c r="AF358" s="12">
        <f>AVERAGE(All_India_Index_Upto_April23__1___1[[#This Row],[Cereals and products]:[Pan, tobacco and intoxicants]])</f>
        <v>177.19285714285715</v>
      </c>
      <c r="AG358" s="12">
        <f>AVERAGE(All_India_Index_Upto_April23__1___1[[#This Row],[Household goods and services]],All_India_Index_Upto_April23__1___1[[#This Row],[Housing]])</f>
        <v>171.39999999999998</v>
      </c>
      <c r="AH358" s="12">
        <f>AVERAGE(All_India_Index_Upto_April23__1___1[[#This Row],[Miscellaneous]],All_India_Index_Upto_April23__1___1[[#This Row],[Personal care and effects]],All_India_Index_Upto_April23__1___1[[#This Row],[Education]],All_India_Index_Upto_April23__1___1[[#This Row],[Recreation and amusement]])</f>
        <v>172.7</v>
      </c>
      <c r="AI358" s="12">
        <f>SUM(All_India_Index_Upto_April23__1___1[[#This Row],[Cereals and products]:[Pan, tobacco and intoxicants]])</f>
        <v>2480.7000000000003</v>
      </c>
      <c r="AJ358" s="12">
        <f>SUM(All_India_Index_Upto_April23__1___1[[#This Row],[Household goods and services]],All_India_Index_Upto_April23__1___1[[#This Row],[Housing]])</f>
        <v>342.79999999999995</v>
      </c>
      <c r="AK358" s="12">
        <f>All_India_Index_Upto_April23__1___1[[#This Row],[Clothing]]+All_India_Index_Upto_April23__1___1[[#This Row],[Footwear]]</f>
        <v>361</v>
      </c>
      <c r="AL358" s="12">
        <f>All_India_Index_Upto_April23__1___1[[#This Row],[Miscellaneous]]+All_India_Index_Upto_April23__1___1[[#This Row],[Personal care and effects]]+All_India_Index_Upto_April23__1___1[[#This Row],[Education]]+All_India_Index_Upto_April23__1___1[[#This Row],[Recreation and amusement]]</f>
        <v>690.8</v>
      </c>
      <c r="AM35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4401.8</v>
      </c>
    </row>
    <row r="359" spans="1:39" hidden="1" x14ac:dyDescent="0.3">
      <c r="A359" t="s">
        <v>30</v>
      </c>
      <c r="B359">
        <v>2023</v>
      </c>
      <c r="C359" t="s">
        <v>31</v>
      </c>
      <c r="D359" t="str">
        <f t="shared" si="5"/>
        <v>Jan-23</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s="12">
        <f>'Handle Missing Value Sheet only'!$F$5</f>
        <v>139.27096774193564</v>
      </c>
      <c r="W359">
        <v>183.2</v>
      </c>
      <c r="X359">
        <v>177.2</v>
      </c>
      <c r="Y359">
        <v>184.7</v>
      </c>
      <c r="Z359">
        <v>168.2</v>
      </c>
      <c r="AA359">
        <v>171.8</v>
      </c>
      <c r="AB359">
        <v>177.8</v>
      </c>
      <c r="AC359">
        <v>178.4</v>
      </c>
      <c r="AD359">
        <v>176.5</v>
      </c>
      <c r="AE359">
        <v>177.8</v>
      </c>
      <c r="AF359" s="12">
        <f>AVERAGE(All_India_Index_Upto_April23__1___1[[#This Row],[Cereals and products]:[Pan, tobacco and intoxicants]])</f>
        <v>177.15000000000003</v>
      </c>
      <c r="AG359" s="12">
        <f>AVERAGE(All_India_Index_Upto_April23__1___1[[#This Row],[Household goods and services]],All_India_Index_Upto_April23__1___1[[#This Row],[Housing]])</f>
        <v>158.23548387096781</v>
      </c>
      <c r="AH359" s="12">
        <f>AVERAGE(All_India_Index_Upto_April23__1___1[[#This Row],[Miscellaneous]],All_India_Index_Upto_April23__1___1[[#This Row],[Personal care and effects]],All_India_Index_Upto_April23__1___1[[#This Row],[Education]],All_India_Index_Upto_April23__1___1[[#This Row],[Recreation and amusement]])</f>
        <v>176.125</v>
      </c>
      <c r="AI359" s="12">
        <f>SUM(All_India_Index_Upto_April23__1___1[[#This Row],[Cereals and products]:[Pan, tobacco and intoxicants]])</f>
        <v>2480.1000000000004</v>
      </c>
      <c r="AJ359" s="12">
        <f>SUM(All_India_Index_Upto_April23__1___1[[#This Row],[Household goods and services]],All_India_Index_Upto_April23__1___1[[#This Row],[Housing]])</f>
        <v>316.47096774193562</v>
      </c>
      <c r="AK359" s="12">
        <f>All_India_Index_Upto_April23__1___1[[#This Row],[Clothing]]+All_India_Index_Upto_April23__1___1[[#This Row],[Footwear]]</f>
        <v>375.3</v>
      </c>
      <c r="AL359" s="12">
        <f>All_India_Index_Upto_April23__1___1[[#This Row],[Miscellaneous]]+All_India_Index_Upto_April23__1___1[[#This Row],[Personal care and effects]]+All_India_Index_Upto_April23__1___1[[#This Row],[Education]]+All_India_Index_Upto_April23__1___1[[#This Row],[Recreation and amusement]]</f>
        <v>704.5</v>
      </c>
      <c r="AM35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4412.470967741936</v>
      </c>
    </row>
    <row r="360" spans="1:39" hidden="1" x14ac:dyDescent="0.3">
      <c r="A360" t="s">
        <v>32</v>
      </c>
      <c r="B360">
        <v>2023</v>
      </c>
      <c r="C360" t="s">
        <v>31</v>
      </c>
      <c r="D360" t="str">
        <f t="shared" si="5"/>
        <v>Jan-23</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c r="AF360" s="12">
        <f>AVERAGE(All_India_Index_Upto_April23__1___1[[#This Row],[Cereals and products]:[Pan, tobacco and intoxicants]])</f>
        <v>179.41428571428574</v>
      </c>
      <c r="AG360" s="12">
        <f>AVERAGE(All_India_Index_Upto_April23__1___1[[#This Row],[Household goods and services]],All_India_Index_Upto_April23__1___1[[#This Row],[Housing]])</f>
        <v>170.05</v>
      </c>
      <c r="AH360" s="12">
        <f>AVERAGE(All_India_Index_Upto_April23__1___1[[#This Row],[Miscellaneous]],All_India_Index_Upto_April23__1___1[[#This Row],[Personal care and effects]],All_India_Index_Upto_April23__1___1[[#This Row],[Education]],All_India_Index_Upto_April23__1___1[[#This Row],[Recreation and amusement]])</f>
        <v>171.82499999999999</v>
      </c>
      <c r="AI360" s="12">
        <f>SUM(All_India_Index_Upto_April23__1___1[[#This Row],[Cereals and products]:[Pan, tobacco and intoxicants]])</f>
        <v>2511.8000000000002</v>
      </c>
      <c r="AJ360" s="12">
        <f>SUM(All_India_Index_Upto_April23__1___1[[#This Row],[Household goods and services]],All_India_Index_Upto_April23__1___1[[#This Row],[Housing]])</f>
        <v>340.1</v>
      </c>
      <c r="AK360" s="12">
        <f>All_India_Index_Upto_April23__1___1[[#This Row],[Clothing]]+All_India_Index_Upto_April23__1___1[[#This Row],[Footwear]]</f>
        <v>344</v>
      </c>
      <c r="AL360" s="12">
        <f>All_India_Index_Upto_April23__1___1[[#This Row],[Miscellaneous]]+All_India_Index_Upto_April23__1___1[[#This Row],[Personal care and effects]]+All_India_Index_Upto_April23__1___1[[#This Row],[Education]]+All_India_Index_Upto_April23__1___1[[#This Row],[Recreation and amusement]]</f>
        <v>687.3</v>
      </c>
      <c r="AM36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4401.3000000000011</v>
      </c>
    </row>
    <row r="361" spans="1:39" x14ac:dyDescent="0.3">
      <c r="A361" t="s">
        <v>33</v>
      </c>
      <c r="B361">
        <v>2023</v>
      </c>
      <c r="C361" t="s">
        <v>31</v>
      </c>
      <c r="D361" t="str">
        <f t="shared" si="5"/>
        <v>Jan-23</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c r="AF361" s="12">
        <f>AVERAGE(All_India_Index_Upto_April23__1___1[[#This Row],[Cereals and products]:[Pan, tobacco and intoxicants]])</f>
        <v>177.92142857142855</v>
      </c>
      <c r="AG361" s="12">
        <f>AVERAGE(All_India_Index_Upto_April23__1___1[[#This Row],[Household goods and services]],All_India_Index_Upto_April23__1___1[[#This Row],[Housing]])</f>
        <v>172.5</v>
      </c>
      <c r="AH361" s="12">
        <f>AVERAGE(All_India_Index_Upto_April23__1___1[[#This Row],[Miscellaneous]],All_India_Index_Upto_April23__1___1[[#This Row],[Personal care and effects]],All_India_Index_Upto_April23__1___1[[#This Row],[Education]],All_India_Index_Upto_April23__1___1[[#This Row],[Recreation and amusement]])</f>
        <v>173.8</v>
      </c>
      <c r="AI361" s="12">
        <f>SUM(All_India_Index_Upto_April23__1___1[[#This Row],[Cereals and products]:[Pan, tobacco and intoxicants]])</f>
        <v>2490.8999999999996</v>
      </c>
      <c r="AJ361" s="12">
        <f>SUM(All_India_Index_Upto_April23__1___1[[#This Row],[Household goods and services]],All_India_Index_Upto_April23__1___1[[#This Row],[Housing]])</f>
        <v>345</v>
      </c>
      <c r="AK361" s="12">
        <f>All_India_Index_Upto_April23__1___1[[#This Row],[Clothing]]+All_India_Index_Upto_April23__1___1[[#This Row],[Footwear]]</f>
        <v>362.5</v>
      </c>
      <c r="AL361" s="12">
        <f>All_India_Index_Upto_April23__1___1[[#This Row],[Miscellaneous]]+All_India_Index_Upto_April23__1___1[[#This Row],[Personal care and effects]]+All_India_Index_Upto_April23__1___1[[#This Row],[Education]]+All_India_Index_Upto_April23__1___1[[#This Row],[Recreation and amusement]]</f>
        <v>695.2</v>
      </c>
      <c r="AM36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4421.4999999999991</v>
      </c>
    </row>
    <row r="362" spans="1:39" hidden="1" x14ac:dyDescent="0.3">
      <c r="A362" t="s">
        <v>30</v>
      </c>
      <c r="B362">
        <v>2023</v>
      </c>
      <c r="C362" t="s">
        <v>34</v>
      </c>
      <c r="D362" t="str">
        <f t="shared" si="5"/>
        <v>Feb-23</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s="12">
        <f>'Handle Missing Value Sheet only'!$F$5</f>
        <v>139.27096774193564</v>
      </c>
      <c r="W362">
        <v>181.6</v>
      </c>
      <c r="X362">
        <v>178.6</v>
      </c>
      <c r="Y362">
        <v>186.6</v>
      </c>
      <c r="Z362">
        <v>169</v>
      </c>
      <c r="AA362">
        <v>172.8</v>
      </c>
      <c r="AB362">
        <v>178.5</v>
      </c>
      <c r="AC362">
        <v>180.7</v>
      </c>
      <c r="AD362">
        <v>177.9</v>
      </c>
      <c r="AE362">
        <v>178</v>
      </c>
      <c r="AF362" s="12">
        <f>AVERAGE(All_India_Index_Upto_April23__1___1[[#This Row],[Cereals and products]:[Pan, tobacco and intoxicants]])</f>
        <v>176</v>
      </c>
      <c r="AG362" s="12">
        <f>AVERAGE(All_India_Index_Upto_April23__1___1[[#This Row],[Household goods and services]],All_India_Index_Upto_April23__1___1[[#This Row],[Housing]])</f>
        <v>158.9354838709678</v>
      </c>
      <c r="AH362" s="12">
        <f>AVERAGE(All_India_Index_Upto_April23__1___1[[#This Row],[Miscellaneous]],All_India_Index_Upto_April23__1___1[[#This Row],[Personal care and effects]],All_India_Index_Upto_April23__1___1[[#This Row],[Education]],All_India_Index_Upto_April23__1___1[[#This Row],[Recreation and amusement]])</f>
        <v>177.47500000000002</v>
      </c>
      <c r="AI362" s="12">
        <f>SUM(All_India_Index_Upto_April23__1___1[[#This Row],[Cereals and products]:[Pan, tobacco and intoxicants]])</f>
        <v>2464</v>
      </c>
      <c r="AJ362" s="12">
        <f>SUM(All_India_Index_Upto_April23__1___1[[#This Row],[Household goods and services]],All_India_Index_Upto_April23__1___1[[#This Row],[Housing]])</f>
        <v>317.8709677419356</v>
      </c>
      <c r="AK362" s="12">
        <f>All_India_Index_Upto_April23__1___1[[#This Row],[Clothing]]+All_India_Index_Upto_April23__1___1[[#This Row],[Footwear]]</f>
        <v>377</v>
      </c>
      <c r="AL362" s="12">
        <f>All_India_Index_Upto_April23__1___1[[#This Row],[Miscellaneous]]+All_India_Index_Upto_April23__1___1[[#This Row],[Personal care and effects]]+All_India_Index_Upto_April23__1___1[[#This Row],[Education]]+All_India_Index_Upto_April23__1___1[[#This Row],[Recreation and amusement]]</f>
        <v>709.90000000000009</v>
      </c>
      <c r="AM36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4405.970967741936</v>
      </c>
    </row>
    <row r="363" spans="1:39" hidden="1" x14ac:dyDescent="0.3">
      <c r="A363" t="s">
        <v>32</v>
      </c>
      <c r="B363">
        <v>2023</v>
      </c>
      <c r="C363" t="s">
        <v>34</v>
      </c>
      <c r="D363" t="str">
        <f t="shared" si="5"/>
        <v>Feb-23</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c r="AF363" s="12">
        <f>AVERAGE(All_India_Index_Upto_April23__1___1[[#This Row],[Cereals and products]:[Pan, tobacco and intoxicants]])</f>
        <v>178.9928571428571</v>
      </c>
      <c r="AG363" s="12">
        <f>AVERAGE(All_India_Index_Upto_April23__1___1[[#This Row],[Household goods and services]],All_India_Index_Upto_April23__1___1[[#This Row],[Housing]])</f>
        <v>171.35</v>
      </c>
      <c r="AH363" s="12">
        <f>AVERAGE(All_India_Index_Upto_April23__1___1[[#This Row],[Miscellaneous]],All_India_Index_Upto_April23__1___1[[#This Row],[Personal care and effects]],All_India_Index_Upto_April23__1___1[[#This Row],[Education]],All_India_Index_Upto_April23__1___1[[#This Row],[Recreation and amusement]])</f>
        <v>173.07499999999999</v>
      </c>
      <c r="AI363" s="12">
        <f>SUM(All_India_Index_Upto_April23__1___1[[#This Row],[Cereals and products]:[Pan, tobacco and intoxicants]])</f>
        <v>2505.8999999999996</v>
      </c>
      <c r="AJ363" s="12">
        <f>SUM(All_India_Index_Upto_April23__1___1[[#This Row],[Household goods and services]],All_India_Index_Upto_April23__1___1[[#This Row],[Housing]])</f>
        <v>342.7</v>
      </c>
      <c r="AK363" s="12">
        <f>All_India_Index_Upto_April23__1___1[[#This Row],[Clothing]]+All_India_Index_Upto_April23__1___1[[#This Row],[Footwear]]</f>
        <v>347.3</v>
      </c>
      <c r="AL363" s="12">
        <f>All_India_Index_Upto_April23__1___1[[#This Row],[Miscellaneous]]+All_India_Index_Upto_April23__1___1[[#This Row],[Personal care and effects]]+All_India_Index_Upto_April23__1___1[[#This Row],[Education]]+All_India_Index_Upto_April23__1___1[[#This Row],[Recreation and amusement]]</f>
        <v>692.3</v>
      </c>
      <c r="AM36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4411.6000000000004</v>
      </c>
    </row>
    <row r="364" spans="1:39" x14ac:dyDescent="0.3">
      <c r="A364" t="s">
        <v>33</v>
      </c>
      <c r="B364">
        <v>2023</v>
      </c>
      <c r="C364" t="s">
        <v>34</v>
      </c>
      <c r="D364" t="str">
        <f t="shared" si="5"/>
        <v>Feb-23</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c r="AF364" s="12">
        <f>AVERAGE(All_India_Index_Upto_April23__1___1[[#This Row],[Cereals and products]:[Pan, tobacco and intoxicants]])</f>
        <v>177.04285714285714</v>
      </c>
      <c r="AG364" s="12">
        <f>AVERAGE(All_India_Index_Upto_April23__1___1[[#This Row],[Household goods and services]],All_India_Index_Upto_April23__1___1[[#This Row],[Housing]])</f>
        <v>173.85</v>
      </c>
      <c r="AH364" s="12">
        <f>AVERAGE(All_India_Index_Upto_April23__1___1[[#This Row],[Miscellaneous]],All_India_Index_Upto_April23__1___1[[#This Row],[Personal care and effects]],All_India_Index_Upto_April23__1___1[[#This Row],[Education]],All_India_Index_Upto_April23__1___1[[#This Row],[Recreation and amusement]])</f>
        <v>175.10000000000002</v>
      </c>
      <c r="AI364" s="12">
        <f>SUM(All_India_Index_Upto_April23__1___1[[#This Row],[Cereals and products]:[Pan, tobacco and intoxicants]])</f>
        <v>2478.6</v>
      </c>
      <c r="AJ364" s="12">
        <f>SUM(All_India_Index_Upto_April23__1___1[[#This Row],[Household goods and services]],All_India_Index_Upto_April23__1___1[[#This Row],[Housing]])</f>
        <v>347.7</v>
      </c>
      <c r="AK364" s="12">
        <f>All_India_Index_Upto_April23__1___1[[#This Row],[Clothing]]+All_India_Index_Upto_April23__1___1[[#This Row],[Footwear]]</f>
        <v>364.9</v>
      </c>
      <c r="AL364" s="12">
        <f>All_India_Index_Upto_April23__1___1[[#This Row],[Miscellaneous]]+All_India_Index_Upto_April23__1___1[[#This Row],[Personal care and effects]]+All_India_Index_Upto_April23__1___1[[#This Row],[Education]]+All_India_Index_Upto_April23__1___1[[#This Row],[Recreation and amusement]]</f>
        <v>700.40000000000009</v>
      </c>
      <c r="AM364"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4422.3</v>
      </c>
    </row>
    <row r="365" spans="1:39" hidden="1" x14ac:dyDescent="0.3">
      <c r="A365" t="s">
        <v>30</v>
      </c>
      <c r="B365">
        <v>2023</v>
      </c>
      <c r="C365" t="s">
        <v>35</v>
      </c>
      <c r="D365" t="str">
        <f t="shared" si="5"/>
        <v>Mar-23</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s="12">
        <f>'Handle Missing Value Sheet only'!$F$5</f>
        <v>139.27096774193564</v>
      </c>
      <c r="W365">
        <v>181.4</v>
      </c>
      <c r="X365">
        <v>178.6</v>
      </c>
      <c r="Y365">
        <v>186.6</v>
      </c>
      <c r="Z365">
        <v>169</v>
      </c>
      <c r="AA365">
        <v>172.8</v>
      </c>
      <c r="AB365">
        <v>178.5</v>
      </c>
      <c r="AC365">
        <v>180.7</v>
      </c>
      <c r="AD365">
        <v>177.9</v>
      </c>
      <c r="AE365">
        <v>178</v>
      </c>
      <c r="AF365" s="12">
        <f>AVERAGE(All_India_Index_Upto_April23__1___1[[#This Row],[Cereals and products]:[Pan, tobacco and intoxicants]])</f>
        <v>176.01428571428573</v>
      </c>
      <c r="AG365" s="12">
        <f>AVERAGE(All_India_Index_Upto_April23__1___1[[#This Row],[Household goods and services]],All_India_Index_Upto_April23__1___1[[#This Row],[Housing]])</f>
        <v>158.9354838709678</v>
      </c>
      <c r="AH365" s="12">
        <f>AVERAGE(All_India_Index_Upto_April23__1___1[[#This Row],[Miscellaneous]],All_India_Index_Upto_April23__1___1[[#This Row],[Personal care and effects]],All_India_Index_Upto_April23__1___1[[#This Row],[Education]],All_India_Index_Upto_April23__1___1[[#This Row],[Recreation and amusement]])</f>
        <v>177.47500000000002</v>
      </c>
      <c r="AI365" s="12">
        <f>SUM(All_India_Index_Upto_April23__1___1[[#This Row],[Cereals and products]:[Pan, tobacco and intoxicants]])</f>
        <v>2464.2000000000003</v>
      </c>
      <c r="AJ365" s="12">
        <f>SUM(All_India_Index_Upto_April23__1___1[[#This Row],[Household goods and services]],All_India_Index_Upto_April23__1___1[[#This Row],[Housing]])</f>
        <v>317.8709677419356</v>
      </c>
      <c r="AK365" s="12">
        <f>All_India_Index_Upto_April23__1___1[[#This Row],[Clothing]]+All_India_Index_Upto_April23__1___1[[#This Row],[Footwear]]</f>
        <v>377</v>
      </c>
      <c r="AL365" s="12">
        <f>All_India_Index_Upto_April23__1___1[[#This Row],[Miscellaneous]]+All_India_Index_Upto_April23__1___1[[#This Row],[Personal care and effects]]+All_India_Index_Upto_April23__1___1[[#This Row],[Education]]+All_India_Index_Upto_April23__1___1[[#This Row],[Recreation and amusement]]</f>
        <v>709.90000000000009</v>
      </c>
      <c r="AM365"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4405.970967741936</v>
      </c>
    </row>
    <row r="366" spans="1:39" hidden="1" x14ac:dyDescent="0.3">
      <c r="A366" t="s">
        <v>32</v>
      </c>
      <c r="B366">
        <v>2023</v>
      </c>
      <c r="C366" t="s">
        <v>35</v>
      </c>
      <c r="D366" t="str">
        <f t="shared" si="5"/>
        <v>Mar-23</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c r="AF366" s="12">
        <f>AVERAGE(All_India_Index_Upto_April23__1___1[[#This Row],[Cereals and products]:[Pan, tobacco and intoxicants]])</f>
        <v>179.00714285714284</v>
      </c>
      <c r="AG366" s="12">
        <f>AVERAGE(All_India_Index_Upto_April23__1___1[[#This Row],[Household goods and services]],All_India_Index_Upto_April23__1___1[[#This Row],[Housing]])</f>
        <v>171.35</v>
      </c>
      <c r="AH366" s="12">
        <f>AVERAGE(All_India_Index_Upto_April23__1___1[[#This Row],[Miscellaneous]],All_India_Index_Upto_April23__1___1[[#This Row],[Personal care and effects]],All_India_Index_Upto_April23__1___1[[#This Row],[Education]],All_India_Index_Upto_April23__1___1[[#This Row],[Recreation and amusement]])</f>
        <v>173.1</v>
      </c>
      <c r="AI366" s="12">
        <f>SUM(All_India_Index_Upto_April23__1___1[[#This Row],[Cereals and products]:[Pan, tobacco and intoxicants]])</f>
        <v>2506.1</v>
      </c>
      <c r="AJ366" s="12">
        <f>SUM(All_India_Index_Upto_April23__1___1[[#This Row],[Household goods and services]],All_India_Index_Upto_April23__1___1[[#This Row],[Housing]])</f>
        <v>342.7</v>
      </c>
      <c r="AK366" s="12">
        <f>All_India_Index_Upto_April23__1___1[[#This Row],[Clothing]]+All_India_Index_Upto_April23__1___1[[#This Row],[Footwear]]</f>
        <v>347.2</v>
      </c>
      <c r="AL366" s="12">
        <f>All_India_Index_Upto_April23__1___1[[#This Row],[Miscellaneous]]+All_India_Index_Upto_April23__1___1[[#This Row],[Personal care and effects]]+All_India_Index_Upto_April23__1___1[[#This Row],[Education]]+All_India_Index_Upto_April23__1___1[[#This Row],[Recreation and amusement]]</f>
        <v>692.4</v>
      </c>
      <c r="AM366"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4411.6000000000004</v>
      </c>
    </row>
    <row r="367" spans="1:39" x14ac:dyDescent="0.3">
      <c r="A367" t="s">
        <v>33</v>
      </c>
      <c r="B367">
        <v>2023</v>
      </c>
      <c r="C367" t="s">
        <v>35</v>
      </c>
      <c r="D367" t="str">
        <f t="shared" si="5"/>
        <v>Mar-23</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c r="AF367" s="12">
        <f>AVERAGE(All_India_Index_Upto_April23__1___1[[#This Row],[Cereals and products]:[Pan, tobacco and intoxicants]])</f>
        <v>177.04999999999998</v>
      </c>
      <c r="AG367" s="12">
        <f>AVERAGE(All_India_Index_Upto_April23__1___1[[#This Row],[Household goods and services]],All_India_Index_Upto_April23__1___1[[#This Row],[Housing]])</f>
        <v>173.85</v>
      </c>
      <c r="AH367" s="12">
        <f>AVERAGE(All_India_Index_Upto_April23__1___1[[#This Row],[Miscellaneous]],All_India_Index_Upto_April23__1___1[[#This Row],[Personal care and effects]],All_India_Index_Upto_April23__1___1[[#This Row],[Education]],All_India_Index_Upto_April23__1___1[[#This Row],[Recreation and amusement]])</f>
        <v>175.10000000000002</v>
      </c>
      <c r="AI367" s="12">
        <f>SUM(All_India_Index_Upto_April23__1___1[[#This Row],[Cereals and products]:[Pan, tobacco and intoxicants]])</f>
        <v>2478.6999999999998</v>
      </c>
      <c r="AJ367" s="12">
        <f>SUM(All_India_Index_Upto_April23__1___1[[#This Row],[Household goods and services]],All_India_Index_Upto_April23__1___1[[#This Row],[Housing]])</f>
        <v>347.7</v>
      </c>
      <c r="AK367" s="12">
        <f>All_India_Index_Upto_April23__1___1[[#This Row],[Clothing]]+All_India_Index_Upto_April23__1___1[[#This Row],[Footwear]]</f>
        <v>364.79999999999995</v>
      </c>
      <c r="AL367" s="12">
        <f>All_India_Index_Upto_April23__1___1[[#This Row],[Miscellaneous]]+All_India_Index_Upto_April23__1___1[[#This Row],[Personal care and effects]]+All_India_Index_Upto_April23__1___1[[#This Row],[Education]]+All_India_Index_Upto_April23__1___1[[#This Row],[Recreation and amusement]]</f>
        <v>700.40000000000009</v>
      </c>
      <c r="AM367"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4422.0999999999995</v>
      </c>
    </row>
    <row r="368" spans="1:39" hidden="1" x14ac:dyDescent="0.3">
      <c r="A368" t="s">
        <v>30</v>
      </c>
      <c r="B368">
        <v>2023</v>
      </c>
      <c r="C368" t="s">
        <v>36</v>
      </c>
      <c r="D368" t="str">
        <f t="shared" si="5"/>
        <v>Apr-23</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s="12">
        <f>'Handle Missing Value Sheet only'!$F$5</f>
        <v>139.27096774193564</v>
      </c>
      <c r="W368">
        <v>181.5</v>
      </c>
      <c r="X368">
        <v>179.1</v>
      </c>
      <c r="Y368">
        <v>187.2</v>
      </c>
      <c r="Z368">
        <v>169.4</v>
      </c>
      <c r="AA368">
        <v>173.2</v>
      </c>
      <c r="AB368">
        <v>179.4</v>
      </c>
      <c r="AC368">
        <v>183.8</v>
      </c>
      <c r="AD368">
        <v>178.9</v>
      </c>
      <c r="AE368">
        <v>178.8</v>
      </c>
      <c r="AF368" s="12">
        <f>AVERAGE(All_India_Index_Upto_April23__1___1[[#This Row],[Cereals and products]:[Pan, tobacco and intoxicants]])</f>
        <v>176.69285714285712</v>
      </c>
      <c r="AG368" s="12">
        <f>AVERAGE(All_India_Index_Upto_April23__1___1[[#This Row],[Household goods and services]],All_India_Index_Upto_April23__1___1[[#This Row],[Housing]])</f>
        <v>159.1854838709678</v>
      </c>
      <c r="AH368" s="12">
        <f>AVERAGE(All_India_Index_Upto_April23__1___1[[#This Row],[Miscellaneous]],All_India_Index_Upto_April23__1___1[[#This Row],[Personal care and effects]],All_India_Index_Upto_April23__1___1[[#This Row],[Education]],All_India_Index_Upto_April23__1___1[[#This Row],[Recreation and amusement]])</f>
        <v>178.82499999999999</v>
      </c>
      <c r="AI368" s="12">
        <f>SUM(All_India_Index_Upto_April23__1___1[[#This Row],[Cereals and products]:[Pan, tobacco and intoxicants]])</f>
        <v>2473.6999999999998</v>
      </c>
      <c r="AJ368" s="12">
        <f>SUM(All_India_Index_Upto_April23__1___1[[#This Row],[Household goods and services]],All_India_Index_Upto_April23__1___1[[#This Row],[Housing]])</f>
        <v>318.3709677419356</v>
      </c>
      <c r="AK368" s="12">
        <f>All_India_Index_Upto_April23__1___1[[#This Row],[Clothing]]+All_India_Index_Upto_April23__1___1[[#This Row],[Footwear]]</f>
        <v>378</v>
      </c>
      <c r="AL368" s="12">
        <f>All_India_Index_Upto_April23__1___1[[#This Row],[Miscellaneous]]+All_India_Index_Upto_April23__1___1[[#This Row],[Personal care and effects]]+All_India_Index_Upto_April23__1___1[[#This Row],[Education]]+All_India_Index_Upto_April23__1___1[[#This Row],[Recreation and amusement]]</f>
        <v>715.3</v>
      </c>
      <c r="AM368"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4423.470967741936</v>
      </c>
    </row>
    <row r="369" spans="1:39" hidden="1" x14ac:dyDescent="0.3">
      <c r="A369" t="s">
        <v>32</v>
      </c>
      <c r="B369">
        <v>2023</v>
      </c>
      <c r="C369" t="s">
        <v>36</v>
      </c>
      <c r="D369" t="str">
        <f t="shared" si="5"/>
        <v>Apr-23</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c r="AF369" s="12">
        <f>AVERAGE(All_India_Index_Upto_April23__1___1[[#This Row],[Cereals and products]:[Pan, tobacco and intoxicants]])</f>
        <v>180.08571428571432</v>
      </c>
      <c r="AG369" s="12">
        <f>AVERAGE(All_India_Index_Upto_April23__1___1[[#This Row],[Household goods and services]],All_India_Index_Upto_April23__1___1[[#This Row],[Housing]])</f>
        <v>172.39999999999998</v>
      </c>
      <c r="AH369" s="12">
        <f>AVERAGE(All_India_Index_Upto_April23__1___1[[#This Row],[Miscellaneous]],All_India_Index_Upto_April23__1___1[[#This Row],[Personal care and effects]],All_India_Index_Upto_April23__1___1[[#This Row],[Education]],All_India_Index_Upto_April23__1___1[[#This Row],[Recreation and amusement]])</f>
        <v>174.57499999999999</v>
      </c>
      <c r="AI369" s="12">
        <f>SUM(All_India_Index_Upto_April23__1___1[[#This Row],[Cereals and products]:[Pan, tobacco and intoxicants]])</f>
        <v>2521.2000000000003</v>
      </c>
      <c r="AJ369" s="12">
        <f>SUM(All_India_Index_Upto_April23__1___1[[#This Row],[Household goods and services]],All_India_Index_Upto_April23__1___1[[#This Row],[Housing]])</f>
        <v>344.79999999999995</v>
      </c>
      <c r="AK369" s="12">
        <f>All_India_Index_Upto_April23__1___1[[#This Row],[Clothing]]+All_India_Index_Upto_April23__1___1[[#This Row],[Footwear]]</f>
        <v>348.7</v>
      </c>
      <c r="AL369" s="12">
        <f>All_India_Index_Upto_April23__1___1[[#This Row],[Miscellaneous]]+All_India_Index_Upto_April23__1___1[[#This Row],[Personal care and effects]]+All_India_Index_Upto_April23__1___1[[#This Row],[Education]]+All_India_Index_Upto_April23__1___1[[#This Row],[Recreation and amusement]]</f>
        <v>698.3</v>
      </c>
      <c r="AM369"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4436.7000000000007</v>
      </c>
    </row>
    <row r="370" spans="1:39" x14ac:dyDescent="0.3">
      <c r="A370" t="s">
        <v>33</v>
      </c>
      <c r="B370">
        <v>2023</v>
      </c>
      <c r="C370" t="s">
        <v>36</v>
      </c>
      <c r="D370" t="str">
        <f t="shared" si="5"/>
        <v>Apr-23</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c r="AF370" s="12">
        <f>AVERAGE(All_India_Index_Upto_April23__1___1[[#This Row],[Cereals and products]:[Pan, tobacco and intoxicants]])</f>
        <v>177.87142857142859</v>
      </c>
      <c r="AG370" s="12">
        <f>AVERAGE(All_India_Index_Upto_April23__1___1[[#This Row],[Household goods and services]],All_India_Index_Upto_April23__1___1[[#This Row],[Housing]])</f>
        <v>174.89999999999998</v>
      </c>
      <c r="AH370" s="12">
        <f>AVERAGE(All_India_Index_Upto_April23__1___1[[#This Row],[Miscellaneous]],All_India_Index_Upto_April23__1___1[[#This Row],[Personal care and effects]],All_India_Index_Upto_April23__1___1[[#This Row],[Education]],All_India_Index_Upto_April23__1___1[[#This Row],[Recreation and amusement]])</f>
        <v>176.52499999999998</v>
      </c>
      <c r="AI370" s="12">
        <f>SUM(All_India_Index_Upto_April23__1___1[[#This Row],[Cereals and products]:[Pan, tobacco and intoxicants]])</f>
        <v>2490.2000000000003</v>
      </c>
      <c r="AJ370" s="12">
        <f>SUM(All_India_Index_Upto_April23__1___1[[#This Row],[Household goods and services]],All_India_Index_Upto_April23__1___1[[#This Row],[Housing]])</f>
        <v>349.79999999999995</v>
      </c>
      <c r="AK370" s="12">
        <f>All_India_Index_Upto_April23__1___1[[#This Row],[Clothing]]+All_India_Index_Upto_April23__1___1[[#This Row],[Footwear]]</f>
        <v>366.1</v>
      </c>
      <c r="AL370" s="12">
        <f>All_India_Index_Upto_April23__1___1[[#This Row],[Miscellaneous]]+All_India_Index_Upto_April23__1___1[[#This Row],[Personal care and effects]]+All_India_Index_Upto_April23__1___1[[#This Row],[Education]]+All_India_Index_Upto_April23__1___1[[#This Row],[Recreation and amusement]]</f>
        <v>706.09999999999991</v>
      </c>
      <c r="AM370"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4443.3999999999996</v>
      </c>
    </row>
    <row r="371" spans="1:39" hidden="1" x14ac:dyDescent="0.3">
      <c r="A371" t="s">
        <v>30</v>
      </c>
      <c r="B371">
        <v>2023</v>
      </c>
      <c r="C371" t="s">
        <v>37</v>
      </c>
      <c r="D371" t="str">
        <f t="shared" si="5"/>
        <v>May-23</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s="12">
        <f>'Handle Missing Value Sheet only'!$F$5</f>
        <v>139.27096774193564</v>
      </c>
      <c r="W371">
        <v>182.5</v>
      </c>
      <c r="X371">
        <v>179.8</v>
      </c>
      <c r="Y371">
        <v>187.8</v>
      </c>
      <c r="Z371">
        <v>169.7</v>
      </c>
      <c r="AA371">
        <v>173.8</v>
      </c>
      <c r="AB371">
        <v>180.3</v>
      </c>
      <c r="AC371">
        <v>184.9</v>
      </c>
      <c r="AD371">
        <v>179.5</v>
      </c>
      <c r="AE371">
        <v>179.8</v>
      </c>
      <c r="AF371" s="12">
        <f>AVERAGE(All_India_Index_Upto_April23__1___1[[#This Row],[Cereals and products]:[Pan, tobacco and intoxicants]])</f>
        <v>177.90000000000006</v>
      </c>
      <c r="AG371" s="12">
        <f>AVERAGE(All_India_Index_Upto_April23__1___1[[#This Row],[Household goods and services]],All_India_Index_Upto_April23__1___1[[#This Row],[Housing]])</f>
        <v>159.53548387096782</v>
      </c>
      <c r="AH371" s="12">
        <f>AVERAGE(All_India_Index_Upto_April23__1___1[[#This Row],[Miscellaneous]],All_India_Index_Upto_April23__1___1[[#This Row],[Personal care and effects]],All_India_Index_Upto_April23__1___1[[#This Row],[Education]],All_India_Index_Upto_April23__1___1[[#This Row],[Recreation and amusement]])</f>
        <v>179.625</v>
      </c>
      <c r="AI371" s="12">
        <f>SUM(All_India_Index_Upto_April23__1___1[[#This Row],[Cereals and products]:[Pan, tobacco and intoxicants]])</f>
        <v>2490.6000000000008</v>
      </c>
      <c r="AJ371" s="12">
        <f>SUM(All_India_Index_Upto_April23__1___1[[#This Row],[Household goods and services]],All_India_Index_Upto_April23__1___1[[#This Row],[Housing]])</f>
        <v>319.07096774193565</v>
      </c>
      <c r="AK371" s="12">
        <f>All_India_Index_Upto_April23__1___1[[#This Row],[Clothing]]+All_India_Index_Upto_April23__1___1[[#This Row],[Footwear]]</f>
        <v>379.1</v>
      </c>
      <c r="AL371" s="12">
        <f>All_India_Index_Upto_April23__1___1[[#This Row],[Miscellaneous]]+All_India_Index_Upto_April23__1___1[[#This Row],[Personal care and effects]]+All_India_Index_Upto_April23__1___1[[#This Row],[Education]]+All_India_Index_Upto_April23__1___1[[#This Row],[Recreation and amusement]]</f>
        <v>718.5</v>
      </c>
      <c r="AM371"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4447.2709677419361</v>
      </c>
    </row>
    <row r="372" spans="1:39" hidden="1" x14ac:dyDescent="0.3">
      <c r="A372" t="s">
        <v>32</v>
      </c>
      <c r="B372">
        <v>2023</v>
      </c>
      <c r="C372" t="s">
        <v>37</v>
      </c>
      <c r="D372" t="str">
        <f t="shared" si="5"/>
        <v>May-23</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c r="AF372" s="12">
        <f>AVERAGE(All_India_Index_Upto_April23__1___1[[#This Row],[Cereals and products]:[Pan, tobacco and intoxicants]])</f>
        <v>181.37857142857141</v>
      </c>
      <c r="AG372" s="12">
        <f>AVERAGE(All_India_Index_Upto_April23__1___1[[#This Row],[Household goods and services]],All_India_Index_Upto_April23__1___1[[#This Row],[Housing]])</f>
        <v>172.85</v>
      </c>
      <c r="AH372" s="12">
        <f>AVERAGE(All_India_Index_Upto_April23__1___1[[#This Row],[Miscellaneous]],All_India_Index_Upto_April23__1___1[[#This Row],[Personal care and effects]],All_India_Index_Upto_April23__1___1[[#This Row],[Education]],All_India_Index_Upto_April23__1___1[[#This Row],[Recreation and amusement]])</f>
        <v>175.3</v>
      </c>
      <c r="AI372" s="12">
        <f>SUM(All_India_Index_Upto_April23__1___1[[#This Row],[Cereals and products]:[Pan, tobacco and intoxicants]])</f>
        <v>2539.2999999999997</v>
      </c>
      <c r="AJ372" s="12">
        <f>SUM(All_India_Index_Upto_April23__1___1[[#This Row],[Household goods and services]],All_India_Index_Upto_April23__1___1[[#This Row],[Housing]])</f>
        <v>345.7</v>
      </c>
      <c r="AK372" s="12">
        <f>All_India_Index_Upto_April23__1___1[[#This Row],[Clothing]]+All_India_Index_Upto_April23__1___1[[#This Row],[Footwear]]</f>
        <v>349.4</v>
      </c>
      <c r="AL372" s="12">
        <f>All_India_Index_Upto_April23__1___1[[#This Row],[Miscellaneous]]+All_India_Index_Upto_April23__1___1[[#This Row],[Personal care and effects]]+All_India_Index_Upto_April23__1___1[[#This Row],[Education]]+All_India_Index_Upto_April23__1___1[[#This Row],[Recreation and amusement]]</f>
        <v>701.2</v>
      </c>
      <c r="AM372"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4461.5999999999995</v>
      </c>
    </row>
    <row r="373" spans="1:39" x14ac:dyDescent="0.3">
      <c r="A373" t="s">
        <v>33</v>
      </c>
      <c r="B373">
        <v>2023</v>
      </c>
      <c r="C373" t="s">
        <v>37</v>
      </c>
      <c r="D373" t="str">
        <f t="shared" si="5"/>
        <v>May-23</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c r="AF373" s="12">
        <f>AVERAGE(All_India_Index_Upto_April23__1___1[[#This Row],[Cereals and products]:[Pan, tobacco and intoxicants]])</f>
        <v>179.1357142857143</v>
      </c>
      <c r="AG373" s="12">
        <f>AVERAGE(All_India_Index_Upto_April23__1___1[[#This Row],[Household goods and services]],All_India_Index_Upto_April23__1___1[[#This Row],[Housing]])</f>
        <v>175.39999999999998</v>
      </c>
      <c r="AH373" s="12">
        <f>AVERAGE(All_India_Index_Upto_April23__1___1[[#This Row],[Miscellaneous]],All_India_Index_Upto_April23__1___1[[#This Row],[Personal care and effects]],All_India_Index_Upto_April23__1___1[[#This Row],[Education]],All_India_Index_Upto_April23__1___1[[#This Row],[Recreation and amusement]])</f>
        <v>177.3</v>
      </c>
      <c r="AI373" s="12">
        <f>SUM(All_India_Index_Upto_April23__1___1[[#This Row],[Cereals and products]:[Pan, tobacco and intoxicants]])</f>
        <v>2507.9</v>
      </c>
      <c r="AJ373" s="12">
        <f>SUM(All_India_Index_Upto_April23__1___1[[#This Row],[Household goods and services]],All_India_Index_Upto_April23__1___1[[#This Row],[Housing]])</f>
        <v>350.79999999999995</v>
      </c>
      <c r="AK373" s="12">
        <f>All_India_Index_Upto_April23__1___1[[#This Row],[Clothing]]+All_India_Index_Upto_April23__1___1[[#This Row],[Footwear]]</f>
        <v>367</v>
      </c>
      <c r="AL373" s="12">
        <f>All_India_Index_Upto_April23__1___1[[#This Row],[Miscellaneous]]+All_India_Index_Upto_April23__1___1[[#This Row],[Personal care and effects]]+All_India_Index_Upto_April23__1___1[[#This Row],[Education]]+All_India_Index_Upto_April23__1___1[[#This Row],[Recreation and amusement]]</f>
        <v>709.2</v>
      </c>
      <c r="AM373" s="12">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4468.2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AB7E-09CB-4DCA-8C8F-FD81040992DD}">
  <sheetPr filterMode="1"/>
  <dimension ref="A1:Q44"/>
  <sheetViews>
    <sheetView topLeftCell="A30" workbookViewId="0">
      <selection activeCell="I47" sqref="I47"/>
    </sheetView>
  </sheetViews>
  <sheetFormatPr defaultRowHeight="14.4" x14ac:dyDescent="0.3"/>
  <cols>
    <col min="1" max="1" width="9.33203125" bestFit="1" customWidth="1"/>
    <col min="2" max="2" width="5" bestFit="1" customWidth="1"/>
    <col min="3" max="3" width="14.44140625" bestFit="1" customWidth="1"/>
    <col min="4" max="4" width="15.6640625" bestFit="1" customWidth="1"/>
    <col min="5" max="5" width="15.77734375" bestFit="1" customWidth="1"/>
    <col min="7" max="7" width="9.33203125" bestFit="1" customWidth="1"/>
    <col min="8" max="8" width="5" bestFit="1" customWidth="1"/>
    <col min="9" max="9" width="14.44140625" bestFit="1" customWidth="1"/>
    <col min="10" max="10" width="15.6640625" bestFit="1" customWidth="1"/>
    <col min="11" max="11" width="15.77734375" bestFit="1" customWidth="1"/>
    <col min="13" max="13" width="9.33203125" bestFit="1" customWidth="1"/>
    <col min="14" max="14" width="5" bestFit="1" customWidth="1"/>
    <col min="15" max="15" width="14.44140625" bestFit="1" customWidth="1"/>
    <col min="16" max="16" width="15.6640625" bestFit="1" customWidth="1"/>
    <col min="17" max="17" width="15.77734375" bestFit="1" customWidth="1"/>
  </cols>
  <sheetData>
    <row r="1" spans="1:5" x14ac:dyDescent="0.3">
      <c r="A1" s="22" t="s">
        <v>0</v>
      </c>
      <c r="B1" s="1" t="s">
        <v>116</v>
      </c>
      <c r="C1" s="1" t="s">
        <v>79</v>
      </c>
      <c r="D1" s="1" t="s">
        <v>23</v>
      </c>
      <c r="E1" s="1" t="s">
        <v>82</v>
      </c>
    </row>
    <row r="2" spans="1:5" hidden="1" x14ac:dyDescent="0.3">
      <c r="A2" s="20" t="s">
        <v>30</v>
      </c>
      <c r="B2" s="2" t="s">
        <v>117</v>
      </c>
      <c r="C2" s="18">
        <v>1954.3</v>
      </c>
      <c r="D2" s="2">
        <v>136</v>
      </c>
      <c r="E2" s="18">
        <v>536.79999999999995</v>
      </c>
    </row>
    <row r="3" spans="1:5" x14ac:dyDescent="0.3">
      <c r="A3" s="21" t="s">
        <v>32</v>
      </c>
      <c r="B3" s="10" t="s">
        <v>117</v>
      </c>
      <c r="C3" s="23">
        <v>1906.0000000000002</v>
      </c>
      <c r="D3" s="10">
        <v>129</v>
      </c>
      <c r="E3" s="23">
        <v>514.6</v>
      </c>
    </row>
    <row r="4" spans="1:5" hidden="1" x14ac:dyDescent="0.3">
      <c r="A4" s="20" t="s">
        <v>33</v>
      </c>
      <c r="B4" s="2" t="s">
        <v>117</v>
      </c>
      <c r="C4" s="18">
        <v>1934.6000000000001</v>
      </c>
      <c r="D4" s="2">
        <v>133.30000000000001</v>
      </c>
      <c r="E4" s="18">
        <v>525.09999999999991</v>
      </c>
    </row>
    <row r="5" spans="1:5" hidden="1" x14ac:dyDescent="0.3">
      <c r="A5" s="21" t="s">
        <v>30</v>
      </c>
      <c r="B5" s="10" t="s">
        <v>118</v>
      </c>
      <c r="C5" s="23">
        <v>1935.5000000000002</v>
      </c>
      <c r="D5" s="10">
        <v>149.6</v>
      </c>
      <c r="E5" s="23">
        <v>573.20000000000005</v>
      </c>
    </row>
    <row r="6" spans="1:5" x14ac:dyDescent="0.3">
      <c r="A6" s="20" t="s">
        <v>32</v>
      </c>
      <c r="B6" s="2" t="s">
        <v>118</v>
      </c>
      <c r="C6" s="18">
        <v>1911.1999999999998</v>
      </c>
      <c r="D6" s="2">
        <v>137.30000000000001</v>
      </c>
      <c r="E6" s="18">
        <v>540.70000000000005</v>
      </c>
    </row>
    <row r="7" spans="1:5" hidden="1" x14ac:dyDescent="0.3">
      <c r="A7" s="21" t="s">
        <v>33</v>
      </c>
      <c r="B7" s="10" t="s">
        <v>118</v>
      </c>
      <c r="C7" s="23">
        <v>1925.7999999999997</v>
      </c>
      <c r="D7" s="10">
        <v>144.9</v>
      </c>
      <c r="E7" s="23">
        <v>555.90000000000009</v>
      </c>
    </row>
    <row r="8" spans="1:5" hidden="1" x14ac:dyDescent="0.3">
      <c r="A8" s="20" t="s">
        <v>30</v>
      </c>
      <c r="B8" s="2" t="s">
        <v>119</v>
      </c>
      <c r="C8" s="18">
        <v>1922.3000000000002</v>
      </c>
      <c r="D8" s="2">
        <v>149.6</v>
      </c>
      <c r="E8" s="18">
        <v>573.29999999999995</v>
      </c>
    </row>
    <row r="9" spans="1:5" x14ac:dyDescent="0.3">
      <c r="A9" s="21" t="s">
        <v>32</v>
      </c>
      <c r="B9" s="10" t="s">
        <v>119</v>
      </c>
      <c r="C9" s="23">
        <v>1909.0000000000002</v>
      </c>
      <c r="D9" s="10">
        <v>137.80000000000001</v>
      </c>
      <c r="E9" s="23">
        <v>542</v>
      </c>
    </row>
    <row r="10" spans="1:5" hidden="1" x14ac:dyDescent="0.3">
      <c r="A10" s="20" t="s">
        <v>33</v>
      </c>
      <c r="B10" s="2" t="s">
        <v>119</v>
      </c>
      <c r="C10" s="18">
        <v>1916.6</v>
      </c>
      <c r="D10" s="2">
        <v>145.1</v>
      </c>
      <c r="E10" s="18">
        <v>556.6</v>
      </c>
    </row>
    <row r="11" spans="1:5" hidden="1" x14ac:dyDescent="0.3">
      <c r="A11" s="21" t="s">
        <v>30</v>
      </c>
      <c r="B11" s="10" t="s">
        <v>120</v>
      </c>
      <c r="C11" s="23">
        <v>2108.7999999999997</v>
      </c>
      <c r="D11" s="10">
        <v>154.80000000000001</v>
      </c>
      <c r="E11" s="23">
        <v>598.29999999999995</v>
      </c>
    </row>
    <row r="12" spans="1:5" x14ac:dyDescent="0.3">
      <c r="A12" s="20" t="s">
        <v>32</v>
      </c>
      <c r="B12" s="2" t="s">
        <v>120</v>
      </c>
      <c r="C12" s="18">
        <v>2127.1</v>
      </c>
      <c r="D12" s="2">
        <v>143.19999999999999</v>
      </c>
      <c r="E12" s="18">
        <v>566.59999999999991</v>
      </c>
    </row>
    <row r="13" spans="1:5" hidden="1" x14ac:dyDescent="0.3">
      <c r="A13" s="21" t="s">
        <v>33</v>
      </c>
      <c r="B13" s="10" t="s">
        <v>120</v>
      </c>
      <c r="C13" s="23">
        <v>2114.6000000000004</v>
      </c>
      <c r="D13" s="10">
        <v>150.4</v>
      </c>
      <c r="E13" s="23">
        <v>580.9</v>
      </c>
    </row>
    <row r="14" spans="1:5" hidden="1" x14ac:dyDescent="0.3">
      <c r="A14" s="20" t="s">
        <v>30</v>
      </c>
      <c r="B14" s="2" t="s">
        <v>121</v>
      </c>
      <c r="C14" s="18">
        <v>2107.1999999999998</v>
      </c>
      <c r="D14" s="2">
        <v>155.69999999999999</v>
      </c>
      <c r="E14" s="18">
        <v>602.4</v>
      </c>
    </row>
    <row r="15" spans="1:5" x14ac:dyDescent="0.3">
      <c r="A15" s="21" t="s">
        <v>32</v>
      </c>
      <c r="B15" s="10" t="s">
        <v>121</v>
      </c>
      <c r="C15" s="23">
        <v>2116.1999999999998</v>
      </c>
      <c r="D15" s="10">
        <v>143.80000000000001</v>
      </c>
      <c r="E15" s="23">
        <v>569.79999999999995</v>
      </c>
    </row>
    <row r="16" spans="1:5" hidden="1" x14ac:dyDescent="0.3">
      <c r="A16" s="20" t="s">
        <v>33</v>
      </c>
      <c r="B16" s="2" t="s">
        <v>121</v>
      </c>
      <c r="C16" s="18">
        <v>2109.6</v>
      </c>
      <c r="D16" s="2">
        <v>151.19999999999999</v>
      </c>
      <c r="E16" s="18">
        <v>584.60000000000014</v>
      </c>
    </row>
    <row r="17" spans="1:5" hidden="1" x14ac:dyDescent="0.3">
      <c r="A17" s="21" t="s">
        <v>30</v>
      </c>
      <c r="B17" s="10" t="s">
        <v>122</v>
      </c>
      <c r="C17" s="23">
        <v>2284.1</v>
      </c>
      <c r="D17" s="10">
        <v>161.6</v>
      </c>
      <c r="E17" s="23">
        <v>628.59999999999991</v>
      </c>
    </row>
    <row r="18" spans="1:5" x14ac:dyDescent="0.3">
      <c r="A18" s="20" t="s">
        <v>32</v>
      </c>
      <c r="B18" s="2" t="s">
        <v>122</v>
      </c>
      <c r="C18" s="18">
        <v>2315.6</v>
      </c>
      <c r="D18" s="2">
        <v>152.9</v>
      </c>
      <c r="E18" s="18">
        <v>606</v>
      </c>
    </row>
    <row r="19" spans="1:5" hidden="1" x14ac:dyDescent="0.3">
      <c r="A19" s="21" t="s">
        <v>33</v>
      </c>
      <c r="B19" s="10" t="s">
        <v>122</v>
      </c>
      <c r="C19" s="23">
        <v>2294.5</v>
      </c>
      <c r="D19" s="10">
        <v>158.30000000000001</v>
      </c>
      <c r="E19" s="23">
        <v>616.19999999999993</v>
      </c>
    </row>
    <row r="20" spans="1:5" hidden="1" x14ac:dyDescent="0.3">
      <c r="A20" s="20" t="s">
        <v>30</v>
      </c>
      <c r="B20" s="2" t="s">
        <v>123</v>
      </c>
      <c r="C20" s="18">
        <v>2250.2999999999997</v>
      </c>
      <c r="D20" s="2">
        <v>162.5</v>
      </c>
      <c r="E20" s="18">
        <v>630.70000000000005</v>
      </c>
    </row>
    <row r="21" spans="1:5" x14ac:dyDescent="0.3">
      <c r="A21" s="21" t="s">
        <v>32</v>
      </c>
      <c r="B21" s="10" t="s">
        <v>123</v>
      </c>
      <c r="C21" s="23">
        <v>2288.8000000000002</v>
      </c>
      <c r="D21" s="10">
        <v>154.1</v>
      </c>
      <c r="E21" s="23">
        <v>606.79999999999995</v>
      </c>
    </row>
    <row r="22" spans="1:5" hidden="1" x14ac:dyDescent="0.3">
      <c r="A22" s="20" t="s">
        <v>33</v>
      </c>
      <c r="B22" s="2" t="s">
        <v>123</v>
      </c>
      <c r="C22" s="18">
        <v>2263</v>
      </c>
      <c r="D22" s="2">
        <v>159.30000000000001</v>
      </c>
      <c r="E22" s="18">
        <v>617.5</v>
      </c>
    </row>
    <row r="23" spans="1:5" hidden="1" x14ac:dyDescent="0.3">
      <c r="A23" s="21" t="s">
        <v>30</v>
      </c>
      <c r="B23" s="10" t="s">
        <v>124</v>
      </c>
      <c r="C23" s="23">
        <v>2359</v>
      </c>
      <c r="D23" s="10">
        <v>174</v>
      </c>
      <c r="E23" s="23">
        <v>663</v>
      </c>
    </row>
    <row r="24" spans="1:5" x14ac:dyDescent="0.3">
      <c r="A24" s="20" t="s">
        <v>32</v>
      </c>
      <c r="B24" s="2" t="s">
        <v>124</v>
      </c>
      <c r="C24" s="18">
        <v>2403.1000000000004</v>
      </c>
      <c r="D24" s="2">
        <v>165.1</v>
      </c>
      <c r="E24" s="18">
        <v>638.40000000000009</v>
      </c>
    </row>
    <row r="25" spans="1:5" hidden="1" x14ac:dyDescent="0.3">
      <c r="A25" s="21" t="s">
        <v>33</v>
      </c>
      <c r="B25" s="10" t="s">
        <v>124</v>
      </c>
      <c r="C25" s="23">
        <v>2373.3000000000002</v>
      </c>
      <c r="D25" s="10">
        <v>170.6</v>
      </c>
      <c r="E25" s="23">
        <v>649.6</v>
      </c>
    </row>
    <row r="26" spans="1:5" hidden="1" x14ac:dyDescent="0.3">
      <c r="A26" s="20" t="s">
        <v>30</v>
      </c>
      <c r="B26" s="2" t="s">
        <v>125</v>
      </c>
      <c r="C26" s="18">
        <v>2343.6999999999998</v>
      </c>
      <c r="D26" s="2">
        <v>174.7</v>
      </c>
      <c r="E26" s="18">
        <v>664.59999999999991</v>
      </c>
    </row>
    <row r="27" spans="1:5" x14ac:dyDescent="0.3">
      <c r="A27" s="21" t="s">
        <v>32</v>
      </c>
      <c r="B27" s="10" t="s">
        <v>125</v>
      </c>
      <c r="C27" s="23">
        <v>2383.1</v>
      </c>
      <c r="D27" s="10">
        <v>166.1</v>
      </c>
      <c r="E27" s="23">
        <v>640.79999999999995</v>
      </c>
    </row>
    <row r="28" spans="1:5" hidden="1" x14ac:dyDescent="0.3">
      <c r="A28" s="20" t="s">
        <v>33</v>
      </c>
      <c r="B28" s="2" t="s">
        <v>125</v>
      </c>
      <c r="C28" s="18">
        <v>2356.3999999999996</v>
      </c>
      <c r="D28" s="2">
        <v>171.4</v>
      </c>
      <c r="E28" s="18">
        <v>651.59999999999991</v>
      </c>
    </row>
    <row r="29" spans="1:5" hidden="1" x14ac:dyDescent="0.3">
      <c r="A29" s="21" t="s">
        <v>30</v>
      </c>
      <c r="B29" s="10" t="s">
        <v>99</v>
      </c>
      <c r="C29" s="23">
        <v>2473</v>
      </c>
      <c r="D29" s="10">
        <v>183.5</v>
      </c>
      <c r="E29" s="23">
        <v>699.7</v>
      </c>
    </row>
    <row r="30" spans="1:5" x14ac:dyDescent="0.3">
      <c r="A30" s="20" t="s">
        <v>32</v>
      </c>
      <c r="B30" s="2" t="s">
        <v>99</v>
      </c>
      <c r="C30" s="18">
        <v>2496.8999999999996</v>
      </c>
      <c r="D30" s="2">
        <v>177.2</v>
      </c>
      <c r="E30" s="18">
        <v>683.1</v>
      </c>
    </row>
    <row r="31" spans="1:5" hidden="1" x14ac:dyDescent="0.3">
      <c r="A31" s="21" t="s">
        <v>33</v>
      </c>
      <c r="B31" s="10" t="s">
        <v>99</v>
      </c>
      <c r="C31" s="23">
        <v>2480.7000000000003</v>
      </c>
      <c r="D31" s="10">
        <v>181.1</v>
      </c>
      <c r="E31" s="23">
        <v>690.8</v>
      </c>
    </row>
    <row r="34" spans="1:17" x14ac:dyDescent="0.3">
      <c r="A34" t="s">
        <v>30</v>
      </c>
      <c r="G34" t="s">
        <v>115</v>
      </c>
      <c r="M34" t="s">
        <v>32</v>
      </c>
    </row>
    <row r="35" spans="1:17" x14ac:dyDescent="0.3">
      <c r="A35" s="7" t="s">
        <v>89</v>
      </c>
      <c r="B35" s="7" t="s">
        <v>1</v>
      </c>
      <c r="C35" s="7" t="s">
        <v>126</v>
      </c>
      <c r="D35" s="7" t="s">
        <v>127</v>
      </c>
      <c r="E35" s="7" t="s">
        <v>128</v>
      </c>
      <c r="G35" s="7" t="s">
        <v>89</v>
      </c>
      <c r="H35" s="7" t="s">
        <v>1</v>
      </c>
      <c r="I35" s="7" t="s">
        <v>126</v>
      </c>
      <c r="J35" s="7" t="s">
        <v>127</v>
      </c>
      <c r="K35" s="7" t="s">
        <v>128</v>
      </c>
      <c r="M35" s="7" t="s">
        <v>89</v>
      </c>
      <c r="N35" s="7" t="s">
        <v>1</v>
      </c>
      <c r="O35" s="7" t="s">
        <v>126</v>
      </c>
      <c r="P35" s="7" t="s">
        <v>127</v>
      </c>
      <c r="Q35" s="7" t="s">
        <v>128</v>
      </c>
    </row>
    <row r="36" spans="1:17" x14ac:dyDescent="0.3">
      <c r="A36" s="37" t="s">
        <v>129</v>
      </c>
      <c r="B36" s="7">
        <v>2018</v>
      </c>
      <c r="C36" s="34">
        <f>(C5-C2)/C2</f>
        <v>-9.6198127206671077E-3</v>
      </c>
      <c r="D36" s="34">
        <f t="shared" ref="D36:E36" si="0">(D5-D2)/D2</f>
        <v>9.9999999999999964E-2</v>
      </c>
      <c r="E36" s="34">
        <f t="shared" si="0"/>
        <v>6.780923994038765E-2</v>
      </c>
      <c r="G36" s="37" t="s">
        <v>129</v>
      </c>
      <c r="H36" s="7">
        <v>2018</v>
      </c>
      <c r="I36" s="34">
        <f>(C7-C4)/C4</f>
        <v>-4.5487439263932642E-3</v>
      </c>
      <c r="J36" s="34">
        <f t="shared" ref="J36:K36" si="1">(D7-D4)/D4</f>
        <v>8.7021755438859663E-2</v>
      </c>
      <c r="K36" s="34">
        <f t="shared" si="1"/>
        <v>5.8655494191582912E-2</v>
      </c>
      <c r="M36" s="37" t="s">
        <v>129</v>
      </c>
      <c r="N36" s="7">
        <v>2018</v>
      </c>
      <c r="O36" s="34">
        <f>(C6-C3)/C3</f>
        <v>2.7282266526755458E-3</v>
      </c>
      <c r="P36" s="34">
        <f t="shared" ref="P36:Q36" si="2">(D6-D3)/D3</f>
        <v>6.4341085271317919E-2</v>
      </c>
      <c r="Q36" s="34">
        <f t="shared" si="2"/>
        <v>5.0719005052467979E-2</v>
      </c>
    </row>
    <row r="37" spans="1:17" x14ac:dyDescent="0.3">
      <c r="A37" s="37"/>
      <c r="B37" s="7">
        <v>2019</v>
      </c>
      <c r="C37" s="34">
        <f>(C11-C8)/C8</f>
        <v>9.7019195755084803E-2</v>
      </c>
      <c r="D37" s="34">
        <f t="shared" ref="D37:E37" si="3">(D11-D8)/D8</f>
        <v>3.4759358288770172E-2</v>
      </c>
      <c r="E37" s="34">
        <f t="shared" si="3"/>
        <v>4.3607186464329324E-2</v>
      </c>
      <c r="G37" s="37"/>
      <c r="H37" s="7">
        <v>2019</v>
      </c>
      <c r="I37" s="34">
        <f>(C13-C10)/C10</f>
        <v>0.10330794114577922</v>
      </c>
      <c r="J37" s="34">
        <f t="shared" ref="J37:K37" si="4">(D13-D10)/D10</f>
        <v>3.6526533425224064E-2</v>
      </c>
      <c r="K37" s="34">
        <f t="shared" si="4"/>
        <v>4.3657923104563338E-2</v>
      </c>
      <c r="M37" s="37"/>
      <c r="N37" s="7">
        <v>2019</v>
      </c>
      <c r="O37" s="34">
        <f>(C12-C9)/C9</f>
        <v>0.11424829753797781</v>
      </c>
      <c r="P37" s="34">
        <f t="shared" ref="P37:Q37" si="5">(D12-D9)/D9</f>
        <v>3.9187227866472982E-2</v>
      </c>
      <c r="Q37" s="34">
        <f t="shared" si="5"/>
        <v>4.5387453874538575E-2</v>
      </c>
    </row>
    <row r="38" spans="1:17" x14ac:dyDescent="0.3">
      <c r="A38" s="33" t="s">
        <v>130</v>
      </c>
      <c r="B38" s="7">
        <v>2020</v>
      </c>
      <c r="C38" s="34">
        <f>(C17-C14)/C14</f>
        <v>8.3950265755504988E-2</v>
      </c>
      <c r="D38" s="34">
        <f t="shared" ref="D38:E38" si="6">(D17-D14)/D14</f>
        <v>3.7893384714194005E-2</v>
      </c>
      <c r="E38" s="34">
        <f t="shared" si="6"/>
        <v>4.3492695883134015E-2</v>
      </c>
      <c r="G38" s="33" t="s">
        <v>130</v>
      </c>
      <c r="H38" s="7">
        <v>2020</v>
      </c>
      <c r="I38" s="34">
        <f>(C19-C16)/C16</f>
        <v>8.7646947288585561E-2</v>
      </c>
      <c r="J38" s="34">
        <f t="shared" ref="J38:K38" si="7">(D19-D16)/D16</f>
        <v>4.6957671957672115E-2</v>
      </c>
      <c r="K38" s="34">
        <f t="shared" si="7"/>
        <v>5.4054054054053689E-2</v>
      </c>
      <c r="M38" s="33" t="s">
        <v>130</v>
      </c>
      <c r="N38" s="7">
        <v>2020</v>
      </c>
      <c r="O38" s="34">
        <f>(C18-C15)/C15</f>
        <v>9.4225498535110155E-2</v>
      </c>
      <c r="P38" s="34">
        <f t="shared" ref="P38:Q38" si="8">(D18-D15)/D15</f>
        <v>6.3282336578581316E-2</v>
      </c>
      <c r="Q38" s="34">
        <f t="shared" si="8"/>
        <v>6.3531063531063622E-2</v>
      </c>
    </row>
    <row r="39" spans="1:17" x14ac:dyDescent="0.3">
      <c r="A39" s="37" t="s">
        <v>131</v>
      </c>
      <c r="B39" s="7">
        <v>2021</v>
      </c>
      <c r="C39" s="34">
        <f>(C23-C20)/C20</f>
        <v>4.8304670488379456E-2</v>
      </c>
      <c r="D39" s="34">
        <f t="shared" ref="D39:E39" si="9">(D23-D20)/D20</f>
        <v>7.0769230769230765E-2</v>
      </c>
      <c r="E39" s="34">
        <f t="shared" si="9"/>
        <v>5.1212938005390757E-2</v>
      </c>
      <c r="G39" s="37" t="s">
        <v>131</v>
      </c>
      <c r="H39" s="7">
        <v>2021</v>
      </c>
      <c r="I39" s="34">
        <f>(C25-C22)/C22</f>
        <v>4.8740609809986825E-2</v>
      </c>
      <c r="J39" s="34">
        <f t="shared" ref="J39:K39" si="10">(D25-D22)/D22</f>
        <v>7.0935342121782693E-2</v>
      </c>
      <c r="K39" s="34">
        <f t="shared" si="10"/>
        <v>5.1983805668016234E-2</v>
      </c>
      <c r="M39" s="37" t="s">
        <v>131</v>
      </c>
      <c r="N39" s="7">
        <v>2021</v>
      </c>
      <c r="O39" s="34">
        <f>(C24-C21)/C21</f>
        <v>4.9938832576022447E-2</v>
      </c>
      <c r="P39" s="34">
        <f t="shared" ref="P39:Q39" si="11">(D24-D21)/D21</f>
        <v>7.1382219338092148E-2</v>
      </c>
      <c r="Q39" s="34">
        <f t="shared" si="11"/>
        <v>5.2076466710613278E-2</v>
      </c>
    </row>
    <row r="40" spans="1:17" x14ac:dyDescent="0.3">
      <c r="A40" s="37"/>
      <c r="B40" s="7">
        <v>2022</v>
      </c>
      <c r="C40" s="34">
        <f>(C29-C26)/C26</f>
        <v>5.5169176942441521E-2</v>
      </c>
      <c r="D40" s="34">
        <f t="shared" ref="D40:E40" si="12">(D29-D26)/D26</f>
        <v>5.0372066399542142E-2</v>
      </c>
      <c r="E40" s="34">
        <f t="shared" si="12"/>
        <v>5.281372253987382E-2</v>
      </c>
      <c r="G40" s="37"/>
      <c r="H40" s="7">
        <v>2022</v>
      </c>
      <c r="I40" s="34">
        <f>(C31-C28)/C28</f>
        <v>5.2749957562383577E-2</v>
      </c>
      <c r="J40" s="34">
        <f t="shared" ref="J40:K40" si="13">(D31-D28)/D28</f>
        <v>5.6592765460910084E-2</v>
      </c>
      <c r="K40" s="34">
        <f t="shared" si="13"/>
        <v>6.0159607120933163E-2</v>
      </c>
      <c r="M40" s="37"/>
      <c r="N40" s="7">
        <v>2022</v>
      </c>
      <c r="O40" s="34">
        <f>(C30-C27)/C27</f>
        <v>4.7752926859972192E-2</v>
      </c>
      <c r="P40" s="34">
        <f t="shared" ref="P40:Q40" si="14">(D30-D27)/D27</f>
        <v>6.6827212522576729E-2</v>
      </c>
      <c r="Q40" s="34">
        <f t="shared" si="14"/>
        <v>6.6011235955056285E-2</v>
      </c>
    </row>
    <row r="44" spans="1:17" x14ac:dyDescent="0.3">
      <c r="A44" t="s">
        <v>132</v>
      </c>
    </row>
  </sheetData>
  <autoFilter ref="A1:E31" xr:uid="{A2E8AB7E-09CB-4DCA-8C8F-FD81040992DD}">
    <filterColumn colId="0">
      <filters>
        <filter val="Urban"/>
      </filters>
    </filterColumn>
  </autoFilter>
  <mergeCells count="6">
    <mergeCell ref="A36:A37"/>
    <mergeCell ref="A39:A40"/>
    <mergeCell ref="G36:G37"/>
    <mergeCell ref="G39:G40"/>
    <mergeCell ref="M36:M37"/>
    <mergeCell ref="M39: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BB7C-E6F3-4EFF-998F-58D418DD2C34}">
  <sheetPr filterMode="1"/>
  <dimension ref="A1:BB176"/>
  <sheetViews>
    <sheetView topLeftCell="A12" workbookViewId="0">
      <selection activeCell="D2" sqref="D2"/>
    </sheetView>
  </sheetViews>
  <sheetFormatPr defaultRowHeight="14.4" x14ac:dyDescent="0.3"/>
  <cols>
    <col min="1" max="1" width="29.5546875" bestFit="1" customWidth="1"/>
    <col min="2" max="2" width="11" bestFit="1" customWidth="1"/>
  </cols>
  <sheetData>
    <row r="1" spans="1:54" x14ac:dyDescent="0.3">
      <c r="A1" s="22" t="s">
        <v>0</v>
      </c>
      <c r="B1" s="1" t="s">
        <v>1</v>
      </c>
      <c r="C1" s="1" t="s">
        <v>2</v>
      </c>
      <c r="D1" s="1" t="s">
        <v>109</v>
      </c>
      <c r="E1" s="1" t="s">
        <v>3</v>
      </c>
      <c r="F1" s="1" t="s">
        <v>113</v>
      </c>
      <c r="G1" s="1" t="s">
        <v>4</v>
      </c>
      <c r="H1" s="1"/>
      <c r="I1" s="1" t="s">
        <v>5</v>
      </c>
      <c r="J1" s="1"/>
      <c r="K1" s="1" t="s">
        <v>6</v>
      </c>
      <c r="L1" s="1"/>
      <c r="M1" s="1" t="s">
        <v>7</v>
      </c>
      <c r="N1" s="1"/>
      <c r="O1" s="1" t="s">
        <v>8</v>
      </c>
      <c r="P1" s="1"/>
      <c r="Q1" s="1" t="s">
        <v>9</v>
      </c>
      <c r="R1" s="1"/>
      <c r="S1" s="1" t="s">
        <v>10</v>
      </c>
      <c r="T1" s="1"/>
      <c r="U1" s="1" t="s">
        <v>11</v>
      </c>
      <c r="V1" s="1"/>
      <c r="W1" s="1" t="s">
        <v>12</v>
      </c>
      <c r="X1" s="1"/>
      <c r="Y1" s="1" t="s">
        <v>13</v>
      </c>
      <c r="Z1" s="1"/>
      <c r="AA1" s="1" t="s">
        <v>14</v>
      </c>
      <c r="AB1" s="1"/>
      <c r="AC1" s="1" t="s">
        <v>15</v>
      </c>
      <c r="AD1" s="1"/>
      <c r="AE1" s="1" t="s">
        <v>16</v>
      </c>
      <c r="AF1" s="1"/>
      <c r="AG1" s="1" t="s">
        <v>17</v>
      </c>
      <c r="AH1" s="1" t="s">
        <v>18</v>
      </c>
      <c r="AI1" s="1" t="s">
        <v>19</v>
      </c>
      <c r="AJ1" s="1" t="s">
        <v>20</v>
      </c>
      <c r="AK1" s="1" t="s">
        <v>21</v>
      </c>
      <c r="AL1" s="1" t="s">
        <v>22</v>
      </c>
      <c r="AM1" s="1" t="s">
        <v>23</v>
      </c>
      <c r="AN1" s="1" t="s">
        <v>24</v>
      </c>
      <c r="AO1" s="1" t="s">
        <v>25</v>
      </c>
      <c r="AP1" s="1" t="s">
        <v>26</v>
      </c>
      <c r="AQ1" s="1" t="s">
        <v>27</v>
      </c>
      <c r="AR1" s="1" t="s">
        <v>28</v>
      </c>
      <c r="AS1" s="1" t="s">
        <v>29</v>
      </c>
      <c r="AT1" s="1" t="s">
        <v>76</v>
      </c>
      <c r="AU1" s="1" t="s">
        <v>111</v>
      </c>
      <c r="AV1" s="1" t="s">
        <v>77</v>
      </c>
      <c r="AW1" s="1" t="s">
        <v>78</v>
      </c>
      <c r="AX1" s="1" t="s">
        <v>79</v>
      </c>
      <c r="AY1" s="1" t="s">
        <v>81</v>
      </c>
      <c r="AZ1" s="1" t="s">
        <v>80</v>
      </c>
      <c r="BA1" s="1" t="s">
        <v>82</v>
      </c>
      <c r="BB1" s="3" t="s">
        <v>75</v>
      </c>
    </row>
    <row r="2" spans="1:54" hidden="1" x14ac:dyDescent="0.3">
      <c r="A2" s="21" t="s">
        <v>30</v>
      </c>
      <c r="B2" s="10">
        <v>2022</v>
      </c>
      <c r="C2" s="10" t="s">
        <v>38</v>
      </c>
      <c r="D2" s="10" t="str">
        <f>TEXT(DATE(B2, MONTH(1&amp;C2), 1), "mmm-yy")</f>
        <v>Jun-22</v>
      </c>
      <c r="E2" s="10">
        <v>153.80000000000001</v>
      </c>
      <c r="F2" s="10"/>
      <c r="G2" s="10">
        <v>217.2</v>
      </c>
      <c r="H2" s="10"/>
      <c r="I2" s="10">
        <v>169.6</v>
      </c>
      <c r="J2" s="10"/>
      <c r="K2" s="10">
        <v>165.4</v>
      </c>
      <c r="L2" s="10"/>
      <c r="M2" s="10">
        <v>208.1</v>
      </c>
      <c r="N2" s="10"/>
      <c r="O2" s="10">
        <v>165.8</v>
      </c>
      <c r="P2" s="10"/>
      <c r="Q2" s="10">
        <v>167.3</v>
      </c>
      <c r="R2" s="10"/>
      <c r="S2" s="10">
        <v>164.6</v>
      </c>
      <c r="T2" s="10"/>
      <c r="U2" s="10">
        <v>119.1</v>
      </c>
      <c r="V2" s="10"/>
      <c r="W2" s="10">
        <v>188.9</v>
      </c>
      <c r="X2" s="10"/>
      <c r="Y2" s="10">
        <v>174.2</v>
      </c>
      <c r="Z2" s="10"/>
      <c r="AA2" s="10">
        <v>181.9</v>
      </c>
      <c r="AB2" s="10"/>
      <c r="AC2" s="10">
        <v>172.4</v>
      </c>
      <c r="AD2" s="10"/>
      <c r="AE2" s="10">
        <v>192.9</v>
      </c>
      <c r="AF2" s="10"/>
      <c r="AG2" s="10">
        <v>180.7</v>
      </c>
      <c r="AH2" s="10">
        <v>178.7</v>
      </c>
      <c r="AI2" s="10">
        <v>180.4</v>
      </c>
      <c r="AJ2" s="23">
        <f>'Handle Missing Value Sheet only'!$F$5</f>
        <v>139.27096774193564</v>
      </c>
      <c r="AK2" s="10">
        <v>176.7</v>
      </c>
      <c r="AL2" s="10">
        <v>170.3</v>
      </c>
      <c r="AM2" s="10">
        <v>178.2</v>
      </c>
      <c r="AN2" s="10">
        <v>165.5</v>
      </c>
      <c r="AO2" s="10">
        <v>168</v>
      </c>
      <c r="AP2" s="10">
        <v>172.6</v>
      </c>
      <c r="AQ2" s="10">
        <v>169.5</v>
      </c>
      <c r="AR2" s="10">
        <v>171</v>
      </c>
      <c r="AS2" s="10">
        <v>173.6</v>
      </c>
      <c r="AT2" s="23">
        <f>AVERAGE(E2:AE2)</f>
        <v>174.37142857142859</v>
      </c>
      <c r="AU2" s="26"/>
      <c r="AV2" s="23">
        <f>AVERAGE(All_India_Index_Upto_April23__1___1[[#This Row],[Household goods and services]],All_India_Index_Upto_April23__1___1[[#This Row],[Housing]])</f>
        <v>122.03548387096782</v>
      </c>
      <c r="AW2" s="23">
        <f>AVERAGE(All_India_Index_Upto_April23__1___1[[#This Row],[Miscellaneous]],All_India_Index_Upto_April23__1___1[[#This Row],[Personal care and effects]],All_India_Index_Upto_April23__1___1[[#This Row],[Education]],All_India_Index_Upto_April23__1___1[[#This Row],[Recreation and amusement]])</f>
        <v>103.97499999999999</v>
      </c>
      <c r="AX2" s="23">
        <f>SUM(All_India_Index_Upto_April23__1___1[[#This Row],[Cereals and products]:[Pan, tobacco and intoxicants]])</f>
        <v>1476.7999999999997</v>
      </c>
      <c r="AY2" s="23">
        <f>SUM(All_India_Index_Upto_April23__1___1[[#This Row],[Household goods and services]],All_India_Index_Upto_April23__1___1[[#This Row],[Housing]])</f>
        <v>244.07096774193565</v>
      </c>
      <c r="AZ2" s="23">
        <f>All_India_Index_Upto_April23__1___1[[#This Row],[Clothing]]+All_India_Index_Upto_April23__1___1[[#This Row],[Footwear]]</f>
        <v>212.3</v>
      </c>
      <c r="BA2" s="23">
        <f>All_India_Index_Upto_April23__1___1[[#This Row],[Miscellaneous]]+All_India_Index_Upto_April23__1___1[[#This Row],[Personal care and effects]]+All_India_Index_Upto_April23__1___1[[#This Row],[Education]]+All_India_Index_Upto_April23__1___1[[#This Row],[Recreation and amusement]]</f>
        <v>415.9</v>
      </c>
      <c r="BB2"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2661.8709677419356</v>
      </c>
    </row>
    <row r="3" spans="1:54" x14ac:dyDescent="0.3">
      <c r="A3" s="20" t="s">
        <v>32</v>
      </c>
      <c r="B3" s="2">
        <v>2022</v>
      </c>
      <c r="C3" s="2" t="s">
        <v>38</v>
      </c>
      <c r="D3" s="10" t="str">
        <f t="shared" ref="D3:D37" si="0">TEXT(DATE(B3, MONTH(1&amp;C3), 1), "mmm-yy")</f>
        <v>Jun-22</v>
      </c>
      <c r="E3" s="2">
        <v>157.5</v>
      </c>
      <c r="F3" s="2"/>
      <c r="G3" s="2">
        <v>223.4</v>
      </c>
      <c r="H3" s="2"/>
      <c r="I3" s="2">
        <v>172.8</v>
      </c>
      <c r="J3" s="2"/>
      <c r="K3" s="2">
        <v>166.4</v>
      </c>
      <c r="L3" s="2"/>
      <c r="M3" s="2">
        <v>188.6</v>
      </c>
      <c r="N3" s="2"/>
      <c r="O3" s="2">
        <v>174.1</v>
      </c>
      <c r="P3" s="2"/>
      <c r="Q3" s="2">
        <v>211.5</v>
      </c>
      <c r="R3" s="2"/>
      <c r="S3" s="2">
        <v>163.6</v>
      </c>
      <c r="T3" s="2"/>
      <c r="U3" s="2">
        <v>121.4</v>
      </c>
      <c r="V3" s="2"/>
      <c r="W3" s="2">
        <v>183.5</v>
      </c>
      <c r="X3" s="2"/>
      <c r="Y3" s="2">
        <v>159.1</v>
      </c>
      <c r="Z3" s="2"/>
      <c r="AA3" s="2">
        <v>186.3</v>
      </c>
      <c r="AB3" s="2"/>
      <c r="AC3" s="2">
        <v>179.3</v>
      </c>
      <c r="AD3" s="2"/>
      <c r="AE3" s="2">
        <v>198.3</v>
      </c>
      <c r="AF3" s="2"/>
      <c r="AG3" s="2">
        <v>171.6</v>
      </c>
      <c r="AH3" s="2">
        <v>157.4</v>
      </c>
      <c r="AI3" s="2">
        <v>169.4</v>
      </c>
      <c r="AJ3" s="2">
        <v>166.8</v>
      </c>
      <c r="AK3" s="2">
        <v>174.9</v>
      </c>
      <c r="AL3" s="2">
        <v>162.1</v>
      </c>
      <c r="AM3" s="2">
        <v>170.9</v>
      </c>
      <c r="AN3" s="2">
        <v>157.19999999999999</v>
      </c>
      <c r="AO3" s="2">
        <v>164.1</v>
      </c>
      <c r="AP3" s="2">
        <v>166.5</v>
      </c>
      <c r="AQ3" s="2">
        <v>169.2</v>
      </c>
      <c r="AR3" s="2">
        <v>163.80000000000001</v>
      </c>
      <c r="AS3" s="2">
        <v>171.4</v>
      </c>
      <c r="AT3" s="23">
        <f t="shared" ref="AT3:AT37" si="1">AVERAGE(E3:AE3)</f>
        <v>177.55714285714288</v>
      </c>
      <c r="AU3" s="27">
        <f>(AT3-AT2)/AT2</f>
        <v>1.826970342454529E-2</v>
      </c>
      <c r="AV3" s="18">
        <f>AVERAGE(All_India_Index_Upto_April23__1___1[[#This Row],[Household goods and services]],All_India_Index_Upto_April23__1___1[[#This Row],[Housing]])</f>
        <v>102.55</v>
      </c>
      <c r="AW3" s="18">
        <f>AVERAGE(All_India_Index_Upto_April23__1___1[[#This Row],[Miscellaneous]],All_India_Index_Upto_April23__1___1[[#This Row],[Personal care and effects]],All_India_Index_Upto_April23__1___1[[#This Row],[Education]],All_India_Index_Upto_April23__1___1[[#This Row],[Recreation and amusement]])</f>
        <v>103.6</v>
      </c>
      <c r="AX3" s="18">
        <f>SUM(All_India_Index_Upto_April23__1___1[[#This Row],[Cereals and products]:[Pan, tobacco and intoxicants]])</f>
        <v>1481.6000000000001</v>
      </c>
      <c r="AY3" s="18">
        <f>SUM(All_India_Index_Upto_April23__1___1[[#This Row],[Household goods and services]],All_India_Index_Upto_April23__1___1[[#This Row],[Housing]])</f>
        <v>205.1</v>
      </c>
      <c r="AZ3" s="18">
        <f>All_India_Index_Upto_April23__1___1[[#This Row],[Clothing]]+All_India_Index_Upto_April23__1___1[[#This Row],[Footwear]]</f>
        <v>210.9</v>
      </c>
      <c r="BA3" s="18">
        <f>All_India_Index_Upto_April23__1___1[[#This Row],[Miscellaneous]]+All_India_Index_Upto_April23__1___1[[#This Row],[Personal care and effects]]+All_India_Index_Upto_April23__1___1[[#This Row],[Education]]+All_India_Index_Upto_April23__1___1[[#This Row],[Recreation and amusement]]</f>
        <v>414.4</v>
      </c>
      <c r="BB3"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2624.7</v>
      </c>
    </row>
    <row r="4" spans="1:54" hidden="1" x14ac:dyDescent="0.3">
      <c r="A4" s="21" t="s">
        <v>33</v>
      </c>
      <c r="B4" s="10">
        <v>2022</v>
      </c>
      <c r="C4" s="10" t="s">
        <v>38</v>
      </c>
      <c r="D4" s="10" t="str">
        <f t="shared" si="0"/>
        <v>Jun-22</v>
      </c>
      <c r="E4" s="10">
        <v>155</v>
      </c>
      <c r="F4" s="10"/>
      <c r="G4" s="10">
        <v>219.4</v>
      </c>
      <c r="H4" s="10"/>
      <c r="I4" s="10">
        <v>170.8</v>
      </c>
      <c r="J4" s="10"/>
      <c r="K4" s="10">
        <v>165.8</v>
      </c>
      <c r="L4" s="10"/>
      <c r="M4" s="10">
        <v>200.9</v>
      </c>
      <c r="N4" s="10"/>
      <c r="O4" s="10">
        <v>169.7</v>
      </c>
      <c r="P4" s="10"/>
      <c r="Q4" s="10">
        <v>182.3</v>
      </c>
      <c r="R4" s="10"/>
      <c r="S4" s="10">
        <v>164.3</v>
      </c>
      <c r="T4" s="10"/>
      <c r="U4" s="10">
        <v>119.9</v>
      </c>
      <c r="V4" s="10"/>
      <c r="W4" s="10">
        <v>187.1</v>
      </c>
      <c r="X4" s="10"/>
      <c r="Y4" s="10">
        <v>167.9</v>
      </c>
      <c r="Z4" s="10"/>
      <c r="AA4" s="10">
        <v>183.9</v>
      </c>
      <c r="AB4" s="10"/>
      <c r="AC4" s="10">
        <v>174.9</v>
      </c>
      <c r="AD4" s="10"/>
      <c r="AE4" s="10">
        <v>194.3</v>
      </c>
      <c r="AF4" s="10"/>
      <c r="AG4" s="10">
        <v>177.1</v>
      </c>
      <c r="AH4" s="10">
        <v>169.9</v>
      </c>
      <c r="AI4" s="10">
        <v>176</v>
      </c>
      <c r="AJ4" s="10">
        <v>166.8</v>
      </c>
      <c r="AK4" s="10">
        <v>176</v>
      </c>
      <c r="AL4" s="10">
        <v>166.4</v>
      </c>
      <c r="AM4" s="10">
        <v>175.4</v>
      </c>
      <c r="AN4" s="10">
        <v>161.1</v>
      </c>
      <c r="AO4" s="10">
        <v>165.8</v>
      </c>
      <c r="AP4" s="10">
        <v>169</v>
      </c>
      <c r="AQ4" s="10">
        <v>169.4</v>
      </c>
      <c r="AR4" s="10">
        <v>167.5</v>
      </c>
      <c r="AS4" s="10">
        <v>172.6</v>
      </c>
      <c r="AT4" s="23">
        <f t="shared" si="1"/>
        <v>175.44285714285715</v>
      </c>
      <c r="AU4" s="27">
        <f t="shared" ref="AU4:AU37" si="2">(AT4-AT3)/AT3</f>
        <v>-1.1907635368895402E-2</v>
      </c>
      <c r="AV4" s="23">
        <f>AVERAGE(All_India_Index_Upto_April23__1___1[[#This Row],[Household goods and services]],All_India_Index_Upto_April23__1___1[[#This Row],[Housing]])</f>
        <v>102.55</v>
      </c>
      <c r="AW4" s="23">
        <f>AVERAGE(All_India_Index_Upto_April23__1___1[[#This Row],[Miscellaneous]],All_India_Index_Upto_April23__1___1[[#This Row],[Personal care and effects]],All_India_Index_Upto_April23__1___1[[#This Row],[Education]],All_India_Index_Upto_April23__1___1[[#This Row],[Recreation and amusement]])</f>
        <v>103.77500000000001</v>
      </c>
      <c r="AX4" s="23">
        <f>SUM(All_India_Index_Upto_April23__1___1[[#This Row],[Cereals and products]:[Pan, tobacco and intoxicants]])</f>
        <v>1478.4</v>
      </c>
      <c r="AY4" s="23">
        <f>SUM(All_India_Index_Upto_April23__1___1[[#This Row],[Household goods and services]],All_India_Index_Upto_April23__1___1[[#This Row],[Housing]])</f>
        <v>205.1</v>
      </c>
      <c r="AZ4" s="23">
        <f>All_India_Index_Upto_April23__1___1[[#This Row],[Clothing]]+All_India_Index_Upto_April23__1___1[[#This Row],[Footwear]]</f>
        <v>211.8</v>
      </c>
      <c r="BA4" s="23">
        <f>All_India_Index_Upto_April23__1___1[[#This Row],[Miscellaneous]]+All_India_Index_Upto_April23__1___1[[#This Row],[Personal care and effects]]+All_India_Index_Upto_April23__1___1[[#This Row],[Education]]+All_India_Index_Upto_April23__1___1[[#This Row],[Recreation and amusement]]</f>
        <v>415.1</v>
      </c>
      <c r="BB4"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2623.1</v>
      </c>
    </row>
    <row r="5" spans="1:54" hidden="1" x14ac:dyDescent="0.3">
      <c r="A5" s="20" t="s">
        <v>30</v>
      </c>
      <c r="B5" s="2">
        <v>2022</v>
      </c>
      <c r="C5" s="2" t="s">
        <v>39</v>
      </c>
      <c r="D5" s="10" t="str">
        <f t="shared" si="0"/>
        <v>Jul-22</v>
      </c>
      <c r="E5" s="2">
        <v>155.19999999999999</v>
      </c>
      <c r="F5" s="29">
        <f>(E5-E2)/E2</f>
        <v>9.102730819245626E-3</v>
      </c>
      <c r="G5" s="2">
        <v>210.8</v>
      </c>
      <c r="H5" s="29">
        <f>(G5-G2)/G2</f>
        <v>-2.9465930018416103E-2</v>
      </c>
      <c r="I5" s="2">
        <v>174.3</v>
      </c>
      <c r="J5" s="29">
        <f>(I5-I2)/I2</f>
        <v>2.7712264150943498E-2</v>
      </c>
      <c r="K5" s="2">
        <v>166.3</v>
      </c>
      <c r="L5" s="29">
        <f>(K5-K2)/K2</f>
        <v>5.4413542926239761E-3</v>
      </c>
      <c r="M5" s="2">
        <v>202.2</v>
      </c>
      <c r="N5" s="29">
        <f>(M5-M2)/M2</f>
        <v>-2.8351753964440202E-2</v>
      </c>
      <c r="O5" s="2">
        <v>169.6</v>
      </c>
      <c r="P5" s="29">
        <f>(O5-O2)/O2</f>
        <v>2.2919179734619918E-2</v>
      </c>
      <c r="Q5" s="2">
        <v>168.6</v>
      </c>
      <c r="R5" s="29">
        <f>(Q5-Q2)/Q2</f>
        <v>7.770472205618547E-3</v>
      </c>
      <c r="S5" s="2">
        <v>164.4</v>
      </c>
      <c r="T5" s="29">
        <f>(S5-S2)/S2</f>
        <v>-1.2150668286755081E-3</v>
      </c>
      <c r="U5" s="2">
        <v>119.2</v>
      </c>
      <c r="V5" s="29">
        <f>(U5-U2)/U2</f>
        <v>8.3963056255254855E-4</v>
      </c>
      <c r="W5" s="2">
        <v>191.8</v>
      </c>
      <c r="X5" s="29">
        <f>(W5-W2)/W2</f>
        <v>1.5352038115405005E-2</v>
      </c>
      <c r="Y5" s="2">
        <v>174.5</v>
      </c>
      <c r="Z5" s="29">
        <f>(Y5-Y2)/Y2</f>
        <v>1.7221584385764144E-3</v>
      </c>
      <c r="AA5" s="2">
        <v>183.1</v>
      </c>
      <c r="AB5" s="29">
        <f>(AA5-AA2)/AA2</f>
        <v>6.5970313358987825E-3</v>
      </c>
      <c r="AC5" s="2">
        <v>172.5</v>
      </c>
      <c r="AD5" s="29">
        <f>(AC5-AC2)/AC2</f>
        <v>5.80046403712264E-4</v>
      </c>
      <c r="AE5" s="2">
        <v>193.2</v>
      </c>
      <c r="AF5" s="29">
        <f>(AE5-AE2)/AE2</f>
        <v>1.5552099533436129E-3</v>
      </c>
      <c r="AG5" s="2">
        <v>182</v>
      </c>
      <c r="AH5" s="2">
        <v>180.3</v>
      </c>
      <c r="AI5" s="2">
        <v>181.7</v>
      </c>
      <c r="AJ5" s="18">
        <f>'Handle Missing Value Sheet only'!$F$5</f>
        <v>139.27096774193564</v>
      </c>
      <c r="AK5" s="2">
        <v>179.6</v>
      </c>
      <c r="AL5" s="2">
        <v>171.3</v>
      </c>
      <c r="AM5" s="2">
        <v>178.8</v>
      </c>
      <c r="AN5" s="2">
        <v>166.3</v>
      </c>
      <c r="AO5" s="2">
        <v>168.6</v>
      </c>
      <c r="AP5" s="2">
        <v>174.7</v>
      </c>
      <c r="AQ5" s="2">
        <v>169.7</v>
      </c>
      <c r="AR5" s="2">
        <v>171.8</v>
      </c>
      <c r="AS5" s="2">
        <v>174.3</v>
      </c>
      <c r="AT5" s="23">
        <f t="shared" si="1"/>
        <v>90.582926079823963</v>
      </c>
      <c r="AU5" s="27">
        <f t="shared" si="2"/>
        <v>-0.48368986030553884</v>
      </c>
      <c r="AV5" s="18">
        <f>AVERAGE(All_India_Index_Upto_April23__1___1[[#This Row],[Household goods and services]],All_India_Index_Upto_April23__1___1[[#This Row],[Housing]])</f>
        <v>122.23548387096781</v>
      </c>
      <c r="AW5" s="18">
        <f>AVERAGE(All_India_Index_Upto_April23__1___1[[#This Row],[Miscellaneous]],All_India_Index_Upto_April23__1___1[[#This Row],[Personal care and effects]],All_India_Index_Upto_April23__1___1[[#This Row],[Education]],All_India_Index_Upto_April23__1___1[[#This Row],[Recreation and amusement]])</f>
        <v>104.27500000000001</v>
      </c>
      <c r="AX5" s="18">
        <f>SUM(All_India_Index_Upto_April23__1___1[[#This Row],[Cereals and products]:[Pan, tobacco and intoxicants]])</f>
        <v>1485.9999999999998</v>
      </c>
      <c r="AY5" s="18">
        <f>SUM(All_India_Index_Upto_April23__1___1[[#This Row],[Household goods and services]],All_India_Index_Upto_April23__1___1[[#This Row],[Housing]])</f>
        <v>244.47096774193562</v>
      </c>
      <c r="AZ5" s="18">
        <f>All_India_Index_Upto_April23__1___1[[#This Row],[Clothing]]+All_India_Index_Upto_April23__1___1[[#This Row],[Footwear]]</f>
        <v>213.39999999999998</v>
      </c>
      <c r="BA5" s="18">
        <f>All_India_Index_Upto_April23__1___1[[#This Row],[Miscellaneous]]+All_India_Index_Upto_April23__1___1[[#This Row],[Personal care and effects]]+All_India_Index_Upto_April23__1___1[[#This Row],[Education]]+All_India_Index_Upto_April23__1___1[[#This Row],[Recreation and amusement]]</f>
        <v>417.1</v>
      </c>
      <c r="BB5"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2675.4709677419355</v>
      </c>
    </row>
    <row r="6" spans="1:54" x14ac:dyDescent="0.3">
      <c r="A6" s="21" t="s">
        <v>32</v>
      </c>
      <c r="B6" s="10">
        <v>2022</v>
      </c>
      <c r="C6" s="10" t="s">
        <v>39</v>
      </c>
      <c r="D6" s="10" t="str">
        <f t="shared" si="0"/>
        <v>Jul-22</v>
      </c>
      <c r="E6" s="10">
        <v>159.30000000000001</v>
      </c>
      <c r="F6" s="10"/>
      <c r="G6" s="10">
        <v>217.1</v>
      </c>
      <c r="H6" s="10"/>
      <c r="I6" s="10">
        <v>176.6</v>
      </c>
      <c r="J6" s="10"/>
      <c r="K6" s="10">
        <v>167.1</v>
      </c>
      <c r="L6" s="10"/>
      <c r="M6" s="10">
        <v>184.8</v>
      </c>
      <c r="N6" s="10"/>
      <c r="O6" s="10">
        <v>179.5</v>
      </c>
      <c r="P6" s="10"/>
      <c r="Q6" s="10">
        <v>208.5</v>
      </c>
      <c r="R6" s="10"/>
      <c r="S6" s="10">
        <v>164</v>
      </c>
      <c r="T6" s="10"/>
      <c r="U6" s="10">
        <v>121.5</v>
      </c>
      <c r="V6" s="10"/>
      <c r="W6" s="10">
        <v>186.3</v>
      </c>
      <c r="X6" s="10"/>
      <c r="Y6" s="10">
        <v>159.80000000000001</v>
      </c>
      <c r="Z6" s="10"/>
      <c r="AA6" s="10">
        <v>187.7</v>
      </c>
      <c r="AB6" s="10"/>
      <c r="AC6" s="10">
        <v>179.4</v>
      </c>
      <c r="AD6" s="10"/>
      <c r="AE6" s="10">
        <v>198.6</v>
      </c>
      <c r="AF6" s="10"/>
      <c r="AG6" s="10">
        <v>172.7</v>
      </c>
      <c r="AH6" s="10">
        <v>158.69999999999999</v>
      </c>
      <c r="AI6" s="10">
        <v>170.6</v>
      </c>
      <c r="AJ6" s="10">
        <v>167.8</v>
      </c>
      <c r="AK6" s="10">
        <v>179.5</v>
      </c>
      <c r="AL6" s="10">
        <v>163.1</v>
      </c>
      <c r="AM6" s="10">
        <v>171.7</v>
      </c>
      <c r="AN6" s="10">
        <v>157.4</v>
      </c>
      <c r="AO6" s="10">
        <v>164.6</v>
      </c>
      <c r="AP6" s="10">
        <v>169.1</v>
      </c>
      <c r="AQ6" s="10">
        <v>169.8</v>
      </c>
      <c r="AR6" s="10">
        <v>164.7</v>
      </c>
      <c r="AS6" s="10">
        <v>172.3</v>
      </c>
      <c r="AT6" s="23">
        <f t="shared" si="1"/>
        <v>177.87142857142857</v>
      </c>
      <c r="AU6" s="27">
        <f t="shared" si="2"/>
        <v>0.96363085483332445</v>
      </c>
      <c r="AV6" s="23">
        <f>AVERAGE(All_India_Index_Upto_April23__1___1[[#This Row],[Household goods and services]],All_India_Index_Upto_April23__1___1[[#This Row],[Housing]])</f>
        <v>102.80000000000001</v>
      </c>
      <c r="AW6" s="23">
        <f>AVERAGE(All_India_Index_Upto_April23__1___1[[#This Row],[Miscellaneous]],All_India_Index_Upto_April23__1___1[[#This Row],[Personal care and effects]],All_India_Index_Upto_April23__1___1[[#This Row],[Education]],All_India_Index_Upto_April23__1___1[[#This Row],[Recreation and amusement]])</f>
        <v>103.9</v>
      </c>
      <c r="AX6" s="23">
        <f>SUM(All_India_Index_Upto_April23__1___1[[#This Row],[Cereals and products]:[Pan, tobacco and intoxicants]])</f>
        <v>1496.6000000000001</v>
      </c>
      <c r="AY6" s="23">
        <f>SUM(All_India_Index_Upto_April23__1___1[[#This Row],[Household goods and services]],All_India_Index_Upto_April23__1___1[[#This Row],[Housing]])</f>
        <v>205.60000000000002</v>
      </c>
      <c r="AZ6" s="23">
        <f>All_India_Index_Upto_April23__1___1[[#This Row],[Clothing]]+All_India_Index_Upto_April23__1___1[[#This Row],[Footwear]]</f>
        <v>212.1</v>
      </c>
      <c r="BA6" s="23">
        <f>All_India_Index_Upto_April23__1___1[[#This Row],[Miscellaneous]]+All_India_Index_Upto_April23__1___1[[#This Row],[Personal care and effects]]+All_India_Index_Upto_April23__1___1[[#This Row],[Education]]+All_India_Index_Upto_April23__1___1[[#This Row],[Recreation and amusement]]</f>
        <v>415.6</v>
      </c>
      <c r="BB6"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2644.7</v>
      </c>
    </row>
    <row r="7" spans="1:54" hidden="1" x14ac:dyDescent="0.3">
      <c r="A7" s="20" t="s">
        <v>33</v>
      </c>
      <c r="B7" s="2">
        <v>2022</v>
      </c>
      <c r="C7" s="2" t="s">
        <v>39</v>
      </c>
      <c r="D7" s="10" t="str">
        <f t="shared" si="0"/>
        <v>Jul-22</v>
      </c>
      <c r="E7" s="2">
        <v>156.5</v>
      </c>
      <c r="F7" s="29">
        <f>(E7-E4)/E4</f>
        <v>9.6774193548387101E-3</v>
      </c>
      <c r="G7" s="2">
        <v>213</v>
      </c>
      <c r="H7" s="29">
        <f>(G7-G4)/G4</f>
        <v>-2.9170464904284436E-2</v>
      </c>
      <c r="I7" s="2">
        <v>175.2</v>
      </c>
      <c r="J7" s="29">
        <f>(I7-I4)/I4</f>
        <v>2.5761124121779725E-2</v>
      </c>
      <c r="K7" s="2">
        <v>166.6</v>
      </c>
      <c r="L7" s="29">
        <f>(K7-K4)/K4</f>
        <v>4.8250904704462173E-3</v>
      </c>
      <c r="M7" s="2">
        <v>195.8</v>
      </c>
      <c r="N7" s="29">
        <f>(M7-M4)/M4</f>
        <v>-2.5385764061722219E-2</v>
      </c>
      <c r="O7" s="2">
        <v>174.2</v>
      </c>
      <c r="P7" s="29">
        <f>(O7-O4)/O4</f>
        <v>2.6517383618149679E-2</v>
      </c>
      <c r="Q7" s="2">
        <v>182.1</v>
      </c>
      <c r="R7" s="29">
        <f>(Q7-Q4)/Q4</f>
        <v>-1.0970927043336097E-3</v>
      </c>
      <c r="S7" s="2">
        <v>164.3</v>
      </c>
      <c r="T7" s="29">
        <f>(S7-S4)/S4</f>
        <v>0</v>
      </c>
      <c r="U7" s="2">
        <v>120</v>
      </c>
      <c r="V7" s="29">
        <f>(U7-U4)/U4</f>
        <v>8.3402835696408937E-4</v>
      </c>
      <c r="W7" s="2">
        <v>190</v>
      </c>
      <c r="X7" s="29">
        <f>(W7-W4)/W4</f>
        <v>1.5499732763228252E-2</v>
      </c>
      <c r="Y7" s="2">
        <v>168.4</v>
      </c>
      <c r="Z7" s="29">
        <f>(Y7-Y4)/Y4</f>
        <v>2.9779630732578916E-3</v>
      </c>
      <c r="AA7" s="2">
        <v>185.2</v>
      </c>
      <c r="AB7" s="29">
        <f>(AA7-AA4)/AA4</f>
        <v>7.0690592713430287E-3</v>
      </c>
      <c r="AC7" s="2">
        <v>175</v>
      </c>
      <c r="AD7" s="29">
        <f>(AC7-AC4)/AC4</f>
        <v>5.7175528873638828E-4</v>
      </c>
      <c r="AE7" s="2">
        <v>194.6</v>
      </c>
      <c r="AF7" s="29">
        <f>(AE7-AE4)/AE4</f>
        <v>1.5440041173442251E-3</v>
      </c>
      <c r="AG7" s="2">
        <v>178.3</v>
      </c>
      <c r="AH7" s="2">
        <v>171.3</v>
      </c>
      <c r="AI7" s="2">
        <v>177.3</v>
      </c>
      <c r="AJ7" s="2">
        <v>167.8</v>
      </c>
      <c r="AK7" s="2">
        <v>179.6</v>
      </c>
      <c r="AL7" s="2">
        <v>167.4</v>
      </c>
      <c r="AM7" s="2">
        <v>176.1</v>
      </c>
      <c r="AN7" s="2">
        <v>161.6</v>
      </c>
      <c r="AO7" s="2">
        <v>166.3</v>
      </c>
      <c r="AP7" s="2">
        <v>171.4</v>
      </c>
      <c r="AQ7" s="2">
        <v>169.7</v>
      </c>
      <c r="AR7" s="2">
        <v>168.4</v>
      </c>
      <c r="AS7" s="2">
        <v>173.4</v>
      </c>
      <c r="AT7" s="23">
        <f t="shared" si="1"/>
        <v>91.145854823505488</v>
      </c>
      <c r="AU7" s="27">
        <f t="shared" si="2"/>
        <v>-0.48757450504815802</v>
      </c>
      <c r="AV7" s="18">
        <f>AVERAGE(All_India_Index_Upto_April23__1___1[[#This Row],[Household goods and services]],All_India_Index_Upto_April23__1___1[[#This Row],[Housing]])</f>
        <v>102.80000000000001</v>
      </c>
      <c r="AW7" s="18">
        <f>AVERAGE(All_India_Index_Upto_April23__1___1[[#This Row],[Miscellaneous]],All_India_Index_Upto_April23__1___1[[#This Row],[Personal care and effects]],All_India_Index_Upto_April23__1___1[[#This Row],[Education]],All_India_Index_Upto_April23__1___1[[#This Row],[Recreation and amusement]])</f>
        <v>104.1</v>
      </c>
      <c r="AX7" s="18">
        <f>SUM(All_India_Index_Upto_April23__1___1[[#This Row],[Cereals and products]:[Pan, tobacco and intoxicants]])</f>
        <v>1489.9</v>
      </c>
      <c r="AY7" s="18">
        <f>SUM(All_India_Index_Upto_April23__1___1[[#This Row],[Household goods and services]],All_India_Index_Upto_April23__1___1[[#This Row],[Housing]])</f>
        <v>205.60000000000002</v>
      </c>
      <c r="AZ7" s="18">
        <f>All_India_Index_Upto_April23__1___1[[#This Row],[Clothing]]+All_India_Index_Upto_April23__1___1[[#This Row],[Footwear]]</f>
        <v>212.9</v>
      </c>
      <c r="BA7" s="18">
        <f>All_India_Index_Upto_April23__1___1[[#This Row],[Miscellaneous]]+All_India_Index_Upto_April23__1___1[[#This Row],[Personal care and effects]]+All_India_Index_Upto_April23__1___1[[#This Row],[Education]]+All_India_Index_Upto_April23__1___1[[#This Row],[Recreation and amusement]]</f>
        <v>416.4</v>
      </c>
      <c r="BB7"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2639.5</v>
      </c>
    </row>
    <row r="8" spans="1:54" hidden="1" x14ac:dyDescent="0.3">
      <c r="A8" s="21" t="s">
        <v>30</v>
      </c>
      <c r="B8" s="10">
        <v>2022</v>
      </c>
      <c r="C8" s="10" t="s">
        <v>40</v>
      </c>
      <c r="D8" s="10" t="str">
        <f t="shared" si="0"/>
        <v>Aug-22</v>
      </c>
      <c r="E8" s="10">
        <v>159.5</v>
      </c>
      <c r="F8" s="29">
        <f>(E8-E5)/E5</f>
        <v>2.7706185567010384E-2</v>
      </c>
      <c r="G8" s="10">
        <v>204.1</v>
      </c>
      <c r="H8" s="29">
        <f>(G8-G5)/G5</f>
        <v>-3.1783681214421329E-2</v>
      </c>
      <c r="I8" s="10">
        <v>168.3</v>
      </c>
      <c r="J8" s="29">
        <f>(I8-I5)/I5</f>
        <v>-3.4423407917383818E-2</v>
      </c>
      <c r="K8" s="10">
        <v>167.9</v>
      </c>
      <c r="L8" s="29">
        <f>(K8-K5)/K5</f>
        <v>9.6211665664461474E-3</v>
      </c>
      <c r="M8" s="10">
        <v>198.1</v>
      </c>
      <c r="N8" s="29">
        <f>(M8-M5)/M5</f>
        <v>-2.0276953511374849E-2</v>
      </c>
      <c r="O8" s="10">
        <v>169.2</v>
      </c>
      <c r="P8" s="29">
        <f>(O8-O5)/O5</f>
        <v>-2.3584905660377696E-3</v>
      </c>
      <c r="Q8" s="10">
        <v>173.1</v>
      </c>
      <c r="R8" s="29">
        <f>(Q8-Q5)/Q5</f>
        <v>2.6690391459074734E-2</v>
      </c>
      <c r="S8" s="10">
        <v>167.1</v>
      </c>
      <c r="T8" s="29">
        <f>(S8-S5)/S5</f>
        <v>1.6423357664233508E-2</v>
      </c>
      <c r="U8" s="10">
        <v>120.2</v>
      </c>
      <c r="V8" s="29">
        <f>(U8-U5)/U5</f>
        <v>8.389261744966443E-3</v>
      </c>
      <c r="W8" s="10">
        <v>195.6</v>
      </c>
      <c r="X8" s="29">
        <f>(W8-W5)/W5</f>
        <v>1.981230448383724E-2</v>
      </c>
      <c r="Y8" s="10">
        <v>174.8</v>
      </c>
      <c r="Z8" s="29">
        <f>(Y8-Y5)/Y5</f>
        <v>1.7191977077364547E-3</v>
      </c>
      <c r="AA8" s="10">
        <v>184</v>
      </c>
      <c r="AB8" s="29">
        <f>(AA8-AA5)/AA5</f>
        <v>4.9153468050246079E-3</v>
      </c>
      <c r="AC8" s="10">
        <v>173.9</v>
      </c>
      <c r="AD8" s="29">
        <f>(AC8-AC5)/AC5</f>
        <v>8.1159420289855407E-3</v>
      </c>
      <c r="AE8" s="10">
        <v>193.7</v>
      </c>
      <c r="AF8" s="29">
        <f>(AE8-AE5)/AE5</f>
        <v>2.587991718426501E-3</v>
      </c>
      <c r="AG8" s="10">
        <v>183.2</v>
      </c>
      <c r="AH8" s="10">
        <v>181.7</v>
      </c>
      <c r="AI8" s="10">
        <v>183</v>
      </c>
      <c r="AJ8" s="23">
        <f>'Handle Missing Value Sheet only'!$F$5</f>
        <v>139.27096774193564</v>
      </c>
      <c r="AK8" s="10">
        <v>179.1</v>
      </c>
      <c r="AL8" s="10">
        <v>172.3</v>
      </c>
      <c r="AM8" s="10">
        <v>179.4</v>
      </c>
      <c r="AN8" s="10">
        <v>166.6</v>
      </c>
      <c r="AO8" s="10">
        <v>169.3</v>
      </c>
      <c r="AP8" s="10">
        <v>175.7</v>
      </c>
      <c r="AQ8" s="10">
        <v>171.1</v>
      </c>
      <c r="AR8" s="10">
        <v>172.6</v>
      </c>
      <c r="AS8" s="10">
        <v>175.3</v>
      </c>
      <c r="AT8" s="23">
        <f t="shared" si="1"/>
        <v>90.723501874845098</v>
      </c>
      <c r="AU8" s="27">
        <f t="shared" si="2"/>
        <v>-4.6338141156087916E-3</v>
      </c>
      <c r="AV8" s="23">
        <f>AVERAGE(All_India_Index_Upto_April23__1___1[[#This Row],[Household goods and services]],All_India_Index_Upto_April23__1___1[[#This Row],[Housing]])</f>
        <v>122.43548387096781</v>
      </c>
      <c r="AW8" s="23">
        <f>AVERAGE(All_India_Index_Upto_April23__1___1[[#This Row],[Miscellaneous]],All_India_Index_Upto_April23__1___1[[#This Row],[Personal care and effects]],All_India_Index_Upto_April23__1___1[[#This Row],[Education]],All_India_Index_Upto_April23__1___1[[#This Row],[Recreation and amusement]])</f>
        <v>104.3</v>
      </c>
      <c r="AX8" s="23">
        <f>SUM(All_India_Index_Upto_April23__1___1[[#This Row],[Cereals and products]:[Pan, tobacco and intoxicants]])</f>
        <v>1488.7</v>
      </c>
      <c r="AY8" s="23">
        <f>SUM(All_India_Index_Upto_April23__1___1[[#This Row],[Household goods and services]],All_India_Index_Upto_April23__1___1[[#This Row],[Housing]])</f>
        <v>244.87096774193563</v>
      </c>
      <c r="AZ8" s="23">
        <f>All_India_Index_Upto_April23__1___1[[#This Row],[Clothing]]+All_India_Index_Upto_April23__1___1[[#This Row],[Footwear]]</f>
        <v>214.39999999999998</v>
      </c>
      <c r="BA8" s="23">
        <f>All_India_Index_Upto_April23__1___1[[#This Row],[Miscellaneous]]+All_India_Index_Upto_April23__1___1[[#This Row],[Personal care and effects]]+All_India_Index_Upto_April23__1___1[[#This Row],[Education]]+All_India_Index_Upto_April23__1___1[[#This Row],[Recreation and amusement]]</f>
        <v>417.2</v>
      </c>
      <c r="BB8"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2680.5709677419354</v>
      </c>
    </row>
    <row r="9" spans="1:54" x14ac:dyDescent="0.3">
      <c r="A9" s="20" t="s">
        <v>32</v>
      </c>
      <c r="B9" s="2">
        <v>2022</v>
      </c>
      <c r="C9" s="2" t="s">
        <v>40</v>
      </c>
      <c r="D9" s="10" t="str">
        <f t="shared" si="0"/>
        <v>Aug-22</v>
      </c>
      <c r="E9" s="2">
        <v>162.1</v>
      </c>
      <c r="F9" s="2"/>
      <c r="G9" s="2">
        <v>210.9</v>
      </c>
      <c r="H9" s="2"/>
      <c r="I9" s="2">
        <v>170.6</v>
      </c>
      <c r="J9" s="2"/>
      <c r="K9" s="2">
        <v>168.4</v>
      </c>
      <c r="L9" s="2"/>
      <c r="M9" s="2">
        <v>182.5</v>
      </c>
      <c r="N9" s="2"/>
      <c r="O9" s="2">
        <v>177.1</v>
      </c>
      <c r="P9" s="2"/>
      <c r="Q9" s="2">
        <v>213.1</v>
      </c>
      <c r="R9" s="2"/>
      <c r="S9" s="2">
        <v>167.3</v>
      </c>
      <c r="T9" s="2"/>
      <c r="U9" s="2">
        <v>122.2</v>
      </c>
      <c r="V9" s="2"/>
      <c r="W9" s="2">
        <v>189.7</v>
      </c>
      <c r="X9" s="2"/>
      <c r="Y9" s="2">
        <v>160.5</v>
      </c>
      <c r="Z9" s="2"/>
      <c r="AA9" s="2">
        <v>188.9</v>
      </c>
      <c r="AB9" s="2"/>
      <c r="AC9" s="2">
        <v>180.4</v>
      </c>
      <c r="AD9" s="2"/>
      <c r="AE9" s="2">
        <v>198.7</v>
      </c>
      <c r="AF9" s="2"/>
      <c r="AG9" s="2">
        <v>173.7</v>
      </c>
      <c r="AH9" s="2">
        <v>160</v>
      </c>
      <c r="AI9" s="2">
        <v>171.6</v>
      </c>
      <c r="AJ9" s="2">
        <v>169</v>
      </c>
      <c r="AK9" s="2">
        <v>178.4</v>
      </c>
      <c r="AL9" s="2">
        <v>164.2</v>
      </c>
      <c r="AM9" s="2">
        <v>172.6</v>
      </c>
      <c r="AN9" s="2">
        <v>157.69999999999999</v>
      </c>
      <c r="AO9" s="2">
        <v>165.1</v>
      </c>
      <c r="AP9" s="2">
        <v>169.9</v>
      </c>
      <c r="AQ9" s="2">
        <v>171.4</v>
      </c>
      <c r="AR9" s="2">
        <v>165.4</v>
      </c>
      <c r="AS9" s="2">
        <v>173.1</v>
      </c>
      <c r="AT9" s="23">
        <f t="shared" si="1"/>
        <v>178.02857142857141</v>
      </c>
      <c r="AU9" s="27">
        <f t="shared" si="2"/>
        <v>0.96232032218250807</v>
      </c>
      <c r="AV9" s="18">
        <f>AVERAGE(All_India_Index_Upto_April23__1___1[[#This Row],[Household goods and services]],All_India_Index_Upto_April23__1___1[[#This Row],[Housing]])</f>
        <v>103.05000000000001</v>
      </c>
      <c r="AW9" s="18">
        <f>AVERAGE(All_India_Index_Upto_April23__1___1[[#This Row],[Miscellaneous]],All_India_Index_Upto_April23__1___1[[#This Row],[Personal care and effects]],All_India_Index_Upto_April23__1___1[[#This Row],[Education]],All_India_Index_Upto_April23__1___1[[#This Row],[Recreation and amusement]])</f>
        <v>104.10000000000001</v>
      </c>
      <c r="AX9" s="18">
        <f>SUM(All_India_Index_Upto_April23__1___1[[#This Row],[Cereals and products]:[Pan, tobacco and intoxicants]])</f>
        <v>1493.6</v>
      </c>
      <c r="AY9" s="18">
        <f>SUM(All_India_Index_Upto_April23__1___1[[#This Row],[Household goods and services]],All_India_Index_Upto_April23__1___1[[#This Row],[Housing]])</f>
        <v>206.10000000000002</v>
      </c>
      <c r="AZ9" s="18">
        <f>All_India_Index_Upto_April23__1___1[[#This Row],[Clothing]]+All_India_Index_Upto_April23__1___1[[#This Row],[Footwear]]</f>
        <v>213.2</v>
      </c>
      <c r="BA9" s="18">
        <f>All_India_Index_Upto_April23__1___1[[#This Row],[Miscellaneous]]+All_India_Index_Upto_April23__1___1[[#This Row],[Personal care and effects]]+All_India_Index_Upto_April23__1___1[[#This Row],[Education]]+All_India_Index_Upto_April23__1___1[[#This Row],[Recreation and amusement]]</f>
        <v>416.40000000000003</v>
      </c>
      <c r="BB9"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2646</v>
      </c>
    </row>
    <row r="10" spans="1:54" hidden="1" x14ac:dyDescent="0.3">
      <c r="A10" s="21" t="s">
        <v>33</v>
      </c>
      <c r="B10" s="10">
        <v>2022</v>
      </c>
      <c r="C10" s="10" t="s">
        <v>40</v>
      </c>
      <c r="D10" s="10" t="str">
        <f t="shared" si="0"/>
        <v>Aug-22</v>
      </c>
      <c r="E10" s="10">
        <v>160.30000000000001</v>
      </c>
      <c r="F10" s="29">
        <f>(E10-E7)/E7</f>
        <v>2.4281150159744483E-2</v>
      </c>
      <c r="G10" s="10">
        <v>206.5</v>
      </c>
      <c r="H10" s="29">
        <f>(G10-G7)/G7</f>
        <v>-3.0516431924882629E-2</v>
      </c>
      <c r="I10" s="10">
        <v>169.2</v>
      </c>
      <c r="J10" s="29">
        <f>(I10-I7)/I7</f>
        <v>-3.4246575342465758E-2</v>
      </c>
      <c r="K10" s="10">
        <v>168.1</v>
      </c>
      <c r="L10" s="29">
        <f>(K10-K7)/K7</f>
        <v>9.00360144057623E-3</v>
      </c>
      <c r="M10" s="10">
        <v>192.4</v>
      </c>
      <c r="N10" s="29">
        <f>(M10-M7)/M7</f>
        <v>-1.7364657814096043E-2</v>
      </c>
      <c r="O10" s="10">
        <v>172.9</v>
      </c>
      <c r="P10" s="29">
        <f>(O10-O7)/O7</f>
        <v>-7.4626865671640818E-3</v>
      </c>
      <c r="Q10" s="10">
        <v>186.7</v>
      </c>
      <c r="R10" s="29">
        <f>(Q10-Q7)/Q7</f>
        <v>2.5260845689181737E-2</v>
      </c>
      <c r="S10" s="10">
        <v>167.2</v>
      </c>
      <c r="T10" s="29">
        <f>(S10-S7)/S7</f>
        <v>1.7650639074862917E-2</v>
      </c>
      <c r="U10" s="10">
        <v>120.9</v>
      </c>
      <c r="V10" s="29">
        <f>(U10-U7)/U7</f>
        <v>7.5000000000000474E-3</v>
      </c>
      <c r="W10" s="10">
        <v>193.6</v>
      </c>
      <c r="X10" s="29">
        <f>(W10-W7)/W7</f>
        <v>1.8947368421052602E-2</v>
      </c>
      <c r="Y10" s="10">
        <v>168.8</v>
      </c>
      <c r="Z10" s="29">
        <f>(Y10-Y7)/Y7</f>
        <v>2.3752969121140478E-3</v>
      </c>
      <c r="AA10" s="10">
        <v>186.3</v>
      </c>
      <c r="AB10" s="29">
        <f>(AA10-AA7)/AA7</f>
        <v>5.9395248380130824E-3</v>
      </c>
      <c r="AC10" s="10">
        <v>176.3</v>
      </c>
      <c r="AD10" s="29">
        <f>(AC10-AC7)/AC7</f>
        <v>7.4285714285714935E-3</v>
      </c>
      <c r="AE10" s="10">
        <v>195</v>
      </c>
      <c r="AF10" s="29">
        <f>(AE10-AE7)/AE7</f>
        <v>2.0554984583761853E-3</v>
      </c>
      <c r="AG10" s="10">
        <v>179.5</v>
      </c>
      <c r="AH10" s="10">
        <v>172.7</v>
      </c>
      <c r="AI10" s="10">
        <v>178.5</v>
      </c>
      <c r="AJ10" s="10">
        <v>169</v>
      </c>
      <c r="AK10" s="10">
        <v>178.8</v>
      </c>
      <c r="AL10" s="10">
        <v>168.5</v>
      </c>
      <c r="AM10" s="10">
        <v>176.8</v>
      </c>
      <c r="AN10" s="10">
        <v>161.9</v>
      </c>
      <c r="AO10" s="10">
        <v>166.9</v>
      </c>
      <c r="AP10" s="10">
        <v>172.3</v>
      </c>
      <c r="AQ10" s="10">
        <v>171.2</v>
      </c>
      <c r="AR10" s="10">
        <v>169.1</v>
      </c>
      <c r="AS10" s="10">
        <v>174.3</v>
      </c>
      <c r="AT10" s="23">
        <f t="shared" si="1"/>
        <v>91.26773320912281</v>
      </c>
      <c r="AU10" s="27">
        <f t="shared" si="2"/>
        <v>-0.48734221436056835</v>
      </c>
      <c r="AV10" s="23">
        <f>AVERAGE(All_India_Index_Upto_April23__1___1[[#This Row],[Household goods and services]],All_India_Index_Upto_April23__1___1[[#This Row],[Housing]])</f>
        <v>103</v>
      </c>
      <c r="AW10" s="23">
        <f>AVERAGE(All_India_Index_Upto_April23__1___1[[#This Row],[Miscellaneous]],All_India_Index_Upto_April23__1___1[[#This Row],[Personal care and effects]],All_India_Index_Upto_April23__1___1[[#This Row],[Education]],All_India_Index_Upto_April23__1___1[[#This Row],[Recreation and amusement]])</f>
        <v>104.175</v>
      </c>
      <c r="AX10" s="23">
        <f>SUM(All_India_Index_Upto_April23__1___1[[#This Row],[Cereals and products]:[Pan, tobacco and intoxicants]])</f>
        <v>1490.6000000000001</v>
      </c>
      <c r="AY10" s="23">
        <f>SUM(All_India_Index_Upto_April23__1___1[[#This Row],[Household goods and services]],All_India_Index_Upto_April23__1___1[[#This Row],[Housing]])</f>
        <v>206</v>
      </c>
      <c r="AZ10" s="23">
        <f>All_India_Index_Upto_April23__1___1[[#This Row],[Clothing]]+All_India_Index_Upto_April23__1___1[[#This Row],[Footwear]]</f>
        <v>213.9</v>
      </c>
      <c r="BA10" s="23">
        <f>All_India_Index_Upto_April23__1___1[[#This Row],[Miscellaneous]]+All_India_Index_Upto_April23__1___1[[#This Row],[Personal care and effects]]+All_India_Index_Upto_April23__1___1[[#This Row],[Education]]+All_India_Index_Upto_April23__1___1[[#This Row],[Recreation and amusement]]</f>
        <v>416.7</v>
      </c>
      <c r="BB10"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2643.3</v>
      </c>
    </row>
    <row r="11" spans="1:54" hidden="1" x14ac:dyDescent="0.3">
      <c r="A11" s="20" t="s">
        <v>30</v>
      </c>
      <c r="B11" s="2">
        <v>2022</v>
      </c>
      <c r="C11" s="2" t="s">
        <v>41</v>
      </c>
      <c r="D11" s="10" t="str">
        <f t="shared" si="0"/>
        <v>Sep-22</v>
      </c>
      <c r="E11" s="2">
        <v>162.9</v>
      </c>
      <c r="F11" s="29">
        <f>(E11-E8)/E8</f>
        <v>2.1316614420062732E-2</v>
      </c>
      <c r="G11" s="2">
        <v>206.7</v>
      </c>
      <c r="H11" s="29">
        <f>(G11-G8)/G8</f>
        <v>1.2738853503184686E-2</v>
      </c>
      <c r="I11" s="2">
        <v>169</v>
      </c>
      <c r="J11" s="29">
        <f>(I11-I8)/I8</f>
        <v>4.1592394533570328E-3</v>
      </c>
      <c r="K11" s="2">
        <v>169.5</v>
      </c>
      <c r="L11" s="29">
        <f>(K11-K8)/K8</f>
        <v>9.5294818344252193E-3</v>
      </c>
      <c r="M11" s="2">
        <v>194.1</v>
      </c>
      <c r="N11" s="29">
        <f>(M11-M8)/M8</f>
        <v>-2.0191822311963654E-2</v>
      </c>
      <c r="O11" s="2">
        <v>164.1</v>
      </c>
      <c r="P11" s="29">
        <f>(O11-O8)/O8</f>
        <v>-3.0141843971631173E-2</v>
      </c>
      <c r="Q11" s="2">
        <v>176.9</v>
      </c>
      <c r="R11" s="29">
        <f>(Q11-Q8)/Q8</f>
        <v>2.1952628538417167E-2</v>
      </c>
      <c r="S11" s="2">
        <v>169</v>
      </c>
      <c r="T11" s="29">
        <f>(S11-S8)/S8</f>
        <v>1.1370436864153236E-2</v>
      </c>
      <c r="U11" s="2">
        <v>120.8</v>
      </c>
      <c r="V11" s="29">
        <f>(U11-U8)/U8</f>
        <v>4.9916805324458757E-3</v>
      </c>
      <c r="W11" s="2">
        <v>199.1</v>
      </c>
      <c r="X11" s="29">
        <f>(W11-W8)/W8</f>
        <v>1.7893660531697341E-2</v>
      </c>
      <c r="Y11" s="2">
        <v>175.4</v>
      </c>
      <c r="Z11" s="29">
        <f>(Y11-Y8)/Y8</f>
        <v>3.4324942791761686E-3</v>
      </c>
      <c r="AA11" s="2">
        <v>184.8</v>
      </c>
      <c r="AB11" s="29">
        <f>(AA11-AA8)/AA8</f>
        <v>4.3478260869565834E-3</v>
      </c>
      <c r="AC11" s="2">
        <v>175.5</v>
      </c>
      <c r="AD11" s="29">
        <f>(AC11-AC8)/AC8</f>
        <v>9.2006900517538487E-3</v>
      </c>
      <c r="AE11" s="2">
        <v>194.5</v>
      </c>
      <c r="AF11" s="29">
        <f>(AE11-AE8)/AE8</f>
        <v>4.1300980898296927E-3</v>
      </c>
      <c r="AG11" s="2">
        <v>184.7</v>
      </c>
      <c r="AH11" s="2">
        <v>183.3</v>
      </c>
      <c r="AI11" s="2">
        <v>184.5</v>
      </c>
      <c r="AJ11" s="18">
        <f>'Handle Missing Value Sheet only'!$F$5</f>
        <v>139.27096774193564</v>
      </c>
      <c r="AK11" s="2">
        <v>179.7</v>
      </c>
      <c r="AL11" s="2">
        <v>173.6</v>
      </c>
      <c r="AM11" s="2">
        <v>180.2</v>
      </c>
      <c r="AN11" s="2">
        <v>166.9</v>
      </c>
      <c r="AO11" s="2">
        <v>170</v>
      </c>
      <c r="AP11" s="2">
        <v>176.2</v>
      </c>
      <c r="AQ11" s="2">
        <v>170.8</v>
      </c>
      <c r="AR11" s="2">
        <v>173.1</v>
      </c>
      <c r="AS11" s="2">
        <v>176.4</v>
      </c>
      <c r="AT11" s="23">
        <f t="shared" si="1"/>
        <v>91.198911108881916</v>
      </c>
      <c r="AU11" s="27">
        <f t="shared" si="2"/>
        <v>-7.5406825414630241E-4</v>
      </c>
      <c r="AV11" s="18">
        <f>AVERAGE(All_India_Index_Upto_April23__1___1[[#This Row],[Household goods and services]],All_India_Index_Upto_April23__1___1[[#This Row],[Housing]])</f>
        <v>122.68548387096781</v>
      </c>
      <c r="AW11" s="18">
        <f>AVERAGE(All_India_Index_Upto_April23__1___1[[#This Row],[Miscellaneous]],All_India_Index_Upto_April23__1___1[[#This Row],[Personal care and effects]],All_India_Index_Upto_April23__1___1[[#This Row],[Education]],All_India_Index_Upto_April23__1___1[[#This Row],[Recreation and amusement]])</f>
        <v>104.15</v>
      </c>
      <c r="AX11" s="18">
        <f>SUM(All_India_Index_Upto_April23__1___1[[#This Row],[Cereals and products]:[Pan, tobacco and intoxicants]])</f>
        <v>1492.8999999999999</v>
      </c>
      <c r="AY11" s="18">
        <f>SUM(All_India_Index_Upto_April23__1___1[[#This Row],[Household goods and services]],All_India_Index_Upto_April23__1___1[[#This Row],[Housing]])</f>
        <v>245.37096774193563</v>
      </c>
      <c r="AZ11" s="18">
        <f>All_India_Index_Upto_April23__1___1[[#This Row],[Clothing]]+All_India_Index_Upto_April23__1___1[[#This Row],[Footwear]]</f>
        <v>215.5</v>
      </c>
      <c r="BA11" s="18">
        <f>All_India_Index_Upto_April23__1___1[[#This Row],[Miscellaneous]]+All_India_Index_Upto_April23__1___1[[#This Row],[Personal care and effects]]+All_India_Index_Upto_April23__1___1[[#This Row],[Education]]+All_India_Index_Upto_April23__1___1[[#This Row],[Recreation and amusement]]</f>
        <v>416.6</v>
      </c>
      <c r="BB11"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2686.3709677419356</v>
      </c>
    </row>
    <row r="12" spans="1:54" x14ac:dyDescent="0.3">
      <c r="A12" s="21" t="s">
        <v>32</v>
      </c>
      <c r="B12" s="10">
        <v>2022</v>
      </c>
      <c r="C12" s="10" t="s">
        <v>41</v>
      </c>
      <c r="D12" s="10" t="str">
        <f t="shared" si="0"/>
        <v>Sep-22</v>
      </c>
      <c r="E12" s="10">
        <v>164.9</v>
      </c>
      <c r="F12" s="10"/>
      <c r="G12" s="10">
        <v>213.7</v>
      </c>
      <c r="H12" s="10"/>
      <c r="I12" s="10">
        <v>170.9</v>
      </c>
      <c r="J12" s="10"/>
      <c r="K12" s="10">
        <v>170.1</v>
      </c>
      <c r="L12" s="10"/>
      <c r="M12" s="10">
        <v>179.3</v>
      </c>
      <c r="N12" s="10"/>
      <c r="O12" s="10">
        <v>167.5</v>
      </c>
      <c r="P12" s="10"/>
      <c r="Q12" s="10">
        <v>220.8</v>
      </c>
      <c r="R12" s="10"/>
      <c r="S12" s="10">
        <v>169.2</v>
      </c>
      <c r="T12" s="10"/>
      <c r="U12" s="10">
        <v>123.1</v>
      </c>
      <c r="V12" s="10"/>
      <c r="W12" s="10">
        <v>193.6</v>
      </c>
      <c r="X12" s="10"/>
      <c r="Y12" s="10">
        <v>161.1</v>
      </c>
      <c r="Z12" s="10"/>
      <c r="AA12" s="10">
        <v>190.4</v>
      </c>
      <c r="AB12" s="10"/>
      <c r="AC12" s="10">
        <v>181.8</v>
      </c>
      <c r="AD12" s="10"/>
      <c r="AE12" s="10">
        <v>199.7</v>
      </c>
      <c r="AF12" s="10"/>
      <c r="AG12" s="10">
        <v>175</v>
      </c>
      <c r="AH12" s="10">
        <v>161.69999999999999</v>
      </c>
      <c r="AI12" s="10">
        <v>173</v>
      </c>
      <c r="AJ12" s="10">
        <v>169.5</v>
      </c>
      <c r="AK12" s="10">
        <v>179.2</v>
      </c>
      <c r="AL12" s="10">
        <v>165</v>
      </c>
      <c r="AM12" s="10">
        <v>173.8</v>
      </c>
      <c r="AN12" s="10">
        <v>158.19999999999999</v>
      </c>
      <c r="AO12" s="10">
        <v>165.8</v>
      </c>
      <c r="AP12" s="10">
        <v>170.9</v>
      </c>
      <c r="AQ12" s="10">
        <v>171.1</v>
      </c>
      <c r="AR12" s="10">
        <v>166.1</v>
      </c>
      <c r="AS12" s="10">
        <v>174.1</v>
      </c>
      <c r="AT12" s="23">
        <f t="shared" si="1"/>
        <v>179.00714285714284</v>
      </c>
      <c r="AU12" s="27">
        <f t="shared" si="2"/>
        <v>0.96282105433722909</v>
      </c>
      <c r="AV12" s="23">
        <f>AVERAGE(All_India_Index_Upto_April23__1___1[[#This Row],[Household goods and services]],All_India_Index_Upto_April23__1___1[[#This Row],[Housing]])</f>
        <v>103.5</v>
      </c>
      <c r="AW12" s="23">
        <f>AVERAGE(All_India_Index_Upto_April23__1___1[[#This Row],[Miscellaneous]],All_India_Index_Upto_April23__1___1[[#This Row],[Personal care and effects]],All_India_Index_Upto_April23__1___1[[#This Row],[Education]],All_India_Index_Upto_April23__1___1[[#This Row],[Recreation and amusement]])</f>
        <v>104.375</v>
      </c>
      <c r="AX12" s="23">
        <f>SUM(All_India_Index_Upto_April23__1___1[[#This Row],[Cereals and products]:[Pan, tobacco and intoxicants]])</f>
        <v>1506.1999999999998</v>
      </c>
      <c r="AY12" s="23">
        <f>SUM(All_India_Index_Upto_April23__1___1[[#This Row],[Household goods and services]],All_India_Index_Upto_April23__1___1[[#This Row],[Housing]])</f>
        <v>207</v>
      </c>
      <c r="AZ12" s="23">
        <f>All_India_Index_Upto_April23__1___1[[#This Row],[Clothing]]+All_India_Index_Upto_April23__1___1[[#This Row],[Footwear]]</f>
        <v>214.3</v>
      </c>
      <c r="BA12" s="23">
        <f>All_India_Index_Upto_April23__1___1[[#This Row],[Miscellaneous]]+All_India_Index_Upto_April23__1___1[[#This Row],[Personal care and effects]]+All_India_Index_Upto_April23__1___1[[#This Row],[Education]]+All_India_Index_Upto_April23__1___1[[#This Row],[Recreation and amusement]]</f>
        <v>417.5</v>
      </c>
      <c r="BB12"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2662.1</v>
      </c>
    </row>
    <row r="13" spans="1:54" hidden="1" x14ac:dyDescent="0.3">
      <c r="A13" s="20" t="s">
        <v>33</v>
      </c>
      <c r="B13" s="2">
        <v>2022</v>
      </c>
      <c r="C13" s="2" t="s">
        <v>41</v>
      </c>
      <c r="D13" s="10" t="str">
        <f t="shared" si="0"/>
        <v>Sep-22</v>
      </c>
      <c r="E13" s="2">
        <v>163.5</v>
      </c>
      <c r="F13" s="29">
        <f>(E13-E10)/E10</f>
        <v>1.9962570180910719E-2</v>
      </c>
      <c r="G13" s="2">
        <v>209.2</v>
      </c>
      <c r="H13" s="29">
        <f>(G13-G10)/G10</f>
        <v>1.3075060532687597E-2</v>
      </c>
      <c r="I13" s="2">
        <v>169.7</v>
      </c>
      <c r="J13" s="29">
        <f>(I13-I10)/I10</f>
        <v>2.9550827423167852E-3</v>
      </c>
      <c r="K13" s="2">
        <v>169.7</v>
      </c>
      <c r="L13" s="29">
        <f>(K13-K10)/K10</f>
        <v>9.5181439619273899E-3</v>
      </c>
      <c r="M13" s="2">
        <v>188.7</v>
      </c>
      <c r="N13" s="29">
        <f>(M13-M10)/M10</f>
        <v>-1.9230769230769319E-2</v>
      </c>
      <c r="O13" s="2">
        <v>165.7</v>
      </c>
      <c r="P13" s="29">
        <f>(O13-O10)/O10</f>
        <v>-4.1642567958357531E-2</v>
      </c>
      <c r="Q13" s="2">
        <v>191.8</v>
      </c>
      <c r="R13" s="29">
        <f>(Q13-Q10)/Q10</f>
        <v>2.7316550615961558E-2</v>
      </c>
      <c r="S13" s="2">
        <v>169.1</v>
      </c>
      <c r="T13" s="29">
        <f>(S13-S10)/S10</f>
        <v>1.1363636363636399E-2</v>
      </c>
      <c r="U13" s="2">
        <v>121.6</v>
      </c>
      <c r="V13" s="29">
        <f>(U13-U10)/U10</f>
        <v>5.7899090157153728E-3</v>
      </c>
      <c r="W13" s="2">
        <v>197.3</v>
      </c>
      <c r="X13" s="29">
        <f>(W13-W10)/W10</f>
        <v>1.9111570247933973E-2</v>
      </c>
      <c r="Y13" s="2">
        <v>169.4</v>
      </c>
      <c r="Z13" s="29">
        <f>(Y13-Y10)/Y10</f>
        <v>3.5545023696682125E-3</v>
      </c>
      <c r="AA13" s="2">
        <v>187.4</v>
      </c>
      <c r="AB13" s="29">
        <f>(AA13-AA10)/AA10</f>
        <v>5.9044551798174676E-3</v>
      </c>
      <c r="AC13" s="2">
        <v>177.8</v>
      </c>
      <c r="AD13" s="29">
        <f>(AC13-AC10)/AC10</f>
        <v>8.5082246171298923E-3</v>
      </c>
      <c r="AE13" s="2">
        <v>195.9</v>
      </c>
      <c r="AF13" s="29">
        <f>(AE13-AE10)/AE10</f>
        <v>4.6153846153846444E-3</v>
      </c>
      <c r="AG13" s="2">
        <v>180.9</v>
      </c>
      <c r="AH13" s="2">
        <v>174.3</v>
      </c>
      <c r="AI13" s="2">
        <v>179.9</v>
      </c>
      <c r="AJ13" s="2">
        <v>169.5</v>
      </c>
      <c r="AK13" s="2">
        <v>179.5</v>
      </c>
      <c r="AL13" s="2">
        <v>169.5</v>
      </c>
      <c r="AM13" s="2">
        <v>177.8</v>
      </c>
      <c r="AN13" s="2">
        <v>162.30000000000001</v>
      </c>
      <c r="AO13" s="2">
        <v>167.6</v>
      </c>
      <c r="AP13" s="2">
        <v>173.1</v>
      </c>
      <c r="AQ13" s="2">
        <v>170.9</v>
      </c>
      <c r="AR13" s="2">
        <v>169.7</v>
      </c>
      <c r="AS13" s="2">
        <v>175.3</v>
      </c>
      <c r="AT13" s="23">
        <f t="shared" si="1"/>
        <v>91.735784680319981</v>
      </c>
      <c r="AU13" s="27">
        <f t="shared" si="2"/>
        <v>-0.48753003251088151</v>
      </c>
      <c r="AV13" s="18">
        <f>AVERAGE(All_India_Index_Upto_April23__1___1[[#This Row],[Household goods and services]],All_India_Index_Upto_April23__1___1[[#This Row],[Housing]])</f>
        <v>103.4</v>
      </c>
      <c r="AW13" s="18">
        <f>AVERAGE(All_India_Index_Upto_April23__1___1[[#This Row],[Miscellaneous]],All_India_Index_Upto_April23__1___1[[#This Row],[Personal care and effects]],All_India_Index_Upto_April23__1___1[[#This Row],[Education]],All_India_Index_Upto_April23__1___1[[#This Row],[Recreation and amusement]])</f>
        <v>104.22499999999999</v>
      </c>
      <c r="AX13" s="18">
        <f>SUM(All_India_Index_Upto_April23__1___1[[#This Row],[Cereals and products]:[Pan, tobacco and intoxicants]])</f>
        <v>1497.7</v>
      </c>
      <c r="AY13" s="18">
        <f>SUM(All_India_Index_Upto_April23__1___1[[#This Row],[Household goods and services]],All_India_Index_Upto_April23__1___1[[#This Row],[Housing]])</f>
        <v>206.8</v>
      </c>
      <c r="AZ13" s="18">
        <f>All_India_Index_Upto_April23__1___1[[#This Row],[Clothing]]+All_India_Index_Upto_April23__1___1[[#This Row],[Footwear]]</f>
        <v>215</v>
      </c>
      <c r="BA13" s="18">
        <f>All_India_Index_Upto_April23__1___1[[#This Row],[Miscellaneous]]+All_India_Index_Upto_April23__1___1[[#This Row],[Personal care and effects]]+All_India_Index_Upto_April23__1___1[[#This Row],[Education]]+All_India_Index_Upto_April23__1___1[[#This Row],[Recreation and amusement]]</f>
        <v>416.9</v>
      </c>
      <c r="BB13"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2652.9</v>
      </c>
    </row>
    <row r="14" spans="1:54" hidden="1" x14ac:dyDescent="0.3">
      <c r="A14" s="21" t="s">
        <v>30</v>
      </c>
      <c r="B14" s="10">
        <v>2022</v>
      </c>
      <c r="C14" s="10" t="s">
        <v>42</v>
      </c>
      <c r="D14" s="10" t="str">
        <f t="shared" si="0"/>
        <v>Oct-22</v>
      </c>
      <c r="E14" s="10">
        <v>164.7</v>
      </c>
      <c r="F14" s="29">
        <f>(E14-E11)/E11</f>
        <v>1.1049723756905973E-2</v>
      </c>
      <c r="G14" s="10">
        <v>208.8</v>
      </c>
      <c r="H14" s="29">
        <f>(G14-G11)/G11</f>
        <v>1.0159651669085742E-2</v>
      </c>
      <c r="I14" s="10">
        <v>170.3</v>
      </c>
      <c r="J14" s="29">
        <f>(I14-I11)/I11</f>
        <v>7.6923076923077595E-3</v>
      </c>
      <c r="K14" s="10">
        <v>170.9</v>
      </c>
      <c r="L14" s="29">
        <f>(K14-K11)/K11</f>
        <v>8.2595870206490004E-3</v>
      </c>
      <c r="M14" s="10">
        <v>191.6</v>
      </c>
      <c r="N14" s="29">
        <f>(M14-M11)/M11</f>
        <v>-1.2879958784131892E-2</v>
      </c>
      <c r="O14" s="10">
        <v>162.19999999999999</v>
      </c>
      <c r="P14" s="29">
        <f>(O14-O11)/O11</f>
        <v>-1.1578305911029894E-2</v>
      </c>
      <c r="Q14" s="10">
        <v>184.8</v>
      </c>
      <c r="R14" s="29">
        <f>(Q14-Q11)/Q11</f>
        <v>4.4657998869417778E-2</v>
      </c>
      <c r="S14" s="10">
        <v>169.7</v>
      </c>
      <c r="T14" s="29">
        <f>(S14-S11)/S11</f>
        <v>4.1420118343194591E-3</v>
      </c>
      <c r="U14" s="10">
        <v>121.1</v>
      </c>
      <c r="V14" s="29">
        <f>(U14-U11)/U11</f>
        <v>2.4834437086092482E-3</v>
      </c>
      <c r="W14" s="10">
        <v>201.6</v>
      </c>
      <c r="X14" s="29">
        <f>(W14-W11)/W11</f>
        <v>1.2556504269211451E-2</v>
      </c>
      <c r="Y14" s="10">
        <v>175.8</v>
      </c>
      <c r="Z14" s="29">
        <f>(Y14-Y11)/Y11</f>
        <v>2.2805017103763149E-3</v>
      </c>
      <c r="AA14" s="10">
        <v>185.6</v>
      </c>
      <c r="AB14" s="29">
        <f>(AA14-AA11)/AA11</f>
        <v>4.3290043290042362E-3</v>
      </c>
      <c r="AC14" s="10">
        <v>177.4</v>
      </c>
      <c r="AD14" s="29">
        <f>(AC14-AC11)/AC11</f>
        <v>1.0826210826210859E-2</v>
      </c>
      <c r="AE14" s="10">
        <v>194.9</v>
      </c>
      <c r="AF14" s="29">
        <f>(AE14-AE11)/AE11</f>
        <v>2.0565552699229085E-3</v>
      </c>
      <c r="AG14" s="10">
        <v>186.1</v>
      </c>
      <c r="AH14" s="10">
        <v>184.4</v>
      </c>
      <c r="AI14" s="10">
        <v>185.9</v>
      </c>
      <c r="AJ14" s="23">
        <f>'Handle Missing Value Sheet only'!$F$5</f>
        <v>139.27096774193564</v>
      </c>
      <c r="AK14" s="10">
        <v>180.8</v>
      </c>
      <c r="AL14" s="10">
        <v>174.4</v>
      </c>
      <c r="AM14" s="10">
        <v>181.2</v>
      </c>
      <c r="AN14" s="10">
        <v>167.4</v>
      </c>
      <c r="AO14" s="10">
        <v>170.6</v>
      </c>
      <c r="AP14" s="10">
        <v>176.5</v>
      </c>
      <c r="AQ14" s="10">
        <v>172</v>
      </c>
      <c r="AR14" s="10">
        <v>173.9</v>
      </c>
      <c r="AS14" s="10">
        <v>177.9</v>
      </c>
      <c r="AT14" s="23">
        <f t="shared" si="1"/>
        <v>91.833110321518177</v>
      </c>
      <c r="AU14" s="27">
        <f t="shared" si="2"/>
        <v>1.060934307558996E-3</v>
      </c>
      <c r="AV14" s="23">
        <f>AVERAGE(All_India_Index_Upto_April23__1___1[[#This Row],[Household goods and services]],All_India_Index_Upto_April23__1___1[[#This Row],[Housing]])</f>
        <v>123.03548387096782</v>
      </c>
      <c r="AW14" s="23">
        <f>AVERAGE(All_India_Index_Upto_April23__1___1[[#This Row],[Miscellaneous]],All_India_Index_Upto_April23__1___1[[#This Row],[Personal care and effects]],All_India_Index_Upto_April23__1___1[[#This Row],[Education]],All_India_Index_Upto_April23__1___1[[#This Row],[Recreation and amusement]])</f>
        <v>104.35</v>
      </c>
      <c r="AX14" s="23">
        <f>SUM(All_India_Index_Upto_April23__1___1[[#This Row],[Cereals and products]:[Pan, tobacco and intoxicants]])</f>
        <v>1502.1</v>
      </c>
      <c r="AY14" s="23">
        <f>SUM(All_India_Index_Upto_April23__1___1[[#This Row],[Household goods and services]],All_India_Index_Upto_April23__1___1[[#This Row],[Housing]])</f>
        <v>246.07096774193565</v>
      </c>
      <c r="AZ14" s="23">
        <f>All_India_Index_Upto_April23__1___1[[#This Row],[Clothing]]+All_India_Index_Upto_April23__1___1[[#This Row],[Footwear]]</f>
        <v>216.7</v>
      </c>
      <c r="BA14" s="23">
        <f>All_India_Index_Upto_April23__1___1[[#This Row],[Miscellaneous]]+All_India_Index_Upto_April23__1___1[[#This Row],[Personal care and effects]]+All_India_Index_Upto_April23__1___1[[#This Row],[Education]]+All_India_Index_Upto_April23__1___1[[#This Row],[Recreation and amusement]]</f>
        <v>417.4</v>
      </c>
      <c r="BB14"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2699.570967741935</v>
      </c>
    </row>
    <row r="15" spans="1:54" x14ac:dyDescent="0.3">
      <c r="A15" s="20" t="s">
        <v>32</v>
      </c>
      <c r="B15" s="2">
        <v>2022</v>
      </c>
      <c r="C15" s="2" t="s">
        <v>42</v>
      </c>
      <c r="D15" s="10" t="str">
        <f t="shared" si="0"/>
        <v>Oct-22</v>
      </c>
      <c r="E15" s="2">
        <v>166.4</v>
      </c>
      <c r="F15" s="2"/>
      <c r="G15" s="2">
        <v>214.9</v>
      </c>
      <c r="H15" s="2"/>
      <c r="I15" s="2">
        <v>171.9</v>
      </c>
      <c r="J15" s="2"/>
      <c r="K15" s="2">
        <v>171</v>
      </c>
      <c r="L15" s="2"/>
      <c r="M15" s="2">
        <v>177.7</v>
      </c>
      <c r="N15" s="2"/>
      <c r="O15" s="2">
        <v>165.7</v>
      </c>
      <c r="P15" s="2"/>
      <c r="Q15" s="2">
        <v>228.6</v>
      </c>
      <c r="R15" s="2"/>
      <c r="S15" s="2">
        <v>169.9</v>
      </c>
      <c r="T15" s="2"/>
      <c r="U15" s="2">
        <v>123.4</v>
      </c>
      <c r="V15" s="2"/>
      <c r="W15" s="2">
        <v>196.4</v>
      </c>
      <c r="X15" s="2"/>
      <c r="Y15" s="2">
        <v>161.6</v>
      </c>
      <c r="Z15" s="2"/>
      <c r="AA15" s="2">
        <v>191.5</v>
      </c>
      <c r="AB15" s="2"/>
      <c r="AC15" s="2">
        <v>183.3</v>
      </c>
      <c r="AD15" s="2"/>
      <c r="AE15" s="2">
        <v>200.1</v>
      </c>
      <c r="AF15" s="2"/>
      <c r="AG15" s="2">
        <v>175.5</v>
      </c>
      <c r="AH15" s="2">
        <v>162.6</v>
      </c>
      <c r="AI15" s="2">
        <v>173.6</v>
      </c>
      <c r="AJ15" s="2">
        <v>171.2</v>
      </c>
      <c r="AK15" s="2">
        <v>180</v>
      </c>
      <c r="AL15" s="2">
        <v>166</v>
      </c>
      <c r="AM15" s="2">
        <v>174.7</v>
      </c>
      <c r="AN15" s="2">
        <v>158.80000000000001</v>
      </c>
      <c r="AO15" s="2">
        <v>166.3</v>
      </c>
      <c r="AP15" s="2">
        <v>171.2</v>
      </c>
      <c r="AQ15" s="2">
        <v>172.3</v>
      </c>
      <c r="AR15" s="2">
        <v>166.8</v>
      </c>
      <c r="AS15" s="2">
        <v>175.3</v>
      </c>
      <c r="AT15" s="23">
        <f t="shared" si="1"/>
        <v>180.17142857142858</v>
      </c>
      <c r="AU15" s="27">
        <f t="shared" si="2"/>
        <v>0.96194409555146165</v>
      </c>
      <c r="AV15" s="18">
        <f>AVERAGE(All_India_Index_Upto_April23__1___1[[#This Row],[Household goods and services]],All_India_Index_Upto_April23__1___1[[#This Row],[Housing]])</f>
        <v>103.8</v>
      </c>
      <c r="AW15" s="18">
        <f>AVERAGE(All_India_Index_Upto_April23__1___1[[#This Row],[Miscellaneous]],All_India_Index_Upto_April23__1___1[[#This Row],[Personal care and effects]],All_India_Index_Upto_April23__1___1[[#This Row],[Education]],All_India_Index_Upto_April23__1___1[[#This Row],[Recreation and amusement]])</f>
        <v>104.44999999999999</v>
      </c>
      <c r="AX15" s="18">
        <f>SUM(All_India_Index_Upto_April23__1___1[[#This Row],[Cereals and products]:[Pan, tobacco and intoxicants]])</f>
        <v>1526.9999999999998</v>
      </c>
      <c r="AY15" s="18">
        <f>SUM(All_India_Index_Upto_April23__1___1[[#This Row],[Household goods and services]],All_India_Index_Upto_April23__1___1[[#This Row],[Housing]])</f>
        <v>207.6</v>
      </c>
      <c r="AZ15" s="18">
        <f>All_India_Index_Upto_April23__1___1[[#This Row],[Clothing]]+All_India_Index_Upto_April23__1___1[[#This Row],[Footwear]]</f>
        <v>215.2</v>
      </c>
      <c r="BA15" s="18">
        <f>All_India_Index_Upto_April23__1___1[[#This Row],[Miscellaneous]]+All_India_Index_Upto_April23__1___1[[#This Row],[Personal care and effects]]+All_India_Index_Upto_April23__1___1[[#This Row],[Education]]+All_India_Index_Upto_April23__1___1[[#This Row],[Recreation and amusement]]</f>
        <v>417.79999999999995</v>
      </c>
      <c r="BB15"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2684.8999999999996</v>
      </c>
    </row>
    <row r="16" spans="1:54" hidden="1" x14ac:dyDescent="0.3">
      <c r="A16" s="21" t="s">
        <v>33</v>
      </c>
      <c r="B16" s="10">
        <v>2022</v>
      </c>
      <c r="C16" s="10" t="s">
        <v>42</v>
      </c>
      <c r="D16" s="10" t="str">
        <f t="shared" si="0"/>
        <v>Oct-22</v>
      </c>
      <c r="E16" s="10">
        <v>165.2</v>
      </c>
      <c r="F16" s="29">
        <f>(E16-E13)/E13</f>
        <v>1.0397553516819502E-2</v>
      </c>
      <c r="G16" s="10">
        <v>210.9</v>
      </c>
      <c r="H16" s="29">
        <f>(G16-G13)/G13</f>
        <v>8.1261950286807706E-3</v>
      </c>
      <c r="I16" s="10">
        <v>170.9</v>
      </c>
      <c r="J16" s="29">
        <f>(I16-I13)/I13</f>
        <v>7.0713022981733478E-3</v>
      </c>
      <c r="K16" s="10">
        <v>170.9</v>
      </c>
      <c r="L16" s="29">
        <f>(K16-K13)/K13</f>
        <v>7.0713022981733478E-3</v>
      </c>
      <c r="M16" s="10">
        <v>186.5</v>
      </c>
      <c r="N16" s="29">
        <f>(M16-M13)/M13</f>
        <v>-1.1658717541070422E-2</v>
      </c>
      <c r="O16" s="10">
        <v>163.80000000000001</v>
      </c>
      <c r="P16" s="29">
        <f>(O16-O13)/O13</f>
        <v>-1.1466505733252729E-2</v>
      </c>
      <c r="Q16" s="10">
        <v>199.7</v>
      </c>
      <c r="R16" s="29">
        <f>(Q16-Q13)/Q13</f>
        <v>4.118873826903012E-2</v>
      </c>
      <c r="S16" s="10">
        <v>169.8</v>
      </c>
      <c r="T16" s="29">
        <f>(S16-S13)/S13</f>
        <v>4.1395623891189656E-3</v>
      </c>
      <c r="U16" s="10">
        <v>121.9</v>
      </c>
      <c r="V16" s="29">
        <f>(U16-U13)/U13</f>
        <v>2.4671052631579883E-3</v>
      </c>
      <c r="W16" s="10">
        <v>199.9</v>
      </c>
      <c r="X16" s="29">
        <f>(W16-W13)/W13</f>
        <v>1.3177901672579798E-2</v>
      </c>
      <c r="Y16" s="10">
        <v>169.9</v>
      </c>
      <c r="Z16" s="29">
        <f>(Y16-Y13)/Y13</f>
        <v>2.9515938606847697E-3</v>
      </c>
      <c r="AA16" s="10">
        <v>188.3</v>
      </c>
      <c r="AB16" s="29">
        <f>(AA16-AA13)/AA13</f>
        <v>4.8025613660619302E-3</v>
      </c>
      <c r="AC16" s="10">
        <v>179.6</v>
      </c>
      <c r="AD16" s="29">
        <f>(AC16-AC13)/AC13</f>
        <v>1.0123734533183255E-2</v>
      </c>
      <c r="AE16" s="10">
        <v>196.3</v>
      </c>
      <c r="AF16" s="29">
        <f>(AE16-AE13)/AE13</f>
        <v>2.0418580908627142E-3</v>
      </c>
      <c r="AG16" s="10">
        <v>181.9</v>
      </c>
      <c r="AH16" s="10">
        <v>175.3</v>
      </c>
      <c r="AI16" s="10">
        <v>181</v>
      </c>
      <c r="AJ16" s="10">
        <v>171.2</v>
      </c>
      <c r="AK16" s="10">
        <v>180.5</v>
      </c>
      <c r="AL16" s="10">
        <v>170.4</v>
      </c>
      <c r="AM16" s="10">
        <v>178.7</v>
      </c>
      <c r="AN16" s="10">
        <v>162.9</v>
      </c>
      <c r="AO16" s="10">
        <v>168.2</v>
      </c>
      <c r="AP16" s="10">
        <v>173.4</v>
      </c>
      <c r="AQ16" s="10">
        <v>172.1</v>
      </c>
      <c r="AR16" s="10">
        <v>170.5</v>
      </c>
      <c r="AS16" s="10">
        <v>176.7</v>
      </c>
      <c r="AT16" s="23">
        <f t="shared" si="1"/>
        <v>92.358829345452648</v>
      </c>
      <c r="AU16" s="27">
        <f t="shared" si="2"/>
        <v>-0.48738359862181374</v>
      </c>
      <c r="AV16" s="23">
        <f>AVERAGE(All_India_Index_Upto_April23__1___1[[#This Row],[Household goods and services]],All_India_Index_Upto_April23__1___1[[#This Row],[Housing]])</f>
        <v>103.7</v>
      </c>
      <c r="AW16" s="23">
        <f>AVERAGE(All_India_Index_Upto_April23__1___1[[#This Row],[Miscellaneous]],All_India_Index_Upto_April23__1___1[[#This Row],[Personal care and effects]],All_India_Index_Upto_April23__1___1[[#This Row],[Education]],All_India_Index_Upto_April23__1___1[[#This Row],[Recreation and amusement]])</f>
        <v>104.375</v>
      </c>
      <c r="AX16" s="23">
        <f>SUM(All_India_Index_Upto_April23__1___1[[#This Row],[Cereals and products]:[Pan, tobacco and intoxicants]])</f>
        <v>1510.7999999999997</v>
      </c>
      <c r="AY16" s="23">
        <f>SUM(All_India_Index_Upto_April23__1___1[[#This Row],[Household goods and services]],All_India_Index_Upto_April23__1___1[[#This Row],[Housing]])</f>
        <v>207.4</v>
      </c>
      <c r="AZ16" s="23">
        <f>All_India_Index_Upto_April23__1___1[[#This Row],[Clothing]]+All_India_Index_Upto_April23__1___1[[#This Row],[Footwear]]</f>
        <v>216.10000000000002</v>
      </c>
      <c r="BA16" s="23">
        <f>All_India_Index_Upto_April23__1___1[[#This Row],[Miscellaneous]]+All_India_Index_Upto_April23__1___1[[#This Row],[Personal care and effects]]+All_India_Index_Upto_April23__1___1[[#This Row],[Education]]+All_India_Index_Upto_April23__1___1[[#This Row],[Recreation and amusement]]</f>
        <v>417.5</v>
      </c>
      <c r="BB16"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2669.1</v>
      </c>
    </row>
    <row r="17" spans="1:54" hidden="1" x14ac:dyDescent="0.3">
      <c r="A17" s="20" t="s">
        <v>30</v>
      </c>
      <c r="B17" s="2">
        <v>2022</v>
      </c>
      <c r="C17" s="2" t="s">
        <v>44</v>
      </c>
      <c r="D17" s="10" t="str">
        <f t="shared" si="0"/>
        <v>Nov-22</v>
      </c>
      <c r="E17" s="2">
        <v>166.9</v>
      </c>
      <c r="F17" s="29">
        <f>(E17-E14)/E14</f>
        <v>1.3357619914997069E-2</v>
      </c>
      <c r="G17" s="2">
        <v>207.2</v>
      </c>
      <c r="H17" s="29">
        <f>(G17-G14)/G14</f>
        <v>-7.6628352490422545E-3</v>
      </c>
      <c r="I17" s="2">
        <v>180.2</v>
      </c>
      <c r="J17" s="29">
        <f>(I17-I14)/I14</f>
        <v>5.8132706987668682E-2</v>
      </c>
      <c r="K17" s="2">
        <v>172.3</v>
      </c>
      <c r="L17" s="29">
        <f>(K17-K14)/K14</f>
        <v>8.1919251023990971E-3</v>
      </c>
      <c r="M17" s="2">
        <v>194</v>
      </c>
      <c r="N17" s="29">
        <f>(M17-M14)/M14</f>
        <v>1.2526096033402953E-2</v>
      </c>
      <c r="O17" s="2">
        <v>159.1</v>
      </c>
      <c r="P17" s="29">
        <f>(O17-O14)/O14</f>
        <v>-1.9112207151664579E-2</v>
      </c>
      <c r="Q17" s="2">
        <v>171.6</v>
      </c>
      <c r="R17" s="29">
        <f>(Q17-Q14)/Q14</f>
        <v>-7.1428571428571522E-2</v>
      </c>
      <c r="S17" s="2">
        <v>170.2</v>
      </c>
      <c r="T17" s="29">
        <f>(S17-S14)/S14</f>
        <v>2.9463759575721863E-3</v>
      </c>
      <c r="U17" s="2">
        <v>121.5</v>
      </c>
      <c r="V17" s="29">
        <f>(U17-U14)/U14</f>
        <v>3.3030553261767606E-3</v>
      </c>
      <c r="W17" s="2">
        <v>204.8</v>
      </c>
      <c r="X17" s="29">
        <f>(W17-W14)/W14</f>
        <v>1.5873015873015959E-2</v>
      </c>
      <c r="Y17" s="2">
        <v>176.4</v>
      </c>
      <c r="Z17" s="29">
        <f>(Y17-Y14)/Y14</f>
        <v>3.412969283276418E-3</v>
      </c>
      <c r="AA17" s="2">
        <v>186.9</v>
      </c>
      <c r="AB17" s="29">
        <f>(AA17-AA14)/AA14</f>
        <v>7.0043103448276479E-3</v>
      </c>
      <c r="AC17" s="2">
        <v>176.6</v>
      </c>
      <c r="AD17" s="29">
        <f>(AC17-AC14)/AC14</f>
        <v>-4.5095828635851824E-3</v>
      </c>
      <c r="AE17" s="2">
        <v>195.5</v>
      </c>
      <c r="AF17" s="29">
        <f>(AE17-AE14)/AE14</f>
        <v>3.0785017957926848E-3</v>
      </c>
      <c r="AG17" s="2">
        <v>187.2</v>
      </c>
      <c r="AH17" s="2">
        <v>185.2</v>
      </c>
      <c r="AI17" s="2">
        <v>186.9</v>
      </c>
      <c r="AJ17" s="18">
        <f>'Handle Missing Value Sheet only'!$F$5</f>
        <v>139.27096774193564</v>
      </c>
      <c r="AK17" s="2">
        <v>181.9</v>
      </c>
      <c r="AL17" s="2">
        <v>175.5</v>
      </c>
      <c r="AM17" s="2">
        <v>182.3</v>
      </c>
      <c r="AN17" s="2">
        <v>167.5</v>
      </c>
      <c r="AO17" s="2">
        <v>170.8</v>
      </c>
      <c r="AP17" s="2">
        <v>176.9</v>
      </c>
      <c r="AQ17" s="2">
        <v>173.4</v>
      </c>
      <c r="AR17" s="2">
        <v>174.6</v>
      </c>
      <c r="AS17" s="2">
        <v>177.8</v>
      </c>
      <c r="AT17" s="23">
        <f t="shared" si="1"/>
        <v>91.971186476967787</v>
      </c>
      <c r="AU17" s="27">
        <f t="shared" si="2"/>
        <v>-4.1971392581747402E-3</v>
      </c>
      <c r="AV17" s="18">
        <f>AVERAGE(All_India_Index_Upto_April23__1___1[[#This Row],[Household goods and services]],All_India_Index_Upto_April23__1___1[[#This Row],[Housing]])</f>
        <v>123.38548387096782</v>
      </c>
      <c r="AW17" s="18">
        <f>AVERAGE(All_India_Index_Upto_April23__1___1[[#This Row],[Miscellaneous]],All_India_Index_Upto_April23__1___1[[#This Row],[Personal care and effects]],All_India_Index_Upto_April23__1___1[[#This Row],[Education]],All_India_Index_Upto_April23__1___1[[#This Row],[Recreation and amusement]])</f>
        <v>105.02500000000001</v>
      </c>
      <c r="AX17" s="18">
        <f>SUM(All_India_Index_Upto_April23__1___1[[#This Row],[Cereals and products]:[Pan, tobacco and intoxicants]])</f>
        <v>1529</v>
      </c>
      <c r="AY17" s="18">
        <f>SUM(All_India_Index_Upto_April23__1___1[[#This Row],[Household goods and services]],All_India_Index_Upto_April23__1___1[[#This Row],[Housing]])</f>
        <v>246.77096774193564</v>
      </c>
      <c r="AZ17" s="18">
        <f>All_India_Index_Upto_April23__1___1[[#This Row],[Clothing]]+All_India_Index_Upto_April23__1___1[[#This Row],[Footwear]]</f>
        <v>218.5</v>
      </c>
      <c r="BA17" s="18">
        <f>All_India_Index_Upto_April23__1___1[[#This Row],[Miscellaneous]]+All_India_Index_Upto_April23__1___1[[#This Row],[Personal care and effects]]+All_India_Index_Upto_April23__1___1[[#This Row],[Education]]+All_India_Index_Upto_April23__1___1[[#This Row],[Recreation and amusement]]</f>
        <v>420.1</v>
      </c>
      <c r="BB17"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2734.1709677419358</v>
      </c>
    </row>
    <row r="18" spans="1:54" x14ac:dyDescent="0.3">
      <c r="A18" s="21" t="s">
        <v>32</v>
      </c>
      <c r="B18" s="10">
        <v>2022</v>
      </c>
      <c r="C18" s="10" t="s">
        <v>44</v>
      </c>
      <c r="D18" s="10" t="str">
        <f t="shared" si="0"/>
        <v>Nov-22</v>
      </c>
      <c r="E18" s="10">
        <v>168.4</v>
      </c>
      <c r="F18" s="10"/>
      <c r="G18" s="10">
        <v>213.4</v>
      </c>
      <c r="H18" s="10"/>
      <c r="I18" s="10">
        <v>183.2</v>
      </c>
      <c r="J18" s="10"/>
      <c r="K18" s="10">
        <v>172.3</v>
      </c>
      <c r="L18" s="10"/>
      <c r="M18" s="10">
        <v>180</v>
      </c>
      <c r="N18" s="10"/>
      <c r="O18" s="10">
        <v>162.6</v>
      </c>
      <c r="P18" s="10"/>
      <c r="Q18" s="10">
        <v>205.5</v>
      </c>
      <c r="R18" s="10"/>
      <c r="S18" s="10">
        <v>171</v>
      </c>
      <c r="T18" s="10"/>
      <c r="U18" s="10">
        <v>123.4</v>
      </c>
      <c r="V18" s="10"/>
      <c r="W18" s="10">
        <v>198.8</v>
      </c>
      <c r="X18" s="10"/>
      <c r="Y18" s="10">
        <v>162.1</v>
      </c>
      <c r="Z18" s="10"/>
      <c r="AA18" s="10">
        <v>192.4</v>
      </c>
      <c r="AB18" s="10"/>
      <c r="AC18" s="10">
        <v>181.3</v>
      </c>
      <c r="AD18" s="10"/>
      <c r="AE18" s="10">
        <v>200.6</v>
      </c>
      <c r="AF18" s="10"/>
      <c r="AG18" s="10">
        <v>176.7</v>
      </c>
      <c r="AH18" s="10">
        <v>163.5</v>
      </c>
      <c r="AI18" s="10">
        <v>174.7</v>
      </c>
      <c r="AJ18" s="10">
        <v>171.8</v>
      </c>
      <c r="AK18" s="10">
        <v>180.3</v>
      </c>
      <c r="AL18" s="10">
        <v>166.9</v>
      </c>
      <c r="AM18" s="10">
        <v>175.8</v>
      </c>
      <c r="AN18" s="10">
        <v>158.9</v>
      </c>
      <c r="AO18" s="10">
        <v>166.7</v>
      </c>
      <c r="AP18" s="10">
        <v>171.5</v>
      </c>
      <c r="AQ18" s="10">
        <v>173.8</v>
      </c>
      <c r="AR18" s="10">
        <v>167.4</v>
      </c>
      <c r="AS18" s="10">
        <v>174.1</v>
      </c>
      <c r="AT18" s="23">
        <f t="shared" si="1"/>
        <v>179.64285714285714</v>
      </c>
      <c r="AU18" s="27">
        <f t="shared" si="2"/>
        <v>0.9532514913009722</v>
      </c>
      <c r="AV18" s="23">
        <f>AVERAGE(All_India_Index_Upto_April23__1___1[[#This Row],[Household goods and services]],All_India_Index_Upto_April23__1___1[[#This Row],[Housing]])</f>
        <v>107.15</v>
      </c>
      <c r="AW18" s="23">
        <f>AVERAGE(All_India_Index_Upto_April23__1___1[[#This Row],[Miscellaneous]],All_India_Index_Upto_April23__1___1[[#This Row],[Personal care and effects]],All_India_Index_Upto_April23__1___1[[#This Row],[Education]],All_India_Index_Upto_April23__1___1[[#This Row],[Recreation and amusement]])</f>
        <v>105.675</v>
      </c>
      <c r="AX18" s="23">
        <f>SUM(All_India_Index_Upto_April23__1___1[[#This Row],[Cereals and products]:[Pan, tobacco and intoxicants]])</f>
        <v>1575.5000000000002</v>
      </c>
      <c r="AY18" s="23">
        <f>SUM(All_India_Index_Upto_April23__1___1[[#This Row],[Household goods and services]],All_India_Index_Upto_April23__1___1[[#This Row],[Housing]])</f>
        <v>214.3</v>
      </c>
      <c r="AZ18" s="23">
        <f>All_India_Index_Upto_April23__1___1[[#This Row],[Clothing]]+All_India_Index_Upto_April23__1___1[[#This Row],[Footwear]]</f>
        <v>216.4</v>
      </c>
      <c r="BA18" s="23">
        <f>All_India_Index_Upto_April23__1___1[[#This Row],[Miscellaneous]]+All_India_Index_Upto_April23__1___1[[#This Row],[Personal care and effects]]+All_India_Index_Upto_April23__1___1[[#This Row],[Education]]+All_India_Index_Upto_April23__1___1[[#This Row],[Recreation and amusement]]</f>
        <v>422.7</v>
      </c>
      <c r="BB18"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2748.6000000000004</v>
      </c>
    </row>
    <row r="19" spans="1:54" hidden="1" x14ac:dyDescent="0.3">
      <c r="A19" s="20" t="s">
        <v>33</v>
      </c>
      <c r="B19" s="2">
        <v>2022</v>
      </c>
      <c r="C19" s="2" t="s">
        <v>44</v>
      </c>
      <c r="D19" s="10" t="str">
        <f t="shared" si="0"/>
        <v>Nov-22</v>
      </c>
      <c r="E19" s="2">
        <v>167.4</v>
      </c>
      <c r="F19" s="29">
        <f>(E19-E16)/E16</f>
        <v>1.3317191283293082E-2</v>
      </c>
      <c r="G19" s="2">
        <v>209.4</v>
      </c>
      <c r="H19" s="29">
        <f>(G19-G16)/G16</f>
        <v>-7.1123755334281651E-3</v>
      </c>
      <c r="I19" s="2">
        <v>181.4</v>
      </c>
      <c r="J19" s="29">
        <f>(I19-I16)/I16</f>
        <v>6.1439438267992974E-2</v>
      </c>
      <c r="K19" s="2">
        <v>172.3</v>
      </c>
      <c r="L19" s="29">
        <f>(K19-K16)/K16</f>
        <v>8.1919251023990971E-3</v>
      </c>
      <c r="M19" s="2">
        <v>188.9</v>
      </c>
      <c r="N19" s="29">
        <f>(M19-M16)/M16</f>
        <v>1.286863270777483E-2</v>
      </c>
      <c r="O19" s="2">
        <v>160.69999999999999</v>
      </c>
      <c r="P19" s="29">
        <f>(O19-O16)/O16</f>
        <v>-1.8925518925519063E-2</v>
      </c>
      <c r="Q19" s="2">
        <v>183.1</v>
      </c>
      <c r="R19" s="29">
        <f>(Q19-Q16)/Q16</f>
        <v>-8.3124687030545791E-2</v>
      </c>
      <c r="S19" s="2">
        <v>170.5</v>
      </c>
      <c r="T19" s="29">
        <f>(S19-S16)/S16</f>
        <v>4.1224970553591792E-3</v>
      </c>
      <c r="U19" s="2">
        <v>122.1</v>
      </c>
      <c r="V19" s="29">
        <f>(U19-U16)/U16</f>
        <v>1.640689089417462E-3</v>
      </c>
      <c r="W19" s="2">
        <v>202.8</v>
      </c>
      <c r="X19" s="29">
        <f>(W19-W16)/W16</f>
        <v>1.4507253626813434E-2</v>
      </c>
      <c r="Y19" s="2">
        <v>170.4</v>
      </c>
      <c r="Z19" s="29">
        <f>(Y19-Y16)/Y16</f>
        <v>2.942907592701589E-3</v>
      </c>
      <c r="AA19" s="2">
        <v>189.5</v>
      </c>
      <c r="AB19" s="29">
        <f>(AA19-AA16)/AA16</f>
        <v>6.3728093467869812E-3</v>
      </c>
      <c r="AC19" s="2">
        <v>178.3</v>
      </c>
      <c r="AD19" s="29">
        <f>(AC19-AC16)/AC16</f>
        <v>-7.2383073496658295E-3</v>
      </c>
      <c r="AE19" s="2">
        <v>196.9</v>
      </c>
      <c r="AF19" s="29">
        <f>(AE19-AE16)/AE16</f>
        <v>3.0565461029036897E-3</v>
      </c>
      <c r="AG19" s="2">
        <v>183.1</v>
      </c>
      <c r="AH19" s="2">
        <v>176.2</v>
      </c>
      <c r="AI19" s="2">
        <v>182.1</v>
      </c>
      <c r="AJ19" s="2">
        <v>171.8</v>
      </c>
      <c r="AK19" s="2">
        <v>181.3</v>
      </c>
      <c r="AL19" s="2">
        <v>171.4</v>
      </c>
      <c r="AM19" s="2">
        <v>179.8</v>
      </c>
      <c r="AN19" s="2">
        <v>163</v>
      </c>
      <c r="AO19" s="2">
        <v>168.5</v>
      </c>
      <c r="AP19" s="2">
        <v>173.7</v>
      </c>
      <c r="AQ19" s="2">
        <v>173.6</v>
      </c>
      <c r="AR19" s="2">
        <v>171.1</v>
      </c>
      <c r="AS19" s="2">
        <v>176.5</v>
      </c>
      <c r="AT19" s="23">
        <f t="shared" si="1"/>
        <v>92.359592683527168</v>
      </c>
      <c r="AU19" s="27">
        <f t="shared" si="2"/>
        <v>-0.48587105464438157</v>
      </c>
      <c r="AV19" s="18">
        <f>AVERAGE(All_India_Index_Upto_April23__1___1[[#This Row],[Household goods and services]],All_India_Index_Upto_April23__1___1[[#This Row],[Housing]])</f>
        <v>107.1</v>
      </c>
      <c r="AW19" s="18">
        <f>AVERAGE(All_India_Index_Upto_April23__1___1[[#This Row],[Miscellaneous]],All_India_Index_Upto_April23__1___1[[#This Row],[Personal care and effects]],All_India_Index_Upto_April23__1___1[[#This Row],[Education]],All_India_Index_Upto_April23__1___1[[#This Row],[Recreation and amusement]])</f>
        <v>105.35</v>
      </c>
      <c r="AX19" s="18">
        <f>SUM(All_India_Index_Upto_April23__1___1[[#This Row],[Cereals and products]:[Pan, tobacco and intoxicants]])</f>
        <v>1545.5</v>
      </c>
      <c r="AY19" s="18">
        <f>SUM(All_India_Index_Upto_April23__1___1[[#This Row],[Household goods and services]],All_India_Index_Upto_April23__1___1[[#This Row],[Housing]])</f>
        <v>214.2</v>
      </c>
      <c r="AZ19" s="18">
        <f>All_India_Index_Upto_April23__1___1[[#This Row],[Clothing]]+All_India_Index_Upto_April23__1___1[[#This Row],[Footwear]]</f>
        <v>217.6</v>
      </c>
      <c r="BA19" s="18">
        <f>All_India_Index_Upto_April23__1___1[[#This Row],[Miscellaneous]]+All_India_Index_Upto_April23__1___1[[#This Row],[Personal care and effects]]+All_India_Index_Upto_April23__1___1[[#This Row],[Education]]+All_India_Index_Upto_April23__1___1[[#This Row],[Recreation and amusement]]</f>
        <v>421.4</v>
      </c>
      <c r="BB19"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2718.5</v>
      </c>
    </row>
    <row r="20" spans="1:54" hidden="1" x14ac:dyDescent="0.3">
      <c r="A20" s="21" t="s">
        <v>30</v>
      </c>
      <c r="B20" s="10">
        <v>2022</v>
      </c>
      <c r="C20" s="10" t="s">
        <v>45</v>
      </c>
      <c r="D20" s="10" t="str">
        <f t="shared" si="0"/>
        <v>Dec-22</v>
      </c>
      <c r="E20" s="10">
        <v>168.8</v>
      </c>
      <c r="F20" s="29">
        <f>(E20-E17)/E17</f>
        <v>1.1384062312762167E-2</v>
      </c>
      <c r="G20" s="10">
        <v>206.9</v>
      </c>
      <c r="H20" s="29">
        <f>(G20-G17)/G17</f>
        <v>-1.4478764478763656E-3</v>
      </c>
      <c r="I20" s="10">
        <v>189.1</v>
      </c>
      <c r="J20" s="29">
        <f>(I20-I17)/I17</f>
        <v>4.9389567147613798E-2</v>
      </c>
      <c r="K20" s="10">
        <v>173.4</v>
      </c>
      <c r="L20" s="29">
        <f>(K20-K17)/K17</f>
        <v>6.3842135809634021E-3</v>
      </c>
      <c r="M20" s="10">
        <v>193.9</v>
      </c>
      <c r="N20" s="29">
        <f>(M20-M17)/M17</f>
        <v>-5.1546391752574393E-4</v>
      </c>
      <c r="O20" s="10">
        <v>156.69999999999999</v>
      </c>
      <c r="P20" s="29">
        <f>(O20-O17)/O17</f>
        <v>-1.5084852294154657E-2</v>
      </c>
      <c r="Q20" s="10">
        <v>150.19999999999999</v>
      </c>
      <c r="R20" s="29">
        <f>(Q20-Q17)/Q17</f>
        <v>-0.12470862470862475</v>
      </c>
      <c r="S20" s="10">
        <v>170.5</v>
      </c>
      <c r="T20" s="29">
        <f>(S20-S17)/S17</f>
        <v>1.7626321974148729E-3</v>
      </c>
      <c r="U20" s="10">
        <v>121.2</v>
      </c>
      <c r="V20" s="29">
        <f>(U20-U17)/U17</f>
        <v>-2.4691358024691123E-3</v>
      </c>
      <c r="W20" s="10">
        <v>207.5</v>
      </c>
      <c r="X20" s="29">
        <f>(W20-W17)/W17</f>
        <v>1.3183593749999944E-2</v>
      </c>
      <c r="Y20" s="10">
        <v>176.8</v>
      </c>
      <c r="Z20" s="29">
        <f>(Y20-Y17)/Y17</f>
        <v>2.2675736961451569E-3</v>
      </c>
      <c r="AA20" s="10">
        <v>187.7</v>
      </c>
      <c r="AB20" s="29">
        <f>(AA20-AA17)/AA17</f>
        <v>4.2803638309255373E-3</v>
      </c>
      <c r="AC20" s="10">
        <v>174.4</v>
      </c>
      <c r="AD20" s="29">
        <f>(AC20-AC17)/AC17</f>
        <v>-1.2457531143827796E-2</v>
      </c>
      <c r="AE20" s="10">
        <v>195.9</v>
      </c>
      <c r="AF20" s="29">
        <f>(AE20-AE17)/AE17</f>
        <v>2.0460358056266273E-3</v>
      </c>
      <c r="AG20" s="10">
        <v>188.1</v>
      </c>
      <c r="AH20" s="10">
        <v>185.9</v>
      </c>
      <c r="AI20" s="10">
        <v>187.8</v>
      </c>
      <c r="AJ20" s="23">
        <f>'Handle Missing Value Sheet only'!$F$5</f>
        <v>139.27096774193564</v>
      </c>
      <c r="AK20" s="10">
        <v>182.8</v>
      </c>
      <c r="AL20" s="10">
        <v>176.4</v>
      </c>
      <c r="AM20" s="10">
        <v>183.5</v>
      </c>
      <c r="AN20" s="10">
        <v>167.8</v>
      </c>
      <c r="AO20" s="10">
        <v>171.2</v>
      </c>
      <c r="AP20" s="10">
        <v>177.3</v>
      </c>
      <c r="AQ20" s="10">
        <v>175.7</v>
      </c>
      <c r="AR20" s="10">
        <v>175.5</v>
      </c>
      <c r="AS20" s="10">
        <v>177.1</v>
      </c>
      <c r="AT20" s="23">
        <f t="shared" si="1"/>
        <v>91.590072908229672</v>
      </c>
      <c r="AU20" s="27">
        <f t="shared" si="2"/>
        <v>-8.3317796553551097E-3</v>
      </c>
      <c r="AV20" s="23">
        <f>AVERAGE(All_India_Index_Upto_April23__1___1[[#This Row],[Household goods and services]],All_India_Index_Upto_April23__1___1[[#This Row],[Housing]])</f>
        <v>123.78548387096782</v>
      </c>
      <c r="AW20" s="23">
        <f>AVERAGE(All_India_Index_Upto_April23__1___1[[#This Row],[Miscellaneous]],All_India_Index_Upto_April23__1___1[[#This Row],[Personal care and effects]],All_India_Index_Upto_April23__1___1[[#This Row],[Education]],All_India_Index_Upto_April23__1___1[[#This Row],[Recreation and amusement]])</f>
        <v>105.80000000000001</v>
      </c>
      <c r="AX20" s="23">
        <f>SUM(All_India_Index_Upto_April23__1___1[[#This Row],[Cereals and products]:[Pan, tobacco and intoxicants]])</f>
        <v>1555.6999999999996</v>
      </c>
      <c r="AY20" s="23">
        <f>SUM(All_India_Index_Upto_April23__1___1[[#This Row],[Household goods and services]],All_India_Index_Upto_April23__1___1[[#This Row],[Housing]])</f>
        <v>247.57096774193565</v>
      </c>
      <c r="AZ20" s="23">
        <f>All_India_Index_Upto_April23__1___1[[#This Row],[Clothing]]+All_India_Index_Upto_April23__1___1[[#This Row],[Footwear]]</f>
        <v>220</v>
      </c>
      <c r="BA20" s="23">
        <f>All_India_Index_Upto_April23__1___1[[#This Row],[Miscellaneous]]+All_India_Index_Upto_April23__1___1[[#This Row],[Personal care and effects]]+All_India_Index_Upto_April23__1___1[[#This Row],[Education]]+All_India_Index_Upto_April23__1___1[[#This Row],[Recreation and amusement]]</f>
        <v>423.20000000000005</v>
      </c>
      <c r="BB20"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2769.6709677419353</v>
      </c>
    </row>
    <row r="21" spans="1:54" x14ac:dyDescent="0.3">
      <c r="A21" s="20" t="s">
        <v>32</v>
      </c>
      <c r="B21" s="2">
        <v>2022</v>
      </c>
      <c r="C21" s="2" t="s">
        <v>45</v>
      </c>
      <c r="D21" s="10" t="str">
        <f t="shared" si="0"/>
        <v>Dec-22</v>
      </c>
      <c r="E21" s="2">
        <v>170.2</v>
      </c>
      <c r="F21" s="2"/>
      <c r="G21" s="2">
        <v>212.9</v>
      </c>
      <c r="H21" s="2"/>
      <c r="I21" s="2">
        <v>191.9</v>
      </c>
      <c r="J21" s="2"/>
      <c r="K21" s="2">
        <v>173.9</v>
      </c>
      <c r="L21" s="2"/>
      <c r="M21" s="2">
        <v>179.1</v>
      </c>
      <c r="N21" s="2"/>
      <c r="O21" s="2">
        <v>159.5</v>
      </c>
      <c r="P21" s="2"/>
      <c r="Q21" s="2">
        <v>178.7</v>
      </c>
      <c r="R21" s="2"/>
      <c r="S21" s="2">
        <v>171.3</v>
      </c>
      <c r="T21" s="2"/>
      <c r="U21" s="2">
        <v>123.1</v>
      </c>
      <c r="V21" s="2"/>
      <c r="W21" s="2">
        <v>200.5</v>
      </c>
      <c r="X21" s="2"/>
      <c r="Y21" s="2">
        <v>162.80000000000001</v>
      </c>
      <c r="Z21" s="2"/>
      <c r="AA21" s="2">
        <v>193.3</v>
      </c>
      <c r="AB21" s="2"/>
      <c r="AC21" s="2">
        <v>178.6</v>
      </c>
      <c r="AD21" s="2"/>
      <c r="AE21" s="2">
        <v>201.1</v>
      </c>
      <c r="AF21" s="2"/>
      <c r="AG21" s="2">
        <v>177.7</v>
      </c>
      <c r="AH21" s="2">
        <v>164.5</v>
      </c>
      <c r="AI21" s="2">
        <v>175.7</v>
      </c>
      <c r="AJ21" s="2">
        <v>170.7</v>
      </c>
      <c r="AK21" s="2">
        <v>180.6</v>
      </c>
      <c r="AL21" s="2">
        <v>167.3</v>
      </c>
      <c r="AM21" s="2">
        <v>177.2</v>
      </c>
      <c r="AN21" s="2">
        <v>159.4</v>
      </c>
      <c r="AO21" s="2">
        <v>167.1</v>
      </c>
      <c r="AP21" s="2">
        <v>171.8</v>
      </c>
      <c r="AQ21" s="2">
        <v>176</v>
      </c>
      <c r="AR21" s="2">
        <v>168.2</v>
      </c>
      <c r="AS21" s="2">
        <v>174.1</v>
      </c>
      <c r="AT21" s="23">
        <f t="shared" si="1"/>
        <v>178.34999999999997</v>
      </c>
      <c r="AU21" s="27">
        <f t="shared" si="2"/>
        <v>0.94726343518364675</v>
      </c>
      <c r="AV21" s="18">
        <f>AVERAGE(All_India_Index_Upto_April23__1___1[[#This Row],[Household goods and services]],All_India_Index_Upto_April23__1___1[[#This Row],[Housing]])</f>
        <v>107.9</v>
      </c>
      <c r="AW21" s="18">
        <f>AVERAGE(All_India_Index_Upto_April23__1___1[[#This Row],[Miscellaneous]],All_India_Index_Upto_April23__1___1[[#This Row],[Personal care and effects]],All_India_Index_Upto_April23__1___1[[#This Row],[Education]],All_India_Index_Upto_April23__1___1[[#This Row],[Recreation and amusement]])</f>
        <v>106.625</v>
      </c>
      <c r="AX21" s="18">
        <f>SUM(All_India_Index_Upto_April23__1___1[[#This Row],[Cereals and products]:[Pan, tobacco and intoxicants]])</f>
        <v>1601.1000000000001</v>
      </c>
      <c r="AY21" s="18">
        <f>SUM(All_India_Index_Upto_April23__1___1[[#This Row],[Household goods and services]],All_India_Index_Upto_April23__1___1[[#This Row],[Housing]])</f>
        <v>215.8</v>
      </c>
      <c r="AZ21" s="18">
        <f>All_India_Index_Upto_April23__1___1[[#This Row],[Clothing]]+All_India_Index_Upto_April23__1___1[[#This Row],[Footwear]]</f>
        <v>217.6</v>
      </c>
      <c r="BA21" s="18">
        <f>All_India_Index_Upto_April23__1___1[[#This Row],[Miscellaneous]]+All_India_Index_Upto_April23__1___1[[#This Row],[Personal care and effects]]+All_India_Index_Upto_April23__1___1[[#This Row],[Education]]+All_India_Index_Upto_April23__1___1[[#This Row],[Recreation and amusement]]</f>
        <v>426.5</v>
      </c>
      <c r="BB21"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2784</v>
      </c>
    </row>
    <row r="22" spans="1:54" hidden="1" x14ac:dyDescent="0.3">
      <c r="A22" s="21" t="s">
        <v>33</v>
      </c>
      <c r="B22" s="10">
        <v>2022</v>
      </c>
      <c r="C22" s="10" t="s">
        <v>45</v>
      </c>
      <c r="D22" s="10" t="str">
        <f t="shared" si="0"/>
        <v>Dec-22</v>
      </c>
      <c r="E22" s="10">
        <v>169.2</v>
      </c>
      <c r="F22" s="29">
        <f>(E22-E19)/E19</f>
        <v>1.0752688172042909E-2</v>
      </c>
      <c r="G22" s="10">
        <v>209</v>
      </c>
      <c r="H22" s="29">
        <f>(G22-G19)/G19</f>
        <v>-1.9102196752626823E-3</v>
      </c>
      <c r="I22" s="10">
        <v>190.2</v>
      </c>
      <c r="J22" s="29">
        <f>(I22-I19)/I19</f>
        <v>4.8511576626240255E-2</v>
      </c>
      <c r="K22" s="10">
        <v>173.6</v>
      </c>
      <c r="L22" s="29">
        <f>(K22-K19)/K19</f>
        <v>7.5449796865930518E-3</v>
      </c>
      <c r="M22" s="10">
        <v>188.5</v>
      </c>
      <c r="N22" s="29">
        <f>(M22-M19)/M19</f>
        <v>-2.1175224986765785E-3</v>
      </c>
      <c r="O22" s="10">
        <v>158</v>
      </c>
      <c r="P22" s="29">
        <f>(O22-O19)/O19</f>
        <v>-1.6801493466085806E-2</v>
      </c>
      <c r="Q22" s="10">
        <v>159.9</v>
      </c>
      <c r="R22" s="29">
        <f>(Q22-Q19)/Q19</f>
        <v>-0.12670671764063349</v>
      </c>
      <c r="S22" s="10">
        <v>170.8</v>
      </c>
      <c r="T22" s="29">
        <f>(S22-S19)/S19</f>
        <v>1.7595307917889231E-3</v>
      </c>
      <c r="U22" s="10">
        <v>121.8</v>
      </c>
      <c r="V22" s="29">
        <f>(U22-U19)/U19</f>
        <v>-2.457002457002434E-3</v>
      </c>
      <c r="W22" s="10">
        <v>205.2</v>
      </c>
      <c r="X22" s="29">
        <f>(W22-W19)/W19</f>
        <v>1.1834319526627106E-2</v>
      </c>
      <c r="Y22" s="10">
        <v>171</v>
      </c>
      <c r="Z22" s="29">
        <f>(Y22-Y19)/Y19</f>
        <v>3.521126760563347E-3</v>
      </c>
      <c r="AA22" s="10">
        <v>190.3</v>
      </c>
      <c r="AB22" s="29">
        <f>(AA22-AA19)/AA19</f>
        <v>4.2216358839050729E-3</v>
      </c>
      <c r="AC22" s="10">
        <v>175.9</v>
      </c>
      <c r="AD22" s="29">
        <f>(AC22-AC19)/AC19</f>
        <v>-1.3460459899046581E-2</v>
      </c>
      <c r="AE22" s="10">
        <v>197.3</v>
      </c>
      <c r="AF22" s="29">
        <f>(AE22-AE19)/AE19</f>
        <v>2.031488065007647E-3</v>
      </c>
      <c r="AG22" s="10">
        <v>184</v>
      </c>
      <c r="AH22" s="10">
        <v>177</v>
      </c>
      <c r="AI22" s="10">
        <v>183</v>
      </c>
      <c r="AJ22" s="10">
        <v>170.7</v>
      </c>
      <c r="AK22" s="10">
        <v>182</v>
      </c>
      <c r="AL22" s="10">
        <v>172.1</v>
      </c>
      <c r="AM22" s="10">
        <v>181.1</v>
      </c>
      <c r="AN22" s="10">
        <v>163.4</v>
      </c>
      <c r="AO22" s="10">
        <v>168.9</v>
      </c>
      <c r="AP22" s="10">
        <v>174.1</v>
      </c>
      <c r="AQ22" s="10">
        <v>175.8</v>
      </c>
      <c r="AR22" s="10">
        <v>172</v>
      </c>
      <c r="AS22" s="10">
        <v>175.7</v>
      </c>
      <c r="AT22" s="23">
        <f t="shared" si="1"/>
        <v>91.87498860895596</v>
      </c>
      <c r="AU22" s="27">
        <f t="shared" si="2"/>
        <v>-0.4848612917916682</v>
      </c>
      <c r="AV22" s="23">
        <f>AVERAGE(All_India_Index_Upto_April23__1___1[[#This Row],[Household goods and services]],All_India_Index_Upto_April23__1___1[[#This Row],[Housing]])</f>
        <v>107.95</v>
      </c>
      <c r="AW22" s="23">
        <f>AVERAGE(All_India_Index_Upto_April23__1___1[[#This Row],[Miscellaneous]],All_India_Index_Upto_April23__1___1[[#This Row],[Personal care and effects]],All_India_Index_Upto_April23__1___1[[#This Row],[Education]],All_India_Index_Upto_April23__1___1[[#This Row],[Recreation and amusement]])</f>
        <v>106.22499999999999</v>
      </c>
      <c r="AX22" s="23">
        <f>SUM(All_India_Index_Upto_April23__1___1[[#This Row],[Cereals and products]:[Pan, tobacco and intoxicants]])</f>
        <v>1571.6999999999998</v>
      </c>
      <c r="AY22" s="23">
        <f>SUM(All_India_Index_Upto_April23__1___1[[#This Row],[Household goods and services]],All_India_Index_Upto_April23__1___1[[#This Row],[Housing]])</f>
        <v>215.9</v>
      </c>
      <c r="AZ22" s="23">
        <f>All_India_Index_Upto_April23__1___1[[#This Row],[Clothing]]+All_India_Index_Upto_April23__1___1[[#This Row],[Footwear]]</f>
        <v>219</v>
      </c>
      <c r="BA22" s="23">
        <f>All_India_Index_Upto_April23__1___1[[#This Row],[Miscellaneous]]+All_India_Index_Upto_April23__1___1[[#This Row],[Personal care and effects]]+All_India_Index_Upto_April23__1___1[[#This Row],[Education]]+All_India_Index_Upto_April23__1___1[[#This Row],[Recreation and amusement]]</f>
        <v>424.9</v>
      </c>
      <c r="BB22"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2754.7999999999997</v>
      </c>
    </row>
    <row r="23" spans="1:54" hidden="1" x14ac:dyDescent="0.3">
      <c r="A23" s="20" t="s">
        <v>30</v>
      </c>
      <c r="B23" s="2">
        <v>2023</v>
      </c>
      <c r="C23" s="2" t="s">
        <v>31</v>
      </c>
      <c r="D23" s="10" t="str">
        <f t="shared" si="0"/>
        <v>Jan-23</v>
      </c>
      <c r="E23" s="2">
        <v>174</v>
      </c>
      <c r="F23" s="29">
        <f>(E23-E20)/E20</f>
        <v>3.0805687203791399E-2</v>
      </c>
      <c r="G23" s="2">
        <v>208.3</v>
      </c>
      <c r="H23" s="29">
        <f>(G23-G20)/G20</f>
        <v>6.7665538907685143E-3</v>
      </c>
      <c r="I23" s="2">
        <v>192.9</v>
      </c>
      <c r="J23" s="29">
        <f>(I23-I20)/I20</f>
        <v>2.009518773135913E-2</v>
      </c>
      <c r="K23" s="2">
        <v>174.3</v>
      </c>
      <c r="L23" s="29">
        <f>(K23-K20)/K20</f>
        <v>5.1903114186851538E-3</v>
      </c>
      <c r="M23" s="2">
        <v>192.6</v>
      </c>
      <c r="N23" s="29">
        <f>(M23-M20)/M20</f>
        <v>-6.7044868488912394E-3</v>
      </c>
      <c r="O23" s="2">
        <v>156.30000000000001</v>
      </c>
      <c r="P23" s="29">
        <f>(O23-O20)/O20</f>
        <v>-2.5526483726865173E-3</v>
      </c>
      <c r="Q23" s="2">
        <v>142.9</v>
      </c>
      <c r="R23" s="29">
        <f>(Q23-Q20)/Q20</f>
        <v>-4.8601864181091768E-2</v>
      </c>
      <c r="S23" s="2">
        <v>170.7</v>
      </c>
      <c r="T23" s="29">
        <f>(S23-S20)/S20</f>
        <v>1.173020527859171E-3</v>
      </c>
      <c r="U23" s="2">
        <v>120.3</v>
      </c>
      <c r="V23" s="29">
        <f>(U23-U20)/U20</f>
        <v>-7.4257425742574722E-3</v>
      </c>
      <c r="W23" s="2">
        <v>210.5</v>
      </c>
      <c r="X23" s="29">
        <f>(W23-W20)/W20</f>
        <v>1.4457831325301205E-2</v>
      </c>
      <c r="Y23" s="2">
        <v>176.9</v>
      </c>
      <c r="Z23" s="29">
        <f>(Y23-Y20)/Y20</f>
        <v>5.6561085972847464E-4</v>
      </c>
      <c r="AA23" s="2">
        <v>188.5</v>
      </c>
      <c r="AB23" s="29">
        <f>(AA23-AA20)/AA20</f>
        <v>4.2621204049014989E-3</v>
      </c>
      <c r="AC23" s="2">
        <v>175</v>
      </c>
      <c r="AD23" s="29">
        <f>(AC23-AC20)/AC20</f>
        <v>3.4403669724770315E-3</v>
      </c>
      <c r="AE23" s="2">
        <v>196.9</v>
      </c>
      <c r="AF23" s="29">
        <f>(AE23-AE20)/AE20</f>
        <v>5.1046452271567124E-3</v>
      </c>
      <c r="AG23" s="2">
        <v>189</v>
      </c>
      <c r="AH23" s="2">
        <v>186.3</v>
      </c>
      <c r="AI23" s="2">
        <v>188.6</v>
      </c>
      <c r="AJ23" s="18">
        <f>'Handle Missing Value Sheet only'!$F$5</f>
        <v>139.27096774193564</v>
      </c>
      <c r="AK23" s="2">
        <v>183.2</v>
      </c>
      <c r="AL23" s="2">
        <v>177.2</v>
      </c>
      <c r="AM23" s="2">
        <v>184.7</v>
      </c>
      <c r="AN23" s="2">
        <v>168.2</v>
      </c>
      <c r="AO23" s="2">
        <v>171.8</v>
      </c>
      <c r="AP23" s="2">
        <v>177.8</v>
      </c>
      <c r="AQ23" s="2">
        <v>178.4</v>
      </c>
      <c r="AR23" s="2">
        <v>176.5</v>
      </c>
      <c r="AS23" s="2">
        <v>177.8</v>
      </c>
      <c r="AT23" s="23">
        <f t="shared" si="1"/>
        <v>91.856350812902136</v>
      </c>
      <c r="AU23" s="27">
        <f t="shared" si="2"/>
        <v>-2.0286039036316087E-4</v>
      </c>
      <c r="AV23" s="18">
        <f>AVERAGE(All_India_Index_Upto_April23__1___1[[#This Row],[Household goods and services]],All_India_Index_Upto_April23__1___1[[#This Row],[Housing]])</f>
        <v>123.98548387096781</v>
      </c>
      <c r="AW23" s="18">
        <f>AVERAGE(All_India_Index_Upto_April23__1___1[[#This Row],[Miscellaneous]],All_India_Index_Upto_April23__1___1[[#This Row],[Personal care and effects]],All_India_Index_Upto_April23__1___1[[#This Row],[Education]],All_India_Index_Upto_April23__1___1[[#This Row],[Recreation and amusement]])</f>
        <v>107</v>
      </c>
      <c r="AX23" s="18">
        <f>SUM(All_India_Index_Upto_April23__1___1[[#This Row],[Cereals and products]:[Pan, tobacco and intoxicants]])</f>
        <v>1573.2</v>
      </c>
      <c r="AY23" s="18">
        <f>SUM(All_India_Index_Upto_April23__1___1[[#This Row],[Household goods and services]],All_India_Index_Upto_April23__1___1[[#This Row],[Housing]])</f>
        <v>247.97096774193562</v>
      </c>
      <c r="AZ23" s="18">
        <f>All_India_Index_Upto_April23__1___1[[#This Row],[Clothing]]+All_India_Index_Upto_April23__1___1[[#This Row],[Footwear]]</f>
        <v>221.5</v>
      </c>
      <c r="BA23" s="18">
        <f>All_India_Index_Upto_April23__1___1[[#This Row],[Miscellaneous]]+All_India_Index_Upto_April23__1___1[[#This Row],[Personal care and effects]]+All_India_Index_Upto_April23__1___1[[#This Row],[Education]]+All_India_Index_Upto_April23__1___1[[#This Row],[Recreation and amusement]]</f>
        <v>428</v>
      </c>
      <c r="BB23"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2795.8709677419361</v>
      </c>
    </row>
    <row r="24" spans="1:54" x14ac:dyDescent="0.3">
      <c r="A24" s="21" t="s">
        <v>32</v>
      </c>
      <c r="B24" s="10">
        <v>2023</v>
      </c>
      <c r="C24" s="10" t="s">
        <v>31</v>
      </c>
      <c r="D24" s="10" t="str">
        <f t="shared" si="0"/>
        <v>Jan-23</v>
      </c>
      <c r="E24" s="10">
        <v>173.3</v>
      </c>
      <c r="F24" s="10"/>
      <c r="G24" s="10">
        <v>215.2</v>
      </c>
      <c r="H24" s="10"/>
      <c r="I24" s="10">
        <v>197</v>
      </c>
      <c r="J24" s="10"/>
      <c r="K24" s="10">
        <v>175.2</v>
      </c>
      <c r="L24" s="10"/>
      <c r="M24" s="10">
        <v>178</v>
      </c>
      <c r="N24" s="10"/>
      <c r="O24" s="10">
        <v>160.5</v>
      </c>
      <c r="P24" s="10"/>
      <c r="Q24" s="10">
        <v>175.3</v>
      </c>
      <c r="R24" s="10"/>
      <c r="S24" s="10">
        <v>171.2</v>
      </c>
      <c r="T24" s="10"/>
      <c r="U24" s="10">
        <v>122.7</v>
      </c>
      <c r="V24" s="10"/>
      <c r="W24" s="10">
        <v>204.3</v>
      </c>
      <c r="X24" s="10"/>
      <c r="Y24" s="10">
        <v>163.69999999999999</v>
      </c>
      <c r="Z24" s="10"/>
      <c r="AA24" s="10">
        <v>194.3</v>
      </c>
      <c r="AB24" s="10"/>
      <c r="AC24" s="10">
        <v>179.5</v>
      </c>
      <c r="AD24" s="10"/>
      <c r="AE24" s="10">
        <v>201.6</v>
      </c>
      <c r="AF24" s="10"/>
      <c r="AG24" s="10">
        <v>178.7</v>
      </c>
      <c r="AH24" s="10">
        <v>165.3</v>
      </c>
      <c r="AI24" s="10">
        <v>176.6</v>
      </c>
      <c r="AJ24" s="10">
        <v>172.1</v>
      </c>
      <c r="AK24" s="10">
        <v>180.1</v>
      </c>
      <c r="AL24" s="10">
        <v>168</v>
      </c>
      <c r="AM24" s="10">
        <v>178.5</v>
      </c>
      <c r="AN24" s="10">
        <v>159.5</v>
      </c>
      <c r="AO24" s="10">
        <v>167.8</v>
      </c>
      <c r="AP24" s="10">
        <v>171.8</v>
      </c>
      <c r="AQ24" s="10">
        <v>178.8</v>
      </c>
      <c r="AR24" s="10">
        <v>168.9</v>
      </c>
      <c r="AS24" s="10">
        <v>174.9</v>
      </c>
      <c r="AT24" s="23">
        <f t="shared" si="1"/>
        <v>179.41428571428574</v>
      </c>
      <c r="AU24" s="27">
        <f t="shared" si="2"/>
        <v>0.95320502204280055</v>
      </c>
      <c r="AV24" s="23">
        <f>AVERAGE(All_India_Index_Upto_April23__1___1[[#This Row],[Household goods and services]],All_India_Index_Upto_April23__1___1[[#This Row],[Housing]])</f>
        <v>108.80000000000001</v>
      </c>
      <c r="AW24" s="23">
        <f>AVERAGE(All_India_Index_Upto_April23__1___1[[#This Row],[Miscellaneous]],All_India_Index_Upto_April23__1___1[[#This Row],[Personal care and effects]],All_India_Index_Upto_April23__1___1[[#This Row],[Education]],All_India_Index_Upto_April23__1___1[[#This Row],[Recreation and amusement]])</f>
        <v>107.9</v>
      </c>
      <c r="AX24" s="23">
        <f>SUM(All_India_Index_Upto_April23__1___1[[#This Row],[Cereals and products]:[Pan, tobacco and intoxicants]])</f>
        <v>1618.5000000000002</v>
      </c>
      <c r="AY24" s="23">
        <f>SUM(All_India_Index_Upto_April23__1___1[[#This Row],[Household goods and services]],All_India_Index_Upto_April23__1___1[[#This Row],[Housing]])</f>
        <v>217.60000000000002</v>
      </c>
      <c r="AZ24" s="23">
        <f>All_India_Index_Upto_April23__1___1[[#This Row],[Clothing]]+All_India_Index_Upto_April23__1___1[[#This Row],[Footwear]]</f>
        <v>218.89999999999998</v>
      </c>
      <c r="BA24" s="23">
        <f>All_India_Index_Upto_April23__1___1[[#This Row],[Miscellaneous]]+All_India_Index_Upto_April23__1___1[[#This Row],[Personal care and effects]]+All_India_Index_Upto_April23__1___1[[#This Row],[Education]]+All_India_Index_Upto_April23__1___1[[#This Row],[Recreation and amusement]]</f>
        <v>431.6</v>
      </c>
      <c r="BB24"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2811.6000000000004</v>
      </c>
    </row>
    <row r="25" spans="1:54" hidden="1" x14ac:dyDescent="0.3">
      <c r="A25" s="20" t="s">
        <v>33</v>
      </c>
      <c r="B25" s="2">
        <v>2023</v>
      </c>
      <c r="C25" s="2" t="s">
        <v>31</v>
      </c>
      <c r="D25" s="10" t="str">
        <f t="shared" si="0"/>
        <v>Jan-23</v>
      </c>
      <c r="E25" s="2">
        <v>173.8</v>
      </c>
      <c r="F25" s="29">
        <f>(E25-E22)/E22</f>
        <v>2.7186761229314557E-2</v>
      </c>
      <c r="G25" s="2">
        <v>210.7</v>
      </c>
      <c r="H25" s="29">
        <f>(G25-G22)/G22</f>
        <v>8.1339712918659744E-3</v>
      </c>
      <c r="I25" s="2">
        <v>194.5</v>
      </c>
      <c r="J25" s="29">
        <f>(I25-I22)/I22</f>
        <v>2.2607781282860208E-2</v>
      </c>
      <c r="K25" s="2">
        <v>174.6</v>
      </c>
      <c r="L25" s="29">
        <f>(K25-K22)/K22</f>
        <v>5.7603686635944703E-3</v>
      </c>
      <c r="M25" s="2">
        <v>187.2</v>
      </c>
      <c r="N25" s="29">
        <f>(M25-M22)/M22</f>
        <v>-6.8965517241379917E-3</v>
      </c>
      <c r="O25" s="2">
        <v>158.30000000000001</v>
      </c>
      <c r="P25" s="29">
        <f>(O25-O22)/O22</f>
        <v>1.8987341772152618E-3</v>
      </c>
      <c r="Q25" s="2">
        <v>153.9</v>
      </c>
      <c r="R25" s="29">
        <f>(Q25-Q22)/Q22</f>
        <v>-3.7523452157598496E-2</v>
      </c>
      <c r="S25" s="2">
        <v>170.9</v>
      </c>
      <c r="T25" s="29">
        <f>(S25-S22)/S22</f>
        <v>5.854800936767817E-4</v>
      </c>
      <c r="U25" s="2">
        <v>121.1</v>
      </c>
      <c r="V25" s="29">
        <f>(U25-U22)/U22</f>
        <v>-5.7471264367816325E-3</v>
      </c>
      <c r="W25" s="2">
        <v>208.4</v>
      </c>
      <c r="X25" s="29">
        <f>(W25-W22)/W22</f>
        <v>1.5594541910331468E-2</v>
      </c>
      <c r="Y25" s="2">
        <v>171.4</v>
      </c>
      <c r="Z25" s="29">
        <f>(Y25-Y22)/Y22</f>
        <v>2.339181286549741E-3</v>
      </c>
      <c r="AA25" s="2">
        <v>191.2</v>
      </c>
      <c r="AB25" s="29">
        <f>(AA25-AA22)/AA22</f>
        <v>4.7293746715710832E-3</v>
      </c>
      <c r="AC25" s="2">
        <v>176.7</v>
      </c>
      <c r="AD25" s="29">
        <f>(AC25-AC22)/AC22</f>
        <v>4.5480386583284984E-3</v>
      </c>
      <c r="AE25" s="2">
        <v>198.2</v>
      </c>
      <c r="AF25" s="29">
        <f>(AE25-AE22)/AE22</f>
        <v>4.5615813482005937E-3</v>
      </c>
      <c r="AG25" s="2">
        <v>184.9</v>
      </c>
      <c r="AH25" s="2">
        <v>177.6</v>
      </c>
      <c r="AI25" s="2">
        <v>183.8</v>
      </c>
      <c r="AJ25" s="2">
        <v>172.1</v>
      </c>
      <c r="AK25" s="2">
        <v>182</v>
      </c>
      <c r="AL25" s="2">
        <v>172.9</v>
      </c>
      <c r="AM25" s="2">
        <v>182.3</v>
      </c>
      <c r="AN25" s="2">
        <v>163.6</v>
      </c>
      <c r="AO25" s="2">
        <v>169.5</v>
      </c>
      <c r="AP25" s="2">
        <v>174.3</v>
      </c>
      <c r="AQ25" s="2">
        <v>178.6</v>
      </c>
      <c r="AR25" s="2">
        <v>172.8</v>
      </c>
      <c r="AS25" s="2">
        <v>176.5</v>
      </c>
      <c r="AT25" s="23">
        <f t="shared" si="1"/>
        <v>92.257156188998025</v>
      </c>
      <c r="AU25" s="27">
        <f t="shared" si="2"/>
        <v>-0.48578701065133684</v>
      </c>
      <c r="AV25" s="18">
        <f>AVERAGE(All_India_Index_Upto_April23__1___1[[#This Row],[Household goods and services]],All_India_Index_Upto_April23__1___1[[#This Row],[Housing]])</f>
        <v>108.80000000000001</v>
      </c>
      <c r="AW25" s="18">
        <f>AVERAGE(All_India_Index_Upto_April23__1___1[[#This Row],[Miscellaneous]],All_India_Index_Upto_April23__1___1[[#This Row],[Personal care and effects]],All_India_Index_Upto_April23__1___1[[#This Row],[Education]],All_India_Index_Upto_April23__1___1[[#This Row],[Recreation and amusement]])</f>
        <v>107.45000000000002</v>
      </c>
      <c r="AX25" s="18">
        <f>SUM(All_India_Index_Upto_April23__1___1[[#This Row],[Cereals and products]:[Pan, tobacco and intoxicants]])</f>
        <v>1588.6000000000001</v>
      </c>
      <c r="AY25" s="18">
        <f>SUM(All_India_Index_Upto_April23__1___1[[#This Row],[Household goods and services]],All_India_Index_Upto_April23__1___1[[#This Row],[Housing]])</f>
        <v>217.60000000000002</v>
      </c>
      <c r="AZ25" s="18">
        <f>All_India_Index_Upto_April23__1___1[[#This Row],[Clothing]]+All_India_Index_Upto_April23__1___1[[#This Row],[Footwear]]</f>
        <v>220.4</v>
      </c>
      <c r="BA25" s="18">
        <f>All_India_Index_Upto_April23__1___1[[#This Row],[Miscellaneous]]+All_India_Index_Upto_April23__1___1[[#This Row],[Personal care and effects]]+All_India_Index_Upto_April23__1___1[[#This Row],[Education]]+All_India_Index_Upto_April23__1___1[[#This Row],[Recreation and amusement]]</f>
        <v>429.80000000000007</v>
      </c>
      <c r="BB25"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2781.6</v>
      </c>
    </row>
    <row r="26" spans="1:54" hidden="1" x14ac:dyDescent="0.3">
      <c r="A26" s="21" t="s">
        <v>30</v>
      </c>
      <c r="B26" s="10">
        <v>2023</v>
      </c>
      <c r="C26" s="10" t="s">
        <v>34</v>
      </c>
      <c r="D26" s="10" t="str">
        <f t="shared" si="0"/>
        <v>Feb-23</v>
      </c>
      <c r="E26" s="10">
        <v>174.2</v>
      </c>
      <c r="F26" s="29">
        <f>(E26-E23)/E23</f>
        <v>1.1494252873562566E-3</v>
      </c>
      <c r="G26" s="10">
        <v>205.2</v>
      </c>
      <c r="H26" s="29">
        <f>(G26-G23)/G23</f>
        <v>-1.4882381180989066E-2</v>
      </c>
      <c r="I26" s="10">
        <v>173.9</v>
      </c>
      <c r="J26" s="29">
        <f>(I26-I23)/I23</f>
        <v>-9.8496630378434424E-2</v>
      </c>
      <c r="K26" s="10">
        <v>177</v>
      </c>
      <c r="L26" s="29">
        <f>(K26-K23)/K23</f>
        <v>1.5490533562822654E-2</v>
      </c>
      <c r="M26" s="10">
        <v>183.4</v>
      </c>
      <c r="N26" s="29">
        <f>(M26-M23)/M23</f>
        <v>-4.7767393561786026E-2</v>
      </c>
      <c r="O26" s="10">
        <v>167.2</v>
      </c>
      <c r="P26" s="29">
        <f>(O26-O23)/O23</f>
        <v>6.973768394113869E-2</v>
      </c>
      <c r="Q26" s="10">
        <v>140.9</v>
      </c>
      <c r="R26" s="29">
        <f>(Q26-Q23)/Q23</f>
        <v>-1.3995801259622112E-2</v>
      </c>
      <c r="S26" s="10">
        <v>170.4</v>
      </c>
      <c r="T26" s="29">
        <f>(S26-S23)/S23</f>
        <v>-1.7574692442881251E-3</v>
      </c>
      <c r="U26" s="10">
        <v>119.1</v>
      </c>
      <c r="V26" s="29">
        <f>(U26-U23)/U23</f>
        <v>-9.9750623441396749E-3</v>
      </c>
      <c r="W26" s="10">
        <v>212.1</v>
      </c>
      <c r="X26" s="29">
        <f>(W26-W23)/W23</f>
        <v>7.6009501187648187E-3</v>
      </c>
      <c r="Y26" s="10">
        <v>177.6</v>
      </c>
      <c r="Z26" s="29">
        <f>(Y26-Y23)/Y23</f>
        <v>3.9570378745053059E-3</v>
      </c>
      <c r="AA26" s="10">
        <v>189.9</v>
      </c>
      <c r="AB26" s="29">
        <f>(AA26-AA23)/AA23</f>
        <v>7.4270557029178022E-3</v>
      </c>
      <c r="AC26" s="10">
        <v>174.8</v>
      </c>
      <c r="AD26" s="29">
        <f>(AC26-AC23)/AC23</f>
        <v>-1.1428571428570779E-3</v>
      </c>
      <c r="AE26" s="10">
        <v>198.3</v>
      </c>
      <c r="AF26" s="29">
        <f>(AE26-AE23)/AE23</f>
        <v>7.1102082275266917E-3</v>
      </c>
      <c r="AG26" s="10">
        <v>190</v>
      </c>
      <c r="AH26" s="10">
        <v>187</v>
      </c>
      <c r="AI26" s="10">
        <v>189.6</v>
      </c>
      <c r="AJ26" s="23">
        <f>'Handle Missing Value Sheet only'!$F$5</f>
        <v>139.27096774193564</v>
      </c>
      <c r="AK26" s="10">
        <v>181.6</v>
      </c>
      <c r="AL26" s="10">
        <v>178.6</v>
      </c>
      <c r="AM26" s="10">
        <v>186.6</v>
      </c>
      <c r="AN26" s="10">
        <v>169</v>
      </c>
      <c r="AO26" s="10">
        <v>172.8</v>
      </c>
      <c r="AP26" s="10">
        <v>178.5</v>
      </c>
      <c r="AQ26" s="10">
        <v>180.7</v>
      </c>
      <c r="AR26" s="10">
        <v>177.9</v>
      </c>
      <c r="AS26" s="10">
        <v>178</v>
      </c>
      <c r="AT26" s="23">
        <f t="shared" si="1"/>
        <v>91.256197966347244</v>
      </c>
      <c r="AU26" s="27">
        <f t="shared" si="2"/>
        <v>-1.0849653988902683E-2</v>
      </c>
      <c r="AV26" s="23">
        <f>AVERAGE(All_India_Index_Upto_April23__1___1[[#This Row],[Household goods and services]],All_India_Index_Upto_April23__1___1[[#This Row],[Housing]])</f>
        <v>124.43548387096781</v>
      </c>
      <c r="AW26" s="23">
        <f>AVERAGE(All_India_Index_Upto_April23__1___1[[#This Row],[Miscellaneous]],All_India_Index_Upto_April23__1___1[[#This Row],[Personal care and effects]],All_India_Index_Upto_April23__1___1[[#This Row],[Education]],All_India_Index_Upto_April23__1___1[[#This Row],[Recreation and amusement]])</f>
        <v>108.22499999999999</v>
      </c>
      <c r="AX26" s="23">
        <f>SUM(All_India_Index_Upto_April23__1___1[[#This Row],[Cereals and products]:[Pan, tobacco and intoxicants]])</f>
        <v>1600.2000000000003</v>
      </c>
      <c r="AY26" s="23">
        <f>SUM(All_India_Index_Upto_April23__1___1[[#This Row],[Household goods and services]],All_India_Index_Upto_April23__1___1[[#This Row],[Housing]])</f>
        <v>248.87096774193563</v>
      </c>
      <c r="AZ26" s="23">
        <f>All_India_Index_Upto_April23__1___1[[#This Row],[Clothing]]+All_India_Index_Upto_April23__1___1[[#This Row],[Footwear]]</f>
        <v>224.10000000000002</v>
      </c>
      <c r="BA26" s="23">
        <f>All_India_Index_Upto_April23__1___1[[#This Row],[Miscellaneous]]+All_India_Index_Upto_April23__1___1[[#This Row],[Personal care and effects]]+All_India_Index_Upto_April23__1___1[[#This Row],[Education]]+All_India_Index_Upto_April23__1___1[[#This Row],[Recreation and amusement]]</f>
        <v>432.9</v>
      </c>
      <c r="BB26"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2834.7709677419361</v>
      </c>
    </row>
    <row r="27" spans="1:54" x14ac:dyDescent="0.3">
      <c r="A27" s="20" t="s">
        <v>32</v>
      </c>
      <c r="B27" s="2">
        <v>2023</v>
      </c>
      <c r="C27" s="2" t="s">
        <v>34</v>
      </c>
      <c r="D27" s="10" t="str">
        <f t="shared" si="0"/>
        <v>Feb-23</v>
      </c>
      <c r="E27" s="2">
        <v>174.7</v>
      </c>
      <c r="F27" s="2"/>
      <c r="G27" s="2">
        <v>212.2</v>
      </c>
      <c r="H27" s="2"/>
      <c r="I27" s="2">
        <v>177.2</v>
      </c>
      <c r="J27" s="2"/>
      <c r="K27" s="2">
        <v>177.9</v>
      </c>
      <c r="L27" s="2"/>
      <c r="M27" s="2">
        <v>172.2</v>
      </c>
      <c r="N27" s="2"/>
      <c r="O27" s="2">
        <v>172.1</v>
      </c>
      <c r="P27" s="2"/>
      <c r="Q27" s="2">
        <v>175.8</v>
      </c>
      <c r="R27" s="2"/>
      <c r="S27" s="2">
        <v>172.2</v>
      </c>
      <c r="T27" s="2"/>
      <c r="U27" s="2">
        <v>121.9</v>
      </c>
      <c r="V27" s="2"/>
      <c r="W27" s="2">
        <v>204.8</v>
      </c>
      <c r="X27" s="2"/>
      <c r="Y27" s="2">
        <v>164.9</v>
      </c>
      <c r="Z27" s="2"/>
      <c r="AA27" s="2">
        <v>196.6</v>
      </c>
      <c r="AB27" s="2"/>
      <c r="AC27" s="2">
        <v>180.7</v>
      </c>
      <c r="AD27" s="2"/>
      <c r="AE27" s="2">
        <v>202.7</v>
      </c>
      <c r="AF27" s="2"/>
      <c r="AG27" s="2">
        <v>180.3</v>
      </c>
      <c r="AH27" s="2">
        <v>167</v>
      </c>
      <c r="AI27" s="2">
        <v>178.2</v>
      </c>
      <c r="AJ27" s="2">
        <v>173.5</v>
      </c>
      <c r="AK27" s="2">
        <v>182.8</v>
      </c>
      <c r="AL27" s="2">
        <v>169.2</v>
      </c>
      <c r="AM27" s="2">
        <v>180.8</v>
      </c>
      <c r="AN27" s="2">
        <v>159.80000000000001</v>
      </c>
      <c r="AO27" s="2">
        <v>168.4</v>
      </c>
      <c r="AP27" s="2">
        <v>172.5</v>
      </c>
      <c r="AQ27" s="2">
        <v>181.4</v>
      </c>
      <c r="AR27" s="2">
        <v>170</v>
      </c>
      <c r="AS27" s="2">
        <v>176.3</v>
      </c>
      <c r="AT27" s="23">
        <f t="shared" si="1"/>
        <v>178.9928571428571</v>
      </c>
      <c r="AU27" s="27">
        <f t="shared" si="2"/>
        <v>0.96143233152081031</v>
      </c>
      <c r="AV27" s="18">
        <f>AVERAGE(All_India_Index_Upto_April23__1___1[[#This Row],[Household goods and services]],All_India_Index_Upto_April23__1___1[[#This Row],[Housing]])</f>
        <v>109.65</v>
      </c>
      <c r="AW27" s="18">
        <f>AVERAGE(All_India_Index_Upto_April23__1___1[[#This Row],[Miscellaneous]],All_India_Index_Upto_April23__1___1[[#This Row],[Personal care and effects]],All_India_Index_Upto_April23__1___1[[#This Row],[Education]],All_India_Index_Upto_April23__1___1[[#This Row],[Recreation and amusement]])</f>
        <v>108.72499999999999</v>
      </c>
      <c r="AX27" s="18">
        <f>SUM(All_India_Index_Upto_April23__1___1[[#This Row],[Cereals and products]:[Pan, tobacco and intoxicants]])</f>
        <v>1613.3000000000002</v>
      </c>
      <c r="AY27" s="18">
        <f>SUM(All_India_Index_Upto_April23__1___1[[#This Row],[Household goods and services]],All_India_Index_Upto_April23__1___1[[#This Row],[Housing]])</f>
        <v>219.3</v>
      </c>
      <c r="AZ27" s="18">
        <f>All_India_Index_Upto_April23__1___1[[#This Row],[Clothing]]+All_India_Index_Upto_April23__1___1[[#This Row],[Footwear]]</f>
        <v>220.4</v>
      </c>
      <c r="BA27" s="18">
        <f>All_India_Index_Upto_April23__1___1[[#This Row],[Miscellaneous]]+All_India_Index_Upto_April23__1___1[[#This Row],[Personal care and effects]]+All_India_Index_Upto_April23__1___1[[#This Row],[Education]]+All_India_Index_Upto_April23__1___1[[#This Row],[Recreation and amusement]]</f>
        <v>434.9</v>
      </c>
      <c r="BB27"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2815.7000000000003</v>
      </c>
    </row>
    <row r="28" spans="1:54" hidden="1" x14ac:dyDescent="0.3">
      <c r="A28" s="21" t="s">
        <v>33</v>
      </c>
      <c r="B28" s="10">
        <v>2023</v>
      </c>
      <c r="C28" s="10" t="s">
        <v>34</v>
      </c>
      <c r="D28" s="10" t="str">
        <f t="shared" si="0"/>
        <v>Feb-23</v>
      </c>
      <c r="E28" s="10">
        <v>174.4</v>
      </c>
      <c r="F28" s="29">
        <f>(E28-E25)/E25</f>
        <v>3.4522439585730398E-3</v>
      </c>
      <c r="G28" s="10">
        <v>207.7</v>
      </c>
      <c r="H28" s="29">
        <f>(G28-G25)/G25</f>
        <v>-1.423825344091125E-2</v>
      </c>
      <c r="I28" s="10">
        <v>175.2</v>
      </c>
      <c r="J28" s="29">
        <f>(I28-I25)/I25</f>
        <v>-9.9228791773778982E-2</v>
      </c>
      <c r="K28" s="10">
        <v>177.3</v>
      </c>
      <c r="L28" s="29">
        <f>(K28-K25)/K25</f>
        <v>1.5463917525773294E-2</v>
      </c>
      <c r="M28" s="10">
        <v>179.3</v>
      </c>
      <c r="N28" s="29">
        <f>(M28-M25)/M25</f>
        <v>-4.2200854700854579E-2</v>
      </c>
      <c r="O28" s="10">
        <v>169.5</v>
      </c>
      <c r="P28" s="29">
        <f>(O28-O25)/O25</f>
        <v>7.0751737207833149E-2</v>
      </c>
      <c r="Q28" s="10">
        <v>152.69999999999999</v>
      </c>
      <c r="R28" s="29">
        <f>(Q28-Q25)/Q25</f>
        <v>-7.7972709551658026E-3</v>
      </c>
      <c r="S28" s="10">
        <v>171</v>
      </c>
      <c r="T28" s="29">
        <f>(S28-S25)/S25</f>
        <v>5.8513750731418557E-4</v>
      </c>
      <c r="U28" s="10">
        <v>120</v>
      </c>
      <c r="V28" s="29">
        <f>(U28-U25)/U25</f>
        <v>-9.0834021469859156E-3</v>
      </c>
      <c r="W28" s="10">
        <v>209.7</v>
      </c>
      <c r="X28" s="29">
        <f>(W28-W25)/W25</f>
        <v>6.2380038387715112E-3</v>
      </c>
      <c r="Y28" s="10">
        <v>172.3</v>
      </c>
      <c r="Z28" s="29">
        <f>(Y28-Y25)/Y25</f>
        <v>5.2508751458576761E-3</v>
      </c>
      <c r="AA28" s="10">
        <v>193</v>
      </c>
      <c r="AB28" s="29">
        <f>(AA28-AA25)/AA25</f>
        <v>9.4142259414226534E-3</v>
      </c>
      <c r="AC28" s="10">
        <v>177</v>
      </c>
      <c r="AD28" s="29">
        <f>(AC28-AC25)/AC25</f>
        <v>1.6977928692700134E-3</v>
      </c>
      <c r="AE28" s="10">
        <v>199.5</v>
      </c>
      <c r="AF28" s="29">
        <f>(AE28-AE25)/AE25</f>
        <v>6.5590312815338621E-3</v>
      </c>
      <c r="AG28" s="10">
        <v>186.2</v>
      </c>
      <c r="AH28" s="10">
        <v>178.7</v>
      </c>
      <c r="AI28" s="10">
        <v>185.1</v>
      </c>
      <c r="AJ28" s="10">
        <v>173.5</v>
      </c>
      <c r="AK28" s="10">
        <v>182.1</v>
      </c>
      <c r="AL28" s="10">
        <v>174.2</v>
      </c>
      <c r="AM28" s="10">
        <v>184.4</v>
      </c>
      <c r="AN28" s="10">
        <v>164.2</v>
      </c>
      <c r="AO28" s="10">
        <v>170.3</v>
      </c>
      <c r="AP28" s="10">
        <v>175</v>
      </c>
      <c r="AQ28" s="10">
        <v>181</v>
      </c>
      <c r="AR28" s="10">
        <v>174.1</v>
      </c>
      <c r="AS28" s="10">
        <v>177.2</v>
      </c>
      <c r="AT28" s="23">
        <f t="shared" si="1"/>
        <v>91.797789087443618</v>
      </c>
      <c r="AU28" s="27">
        <f t="shared" si="2"/>
        <v>-0.48714272428101246</v>
      </c>
      <c r="AV28" s="23">
        <f>AVERAGE(All_India_Index_Upto_April23__1___1[[#This Row],[Household goods and services]],All_India_Index_Upto_April23__1___1[[#This Row],[Housing]])</f>
        <v>109.65</v>
      </c>
      <c r="AW28" s="23">
        <f>AVERAGE(All_India_Index_Upto_April23__1___1[[#This Row],[Miscellaneous]],All_India_Index_Upto_April23__1___1[[#This Row],[Personal care and effects]],All_India_Index_Upto_April23__1___1[[#This Row],[Education]],All_India_Index_Upto_April23__1___1[[#This Row],[Recreation and amusement]])</f>
        <v>108.47499999999999</v>
      </c>
      <c r="AX28" s="23">
        <f>SUM(All_India_Index_Upto_April23__1___1[[#This Row],[Cereals and products]:[Pan, tobacco and intoxicants]])</f>
        <v>1603.6999999999998</v>
      </c>
      <c r="AY28" s="23">
        <f>SUM(All_India_Index_Upto_April23__1___1[[#This Row],[Household goods and services]],All_India_Index_Upto_April23__1___1[[#This Row],[Housing]])</f>
        <v>219.3</v>
      </c>
      <c r="AZ28" s="23">
        <f>All_India_Index_Upto_April23__1___1[[#This Row],[Clothing]]+All_India_Index_Upto_April23__1___1[[#This Row],[Footwear]]</f>
        <v>222.60000000000002</v>
      </c>
      <c r="BA28" s="23">
        <f>All_India_Index_Upto_April23__1___1[[#This Row],[Miscellaneous]]+All_India_Index_Upto_April23__1___1[[#This Row],[Personal care and effects]]+All_India_Index_Upto_April23__1___1[[#This Row],[Education]]+All_India_Index_Upto_April23__1___1[[#This Row],[Recreation and amusement]]</f>
        <v>433.9</v>
      </c>
      <c r="BB28"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2808</v>
      </c>
    </row>
    <row r="29" spans="1:54" hidden="1" x14ac:dyDescent="0.3">
      <c r="A29" s="20" t="s">
        <v>30</v>
      </c>
      <c r="B29" s="2">
        <v>2023</v>
      </c>
      <c r="C29" s="2" t="s">
        <v>35</v>
      </c>
      <c r="D29" s="10" t="str">
        <f t="shared" si="0"/>
        <v>Mar-23</v>
      </c>
      <c r="E29" s="2">
        <v>174.3</v>
      </c>
      <c r="F29" s="29">
        <f>(E29-E26)/E26</f>
        <v>5.7405281285891356E-4</v>
      </c>
      <c r="G29" s="2">
        <v>205.2</v>
      </c>
      <c r="H29" s="29">
        <f>(G29-G26)/G26</f>
        <v>0</v>
      </c>
      <c r="I29" s="2">
        <v>173.9</v>
      </c>
      <c r="J29" s="29">
        <f>(I29-I26)/I26</f>
        <v>0</v>
      </c>
      <c r="K29" s="2">
        <v>177</v>
      </c>
      <c r="L29" s="29">
        <f>(K29-K26)/K26</f>
        <v>0</v>
      </c>
      <c r="M29" s="2">
        <v>183.3</v>
      </c>
      <c r="N29" s="29">
        <f>(M29-M26)/M26</f>
        <v>-5.4525627044707916E-4</v>
      </c>
      <c r="O29" s="2">
        <v>167.2</v>
      </c>
      <c r="P29" s="29">
        <f>(O29-O26)/O26</f>
        <v>0</v>
      </c>
      <c r="Q29" s="2">
        <v>140.9</v>
      </c>
      <c r="R29" s="29">
        <f>(Q29-Q26)/Q26</f>
        <v>0</v>
      </c>
      <c r="S29" s="2">
        <v>170.5</v>
      </c>
      <c r="T29" s="29">
        <f>(S29-S26)/S26</f>
        <v>5.8685446009386333E-4</v>
      </c>
      <c r="U29" s="2">
        <v>119.1</v>
      </c>
      <c r="V29" s="29">
        <f>(U29-U26)/U26</f>
        <v>0</v>
      </c>
      <c r="W29" s="2">
        <v>212.1</v>
      </c>
      <c r="X29" s="29">
        <f>(W29-W26)/W26</f>
        <v>0</v>
      </c>
      <c r="Y29" s="2">
        <v>177.6</v>
      </c>
      <c r="Z29" s="29">
        <f>(Y29-Y26)/Y26</f>
        <v>0</v>
      </c>
      <c r="AA29" s="2">
        <v>189.9</v>
      </c>
      <c r="AB29" s="29">
        <f>(AA29-AA26)/AA26</f>
        <v>0</v>
      </c>
      <c r="AC29" s="2">
        <v>174.8</v>
      </c>
      <c r="AD29" s="29">
        <f>(AC29-AC26)/AC26</f>
        <v>0</v>
      </c>
      <c r="AE29" s="2">
        <v>198.4</v>
      </c>
      <c r="AF29" s="29">
        <f>(AE29-AE26)/AE26</f>
        <v>5.0428643469487802E-4</v>
      </c>
      <c r="AG29" s="2">
        <v>190</v>
      </c>
      <c r="AH29" s="2">
        <v>187</v>
      </c>
      <c r="AI29" s="2">
        <v>189.6</v>
      </c>
      <c r="AJ29" s="18">
        <f>'Handle Missing Value Sheet only'!$F$5</f>
        <v>139.27096774193564</v>
      </c>
      <c r="AK29" s="2">
        <v>181.4</v>
      </c>
      <c r="AL29" s="2">
        <v>178.6</v>
      </c>
      <c r="AM29" s="2">
        <v>186.6</v>
      </c>
      <c r="AN29" s="2">
        <v>169</v>
      </c>
      <c r="AO29" s="2">
        <v>172.8</v>
      </c>
      <c r="AP29" s="2">
        <v>178.5</v>
      </c>
      <c r="AQ29" s="2">
        <v>180.7</v>
      </c>
      <c r="AR29" s="2">
        <v>177.9</v>
      </c>
      <c r="AS29" s="2">
        <v>178</v>
      </c>
      <c r="AT29" s="23">
        <f t="shared" si="1"/>
        <v>91.266689468555668</v>
      </c>
      <c r="AU29" s="27">
        <f t="shared" si="2"/>
        <v>-5.785538237549943E-3</v>
      </c>
      <c r="AV29" s="18">
        <f>AVERAGE(All_India_Index_Upto_April23__1___1[[#This Row],[Household goods and services]],All_India_Index_Upto_April23__1___1[[#This Row],[Housing]])</f>
        <v>124.83548387096782</v>
      </c>
      <c r="AW29" s="18">
        <f>AVERAGE(All_India_Index_Upto_April23__1___1[[#This Row],[Miscellaneous]],All_India_Index_Upto_April23__1___1[[#This Row],[Personal care and effects]],All_India_Index_Upto_April23__1___1[[#This Row],[Education]],All_India_Index_Upto_April23__1___1[[#This Row],[Recreation and amusement]])</f>
        <v>108.77500000000001</v>
      </c>
      <c r="AX29" s="18">
        <f>SUM(All_India_Index_Upto_April23__1___1[[#This Row],[Cereals and products]:[Pan, tobacco and intoxicants]])</f>
        <v>1620.2</v>
      </c>
      <c r="AY29" s="18">
        <f>SUM(All_India_Index_Upto_April23__1___1[[#This Row],[Household goods and services]],All_India_Index_Upto_April23__1___1[[#This Row],[Housing]])</f>
        <v>249.67096774193564</v>
      </c>
      <c r="AZ29" s="18">
        <f>All_India_Index_Upto_April23__1___1[[#This Row],[Clothing]]+All_India_Index_Upto_April23__1___1[[#This Row],[Footwear]]</f>
        <v>225.89999999999998</v>
      </c>
      <c r="BA29" s="18">
        <f>All_India_Index_Upto_April23__1___1[[#This Row],[Miscellaneous]]+All_India_Index_Upto_April23__1___1[[#This Row],[Personal care and effects]]+All_India_Index_Upto_April23__1___1[[#This Row],[Education]]+All_India_Index_Upto_April23__1___1[[#This Row],[Recreation and amusement]]</f>
        <v>435.1</v>
      </c>
      <c r="BB29"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2860.6709677419358</v>
      </c>
    </row>
    <row r="30" spans="1:54" x14ac:dyDescent="0.3">
      <c r="A30" s="21" t="s">
        <v>32</v>
      </c>
      <c r="B30" s="10">
        <v>2023</v>
      </c>
      <c r="C30" s="10" t="s">
        <v>35</v>
      </c>
      <c r="D30" s="10" t="str">
        <f t="shared" si="0"/>
        <v>Mar-23</v>
      </c>
      <c r="E30" s="10">
        <v>174.7</v>
      </c>
      <c r="F30" s="10"/>
      <c r="G30" s="10">
        <v>212.2</v>
      </c>
      <c r="H30" s="10"/>
      <c r="I30" s="10">
        <v>177.2</v>
      </c>
      <c r="J30" s="10"/>
      <c r="K30" s="10">
        <v>177.9</v>
      </c>
      <c r="L30" s="10"/>
      <c r="M30" s="10">
        <v>172.2</v>
      </c>
      <c r="N30" s="10"/>
      <c r="O30" s="10">
        <v>172.1</v>
      </c>
      <c r="P30" s="10"/>
      <c r="Q30" s="10">
        <v>175.9</v>
      </c>
      <c r="R30" s="10"/>
      <c r="S30" s="10">
        <v>172.2</v>
      </c>
      <c r="T30" s="10"/>
      <c r="U30" s="10">
        <v>121.9</v>
      </c>
      <c r="V30" s="10"/>
      <c r="W30" s="10">
        <v>204.8</v>
      </c>
      <c r="X30" s="10"/>
      <c r="Y30" s="10">
        <v>164.9</v>
      </c>
      <c r="Z30" s="10"/>
      <c r="AA30" s="10">
        <v>196.6</v>
      </c>
      <c r="AB30" s="10"/>
      <c r="AC30" s="10">
        <v>180.8</v>
      </c>
      <c r="AD30" s="10"/>
      <c r="AE30" s="10">
        <v>202.7</v>
      </c>
      <c r="AF30" s="10"/>
      <c r="AG30" s="10">
        <v>180.2</v>
      </c>
      <c r="AH30" s="10">
        <v>167</v>
      </c>
      <c r="AI30" s="10">
        <v>178.2</v>
      </c>
      <c r="AJ30" s="10">
        <v>173.5</v>
      </c>
      <c r="AK30" s="10">
        <v>182.6</v>
      </c>
      <c r="AL30" s="10">
        <v>169.2</v>
      </c>
      <c r="AM30" s="10">
        <v>180.8</v>
      </c>
      <c r="AN30" s="10">
        <v>159.80000000000001</v>
      </c>
      <c r="AO30" s="10">
        <v>168.4</v>
      </c>
      <c r="AP30" s="10">
        <v>172.5</v>
      </c>
      <c r="AQ30" s="10">
        <v>181.5</v>
      </c>
      <c r="AR30" s="10">
        <v>170</v>
      </c>
      <c r="AS30" s="10">
        <v>176.3</v>
      </c>
      <c r="AT30" s="23">
        <f t="shared" si="1"/>
        <v>179.00714285714284</v>
      </c>
      <c r="AU30" s="27">
        <f t="shared" si="2"/>
        <v>0.96136338350276851</v>
      </c>
      <c r="AV30" s="23">
        <f>AVERAGE(All_India_Index_Upto_April23__1___1[[#This Row],[Household goods and services]],All_India_Index_Upto_April23__1___1[[#This Row],[Housing]])</f>
        <v>110.35</v>
      </c>
      <c r="AW30" s="23">
        <f>AVERAGE(All_India_Index_Upto_April23__1___1[[#This Row],[Miscellaneous]],All_India_Index_Upto_April23__1___1[[#This Row],[Personal care and effects]],All_India_Index_Upto_April23__1___1[[#This Row],[Education]],All_India_Index_Upto_April23__1___1[[#This Row],[Recreation and amusement]])</f>
        <v>109</v>
      </c>
      <c r="AX30" s="23">
        <f>SUM(All_India_Index_Upto_April23__1___1[[#This Row],[Cereals and products]:[Pan, tobacco and intoxicants]])</f>
        <v>1630.6999999999998</v>
      </c>
      <c r="AY30" s="23">
        <f>SUM(All_India_Index_Upto_April23__1___1[[#This Row],[Household goods and services]],All_India_Index_Upto_April23__1___1[[#This Row],[Housing]])</f>
        <v>220.7</v>
      </c>
      <c r="AZ30" s="23">
        <f>All_India_Index_Upto_April23__1___1[[#This Row],[Clothing]]+All_India_Index_Upto_April23__1___1[[#This Row],[Footwear]]</f>
        <v>222.2</v>
      </c>
      <c r="BA30" s="23">
        <f>All_India_Index_Upto_April23__1___1[[#This Row],[Miscellaneous]]+All_India_Index_Upto_April23__1___1[[#This Row],[Personal care and effects]]+All_India_Index_Upto_April23__1___1[[#This Row],[Education]]+All_India_Index_Upto_April23__1___1[[#This Row],[Recreation and amusement]]</f>
        <v>436</v>
      </c>
      <c r="BB30"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2837.1999999999994</v>
      </c>
    </row>
    <row r="31" spans="1:54" hidden="1" x14ac:dyDescent="0.3">
      <c r="A31" s="20" t="s">
        <v>33</v>
      </c>
      <c r="B31" s="2">
        <v>2023</v>
      </c>
      <c r="C31" s="2" t="s">
        <v>35</v>
      </c>
      <c r="D31" s="10" t="str">
        <f t="shared" si="0"/>
        <v>Mar-23</v>
      </c>
      <c r="E31" s="2">
        <v>174.4</v>
      </c>
      <c r="F31" s="29">
        <f>(E31-E28)/E28</f>
        <v>0</v>
      </c>
      <c r="G31" s="2">
        <v>207.7</v>
      </c>
      <c r="H31" s="29">
        <f>(G31-G28)/G28</f>
        <v>0</v>
      </c>
      <c r="I31" s="2">
        <v>175.2</v>
      </c>
      <c r="J31" s="29">
        <f>(I31-I28)/I28</f>
        <v>0</v>
      </c>
      <c r="K31" s="2">
        <v>177.3</v>
      </c>
      <c r="L31" s="29">
        <f>(K31-K28)/K28</f>
        <v>0</v>
      </c>
      <c r="M31" s="2">
        <v>179.2</v>
      </c>
      <c r="N31" s="29">
        <f>(M31-M28)/M28</f>
        <v>-5.5772448410497898E-4</v>
      </c>
      <c r="O31" s="2">
        <v>169.5</v>
      </c>
      <c r="P31" s="29">
        <f>(O31-O28)/O28</f>
        <v>0</v>
      </c>
      <c r="Q31" s="2">
        <v>152.80000000000001</v>
      </c>
      <c r="R31" s="29">
        <f>(Q31-Q28)/Q28</f>
        <v>6.5487884741337755E-4</v>
      </c>
      <c r="S31" s="2">
        <v>171.1</v>
      </c>
      <c r="T31" s="29">
        <f>(S31-S28)/S28</f>
        <v>5.8479532163739363E-4</v>
      </c>
      <c r="U31" s="2">
        <v>120</v>
      </c>
      <c r="V31" s="29">
        <f>(U31-U28)/U28</f>
        <v>0</v>
      </c>
      <c r="W31" s="2">
        <v>209.7</v>
      </c>
      <c r="X31" s="29">
        <f>(W31-W28)/W28</f>
        <v>0</v>
      </c>
      <c r="Y31" s="2">
        <v>172.3</v>
      </c>
      <c r="Z31" s="29">
        <f>(Y31-Y28)/Y28</f>
        <v>0</v>
      </c>
      <c r="AA31" s="2">
        <v>193</v>
      </c>
      <c r="AB31" s="29">
        <f>(AA31-AA28)/AA28</f>
        <v>0</v>
      </c>
      <c r="AC31" s="2">
        <v>177</v>
      </c>
      <c r="AD31" s="29">
        <f>(AC31-AC28)/AC28</f>
        <v>0</v>
      </c>
      <c r="AE31" s="2">
        <v>199.5</v>
      </c>
      <c r="AF31" s="29">
        <f>(AE31-AE28)/AE28</f>
        <v>0</v>
      </c>
      <c r="AG31" s="2">
        <v>186.1</v>
      </c>
      <c r="AH31" s="2">
        <v>178.7</v>
      </c>
      <c r="AI31" s="2">
        <v>185.1</v>
      </c>
      <c r="AJ31" s="2">
        <v>173.5</v>
      </c>
      <c r="AK31" s="2">
        <v>181.9</v>
      </c>
      <c r="AL31" s="2">
        <v>174.2</v>
      </c>
      <c r="AM31" s="2">
        <v>184.4</v>
      </c>
      <c r="AN31" s="2">
        <v>164.2</v>
      </c>
      <c r="AO31" s="2">
        <v>170.3</v>
      </c>
      <c r="AP31" s="2">
        <v>175</v>
      </c>
      <c r="AQ31" s="2">
        <v>181</v>
      </c>
      <c r="AR31" s="2">
        <v>174.1</v>
      </c>
      <c r="AS31" s="2">
        <v>177.2</v>
      </c>
      <c r="AT31" s="23">
        <f t="shared" si="1"/>
        <v>91.803728961099424</v>
      </c>
      <c r="AU31" s="27">
        <f t="shared" si="2"/>
        <v>-0.48715047066940981</v>
      </c>
      <c r="AV31" s="18">
        <f>AVERAGE(All_India_Index_Upto_April23__1___1[[#This Row],[Household goods and services]],All_India_Index_Upto_April23__1___1[[#This Row],[Housing]])</f>
        <v>110.4</v>
      </c>
      <c r="AW31" s="18">
        <f>AVERAGE(All_India_Index_Upto_April23__1___1[[#This Row],[Miscellaneous]],All_India_Index_Upto_April23__1___1[[#This Row],[Personal care and effects]],All_India_Index_Upto_April23__1___1[[#This Row],[Education]],All_India_Index_Upto_April23__1___1[[#This Row],[Recreation and amusement]])</f>
        <v>108.875</v>
      </c>
      <c r="AX31" s="18">
        <f>SUM(All_India_Index_Upto_April23__1___1[[#This Row],[Cereals and products]:[Pan, tobacco and intoxicants]])</f>
        <v>1622.7000000000003</v>
      </c>
      <c r="AY31" s="18">
        <f>SUM(All_India_Index_Upto_April23__1___1[[#This Row],[Household goods and services]],All_India_Index_Upto_April23__1___1[[#This Row],[Housing]])</f>
        <v>220.8</v>
      </c>
      <c r="AZ31" s="18">
        <f>All_India_Index_Upto_April23__1___1[[#This Row],[Clothing]]+All_India_Index_Upto_April23__1___1[[#This Row],[Footwear]]</f>
        <v>224.4</v>
      </c>
      <c r="BA31" s="18">
        <f>All_India_Index_Upto_April23__1___1[[#This Row],[Miscellaneous]]+All_India_Index_Upto_April23__1___1[[#This Row],[Personal care and effects]]+All_India_Index_Upto_April23__1___1[[#This Row],[Education]]+All_India_Index_Upto_April23__1___1[[#This Row],[Recreation and amusement]]</f>
        <v>435.5</v>
      </c>
      <c r="BB31"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2832.4000000000005</v>
      </c>
    </row>
    <row r="32" spans="1:54" hidden="1" x14ac:dyDescent="0.3">
      <c r="A32" s="21" t="s">
        <v>30</v>
      </c>
      <c r="B32" s="10">
        <v>2023</v>
      </c>
      <c r="C32" s="10" t="s">
        <v>36</v>
      </c>
      <c r="D32" s="10" t="str">
        <f t="shared" si="0"/>
        <v>Apr-23</v>
      </c>
      <c r="E32" s="10">
        <v>173.3</v>
      </c>
      <c r="F32" s="29">
        <f>(E32-E29)/E29</f>
        <v>-5.737234652897303E-3</v>
      </c>
      <c r="G32" s="10">
        <v>206.9</v>
      </c>
      <c r="H32" s="29">
        <f>(G32-G29)/G29</f>
        <v>8.2846003898636306E-3</v>
      </c>
      <c r="I32" s="10">
        <v>167.9</v>
      </c>
      <c r="J32" s="29">
        <f>(I32-I29)/I29</f>
        <v>-3.4502587694077054E-2</v>
      </c>
      <c r="K32" s="10">
        <v>178.2</v>
      </c>
      <c r="L32" s="29">
        <f>(K32-K29)/K29</f>
        <v>6.7796610169490882E-3</v>
      </c>
      <c r="M32" s="10">
        <v>178.5</v>
      </c>
      <c r="N32" s="29">
        <f>(M32-M29)/M29</f>
        <v>-2.61865793780688E-2</v>
      </c>
      <c r="O32" s="10">
        <v>173.7</v>
      </c>
      <c r="P32" s="29">
        <f>(O32-O29)/O29</f>
        <v>3.8875598086124404E-2</v>
      </c>
      <c r="Q32" s="10">
        <v>142.80000000000001</v>
      </c>
      <c r="R32" s="29">
        <f>(Q32-Q29)/Q29</f>
        <v>1.3484740951029138E-2</v>
      </c>
      <c r="S32" s="10">
        <v>172.8</v>
      </c>
      <c r="T32" s="29">
        <f>(S32-S29)/S29</f>
        <v>1.3489736070381298E-2</v>
      </c>
      <c r="U32" s="10">
        <v>120.4</v>
      </c>
      <c r="V32" s="29">
        <f>(U32-U29)/U29</f>
        <v>1.0915197313182296E-2</v>
      </c>
      <c r="W32" s="10">
        <v>215.5</v>
      </c>
      <c r="X32" s="29">
        <f>(W32-W29)/W29</f>
        <v>1.6030174446016059E-2</v>
      </c>
      <c r="Y32" s="10">
        <v>178.2</v>
      </c>
      <c r="Z32" s="29">
        <f>(Y32-Y29)/Y29</f>
        <v>3.3783783783783465E-3</v>
      </c>
      <c r="AA32" s="10">
        <v>190.5</v>
      </c>
      <c r="AB32" s="29">
        <f>(AA32-AA29)/AA29</f>
        <v>3.1595576619273002E-3</v>
      </c>
      <c r="AC32" s="10">
        <v>175.5</v>
      </c>
      <c r="AD32" s="29">
        <f>(AC32-AC29)/AC29</f>
        <v>4.0045766590388367E-3</v>
      </c>
      <c r="AE32" s="10">
        <v>199.5</v>
      </c>
      <c r="AF32" s="29">
        <f>(AE32-AE29)/AE29</f>
        <v>5.5443548387096482E-3</v>
      </c>
      <c r="AG32" s="10">
        <v>190.7</v>
      </c>
      <c r="AH32" s="10">
        <v>187.3</v>
      </c>
      <c r="AI32" s="10">
        <v>190.2</v>
      </c>
      <c r="AJ32" s="23">
        <f>'Handle Missing Value Sheet only'!$F$5</f>
        <v>139.27096774193564</v>
      </c>
      <c r="AK32" s="10">
        <v>181.5</v>
      </c>
      <c r="AL32" s="10">
        <v>179.1</v>
      </c>
      <c r="AM32" s="10">
        <v>187.2</v>
      </c>
      <c r="AN32" s="10">
        <v>169.4</v>
      </c>
      <c r="AO32" s="10">
        <v>173.2</v>
      </c>
      <c r="AP32" s="10">
        <v>179.4</v>
      </c>
      <c r="AQ32" s="10">
        <v>183.8</v>
      </c>
      <c r="AR32" s="10">
        <v>178.9</v>
      </c>
      <c r="AS32" s="10">
        <v>178.8</v>
      </c>
      <c r="AT32" s="23">
        <f t="shared" si="1"/>
        <v>91.620443548861033</v>
      </c>
      <c r="AU32" s="27">
        <f t="shared" si="2"/>
        <v>-1.9964920195785878E-3</v>
      </c>
      <c r="AV32" s="23">
        <f>AVERAGE(All_India_Index_Upto_April23__1___1[[#This Row],[Household goods and services]],All_India_Index_Upto_April23__1___1[[#This Row],[Housing]])</f>
        <v>125.28548387096782</v>
      </c>
      <c r="AW32" s="23">
        <f>AVERAGE(All_India_Index_Upto_April23__1___1[[#This Row],[Miscellaneous]],All_India_Index_Upto_April23__1___1[[#This Row],[Personal care and effects]],All_India_Index_Upto_April23__1___1[[#This Row],[Education]],All_India_Index_Upto_April23__1___1[[#This Row],[Recreation and amusement]])</f>
        <v>109.425</v>
      </c>
      <c r="AX32" s="23">
        <f>SUM(All_India_Index_Upto_April23__1___1[[#This Row],[Cereals and products]:[Pan, tobacco and intoxicants]])</f>
        <v>1649.6</v>
      </c>
      <c r="AY32" s="23">
        <f>SUM(All_India_Index_Upto_April23__1___1[[#This Row],[Household goods and services]],All_India_Index_Upto_April23__1___1[[#This Row],[Housing]])</f>
        <v>250.57096774193565</v>
      </c>
      <c r="AZ32" s="23">
        <f>All_India_Index_Upto_April23__1___1[[#This Row],[Clothing]]+All_India_Index_Upto_April23__1___1[[#This Row],[Footwear]]</f>
        <v>227.7</v>
      </c>
      <c r="BA32" s="23">
        <f>All_India_Index_Upto_April23__1___1[[#This Row],[Miscellaneous]]+All_India_Index_Upto_April23__1___1[[#This Row],[Personal care and effects]]+All_India_Index_Upto_April23__1___1[[#This Row],[Education]]+All_India_Index_Upto_April23__1___1[[#This Row],[Recreation and amusement]]</f>
        <v>437.7</v>
      </c>
      <c r="BB32"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2897.4709677419351</v>
      </c>
    </row>
    <row r="33" spans="1:54" x14ac:dyDescent="0.3">
      <c r="A33" s="20" t="s">
        <v>32</v>
      </c>
      <c r="B33" s="2">
        <v>2023</v>
      </c>
      <c r="C33" s="2" t="s">
        <v>36</v>
      </c>
      <c r="D33" s="10" t="str">
        <f t="shared" si="0"/>
        <v>Apr-23</v>
      </c>
      <c r="E33" s="2">
        <v>174.8</v>
      </c>
      <c r="F33" s="2"/>
      <c r="G33" s="2">
        <v>213.7</v>
      </c>
      <c r="H33" s="2"/>
      <c r="I33" s="2">
        <v>172.4</v>
      </c>
      <c r="J33" s="2"/>
      <c r="K33" s="2">
        <v>178.8</v>
      </c>
      <c r="L33" s="2"/>
      <c r="M33" s="2">
        <v>168.7</v>
      </c>
      <c r="N33" s="2"/>
      <c r="O33" s="2">
        <v>179.2</v>
      </c>
      <c r="P33" s="2"/>
      <c r="Q33" s="2">
        <v>179.9</v>
      </c>
      <c r="R33" s="2"/>
      <c r="S33" s="2">
        <v>174.7</v>
      </c>
      <c r="T33" s="2"/>
      <c r="U33" s="2">
        <v>123.1</v>
      </c>
      <c r="V33" s="2"/>
      <c r="W33" s="2">
        <v>207.8</v>
      </c>
      <c r="X33" s="2"/>
      <c r="Y33" s="2">
        <v>165.5</v>
      </c>
      <c r="Z33" s="2"/>
      <c r="AA33" s="2">
        <v>197</v>
      </c>
      <c r="AB33" s="2"/>
      <c r="AC33" s="2">
        <v>182.1</v>
      </c>
      <c r="AD33" s="2"/>
      <c r="AE33" s="2">
        <v>203.5</v>
      </c>
      <c r="AF33" s="2"/>
      <c r="AG33" s="2">
        <v>181</v>
      </c>
      <c r="AH33" s="2">
        <v>167.7</v>
      </c>
      <c r="AI33" s="2">
        <v>178.9</v>
      </c>
      <c r="AJ33" s="2">
        <v>175.2</v>
      </c>
      <c r="AK33" s="2">
        <v>182.1</v>
      </c>
      <c r="AL33" s="2">
        <v>169.6</v>
      </c>
      <c r="AM33" s="2">
        <v>181.5</v>
      </c>
      <c r="AN33" s="2">
        <v>160.1</v>
      </c>
      <c r="AO33" s="2">
        <v>168.8</v>
      </c>
      <c r="AP33" s="2">
        <v>174.2</v>
      </c>
      <c r="AQ33" s="2">
        <v>184.4</v>
      </c>
      <c r="AR33" s="2">
        <v>170.9</v>
      </c>
      <c r="AS33" s="2">
        <v>177.4</v>
      </c>
      <c r="AT33" s="23">
        <f t="shared" si="1"/>
        <v>180.08571428571432</v>
      </c>
      <c r="AU33" s="27">
        <f t="shared" si="2"/>
        <v>0.96556256780916916</v>
      </c>
      <c r="AV33" s="18">
        <f>AVERAGE(All_India_Index_Upto_April23__1___1[[#This Row],[Household goods and services]],All_India_Index_Upto_April23__1___1[[#This Row],[Housing]])</f>
        <v>111</v>
      </c>
      <c r="AW33" s="18">
        <f>AVERAGE(All_India_Index_Upto_April23__1___1[[#This Row],[Miscellaneous]],All_India_Index_Upto_April23__1___1[[#This Row],[Personal care and effects]],All_India_Index_Upto_April23__1___1[[#This Row],[Education]],All_India_Index_Upto_April23__1___1[[#This Row],[Recreation and amusement]])</f>
        <v>109.325</v>
      </c>
      <c r="AX33" s="18">
        <f>SUM(All_India_Index_Upto_April23__1___1[[#This Row],[Cereals and products]:[Pan, tobacco and intoxicants]])</f>
        <v>1658.6999999999998</v>
      </c>
      <c r="AY33" s="18">
        <f>SUM(All_India_Index_Upto_April23__1___1[[#This Row],[Household goods and services]],All_India_Index_Upto_April23__1___1[[#This Row],[Housing]])</f>
        <v>222</v>
      </c>
      <c r="AZ33" s="18">
        <f>All_India_Index_Upto_April23__1___1[[#This Row],[Clothing]]+All_India_Index_Upto_April23__1___1[[#This Row],[Footwear]]</f>
        <v>223.8</v>
      </c>
      <c r="BA33" s="18">
        <f>All_India_Index_Upto_April23__1___1[[#This Row],[Miscellaneous]]+All_India_Index_Upto_April23__1___1[[#This Row],[Personal care and effects]]+All_India_Index_Upto_April23__1___1[[#This Row],[Education]]+All_India_Index_Upto_April23__1___1[[#This Row],[Recreation and amusement]]</f>
        <v>437.3</v>
      </c>
      <c r="BB33"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2869.8999999999996</v>
      </c>
    </row>
    <row r="34" spans="1:54" hidden="1" x14ac:dyDescent="0.3">
      <c r="A34" s="21" t="s">
        <v>33</v>
      </c>
      <c r="B34" s="10">
        <v>2023</v>
      </c>
      <c r="C34" s="10" t="s">
        <v>36</v>
      </c>
      <c r="D34" s="10" t="str">
        <f t="shared" si="0"/>
        <v>Apr-23</v>
      </c>
      <c r="E34" s="10">
        <v>173.8</v>
      </c>
      <c r="F34" s="29">
        <f>(E34-E31)/E31</f>
        <v>-3.4403669724770315E-3</v>
      </c>
      <c r="G34" s="10">
        <v>209.3</v>
      </c>
      <c r="H34" s="29">
        <f>(G34-G31)/G31</f>
        <v>7.7034183919115207E-3</v>
      </c>
      <c r="I34" s="10">
        <v>169.6</v>
      </c>
      <c r="J34" s="29">
        <f>(I34-I31)/I31</f>
        <v>-3.1963470319634674E-2</v>
      </c>
      <c r="K34" s="10">
        <v>178.4</v>
      </c>
      <c r="L34" s="29">
        <f>(K34-K31)/K31</f>
        <v>6.2041737168640398E-3</v>
      </c>
      <c r="M34" s="10">
        <v>174.9</v>
      </c>
      <c r="N34" s="29">
        <f>(M34-M31)/M31</f>
        <v>-2.3995535714285622E-2</v>
      </c>
      <c r="O34" s="10">
        <v>176.3</v>
      </c>
      <c r="P34" s="29">
        <f>(O34-O31)/O31</f>
        <v>4.0117994100295054E-2</v>
      </c>
      <c r="Q34" s="10">
        <v>155.4</v>
      </c>
      <c r="R34" s="29">
        <f>(Q34-Q31)/Q31</f>
        <v>1.7015706806282685E-2</v>
      </c>
      <c r="S34" s="10">
        <v>173.4</v>
      </c>
      <c r="T34" s="29">
        <f>(S34-S31)/S31</f>
        <v>1.3442431326709593E-2</v>
      </c>
      <c r="U34" s="10">
        <v>121.3</v>
      </c>
      <c r="V34" s="29">
        <f>(U34-U31)/U31</f>
        <v>1.0833333333333309E-2</v>
      </c>
      <c r="W34" s="10">
        <v>212.9</v>
      </c>
      <c r="X34" s="29">
        <f>(W34-W31)/W31</f>
        <v>1.5259895088221351E-2</v>
      </c>
      <c r="Y34" s="10">
        <v>172.9</v>
      </c>
      <c r="Z34" s="29">
        <f>(Y34-Y31)/Y31</f>
        <v>3.4822983168891135E-3</v>
      </c>
      <c r="AA34" s="10">
        <v>193.5</v>
      </c>
      <c r="AB34" s="29">
        <f>(AA34-AA31)/AA31</f>
        <v>2.5906735751295338E-3</v>
      </c>
      <c r="AC34" s="10">
        <v>177.9</v>
      </c>
      <c r="AD34" s="29">
        <f>(AC34-AC31)/AC31</f>
        <v>5.0847457627118961E-3</v>
      </c>
      <c r="AE34" s="10">
        <v>200.6</v>
      </c>
      <c r="AF34" s="29">
        <f>(AE34-AE31)/AE31</f>
        <v>5.5137844611528536E-3</v>
      </c>
      <c r="AG34" s="10">
        <v>186.9</v>
      </c>
      <c r="AH34" s="10">
        <v>179.2</v>
      </c>
      <c r="AI34" s="10">
        <v>185.7</v>
      </c>
      <c r="AJ34" s="10">
        <v>175.2</v>
      </c>
      <c r="AK34" s="10">
        <v>181.7</v>
      </c>
      <c r="AL34" s="10">
        <v>174.6</v>
      </c>
      <c r="AM34" s="10">
        <v>185</v>
      </c>
      <c r="AN34" s="10">
        <v>164.5</v>
      </c>
      <c r="AO34" s="10">
        <v>170.7</v>
      </c>
      <c r="AP34" s="10">
        <v>176.4</v>
      </c>
      <c r="AQ34" s="10">
        <v>184</v>
      </c>
      <c r="AR34" s="10">
        <v>175</v>
      </c>
      <c r="AS34" s="10">
        <v>178.1</v>
      </c>
      <c r="AT34" s="23">
        <f t="shared" si="1"/>
        <v>92.231938344348592</v>
      </c>
      <c r="AU34" s="27">
        <f t="shared" si="2"/>
        <v>-0.48784422623319051</v>
      </c>
      <c r="AV34" s="23">
        <f>AVERAGE(All_India_Index_Upto_April23__1___1[[#This Row],[Household goods and services]],All_India_Index_Upto_April23__1___1[[#This Row],[Housing]])</f>
        <v>111.1</v>
      </c>
      <c r="AW34" s="23">
        <f>AVERAGE(All_India_Index_Upto_April23__1___1[[#This Row],[Miscellaneous]],All_India_Index_Upto_April23__1___1[[#This Row],[Personal care and effects]],All_India_Index_Upto_April23__1___1[[#This Row],[Education]],All_India_Index_Upto_April23__1___1[[#This Row],[Recreation and amusement]])</f>
        <v>109.4</v>
      </c>
      <c r="AX34" s="23">
        <f>SUM(All_India_Index_Upto_April23__1___1[[#This Row],[Cereals and products]:[Pan, tobacco and intoxicants]])</f>
        <v>1651.8999999999999</v>
      </c>
      <c r="AY34" s="23">
        <f>SUM(All_India_Index_Upto_April23__1___1[[#This Row],[Household goods and services]],All_India_Index_Upto_April23__1___1[[#This Row],[Housing]])</f>
        <v>222.2</v>
      </c>
      <c r="AZ34" s="23">
        <f>All_India_Index_Upto_April23__1___1[[#This Row],[Clothing]]+All_India_Index_Upto_April23__1___1[[#This Row],[Footwear]]</f>
        <v>226.10000000000002</v>
      </c>
      <c r="BA34" s="23">
        <f>All_India_Index_Upto_April23__1___1[[#This Row],[Miscellaneous]]+All_India_Index_Upto_April23__1___1[[#This Row],[Personal care and effects]]+All_India_Index_Upto_April23__1___1[[#This Row],[Education]]+All_India_Index_Upto_April23__1___1[[#This Row],[Recreation and amusement]]</f>
        <v>437.6</v>
      </c>
      <c r="BB34"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2868.2000000000003</v>
      </c>
    </row>
    <row r="35" spans="1:54" hidden="1" x14ac:dyDescent="0.3">
      <c r="A35" s="20" t="s">
        <v>30</v>
      </c>
      <c r="B35" s="2">
        <v>2023</v>
      </c>
      <c r="C35" s="2" t="s">
        <v>37</v>
      </c>
      <c r="D35" s="10" t="str">
        <f t="shared" si="0"/>
        <v>May-23</v>
      </c>
      <c r="E35" s="2">
        <v>173.2</v>
      </c>
      <c r="F35" s="29">
        <f>(E35-E32)/E32</f>
        <v>-5.7703404500878666E-4</v>
      </c>
      <c r="G35" s="2">
        <v>211.5</v>
      </c>
      <c r="H35" s="29">
        <f>(G35-G32)/G32</f>
        <v>2.2232962783953574E-2</v>
      </c>
      <c r="I35" s="2">
        <v>171</v>
      </c>
      <c r="J35" s="29">
        <f>(I35-I32)/I32</f>
        <v>1.8463371054198895E-2</v>
      </c>
      <c r="K35" s="2">
        <v>179.6</v>
      </c>
      <c r="L35" s="29">
        <f>(K35-K32)/K32</f>
        <v>7.8563411896745549E-3</v>
      </c>
      <c r="M35" s="2">
        <v>173.3</v>
      </c>
      <c r="N35" s="29">
        <f>(M35-M32)/M32</f>
        <v>-2.913165266106436E-2</v>
      </c>
      <c r="O35" s="2">
        <v>169</v>
      </c>
      <c r="P35" s="29">
        <f>(O35-O32)/O32</f>
        <v>-2.7058146229130622E-2</v>
      </c>
      <c r="Q35" s="2">
        <v>148.69999999999999</v>
      </c>
      <c r="R35" s="29">
        <f>(Q35-Q32)/Q32</f>
        <v>4.1316526610644097E-2</v>
      </c>
      <c r="S35" s="2">
        <v>174.9</v>
      </c>
      <c r="T35" s="29">
        <f>(S35-S32)/S32</f>
        <v>1.2152777777777743E-2</v>
      </c>
      <c r="U35" s="2">
        <v>121.9</v>
      </c>
      <c r="V35" s="29">
        <f>(U35-U32)/U32</f>
        <v>1.2458471760797342E-2</v>
      </c>
      <c r="W35" s="2">
        <v>221</v>
      </c>
      <c r="X35" s="29">
        <f>(W35-W32)/W32</f>
        <v>2.5522041763341066E-2</v>
      </c>
      <c r="Y35" s="2">
        <v>178.7</v>
      </c>
      <c r="Z35" s="29">
        <f>(Y35-Y32)/Y32</f>
        <v>2.8058361391694727E-3</v>
      </c>
      <c r="AA35" s="2">
        <v>191.1</v>
      </c>
      <c r="AB35" s="29">
        <f>(AA35-AA32)/AA32</f>
        <v>3.1496062992125685E-3</v>
      </c>
      <c r="AC35" s="2">
        <v>176.8</v>
      </c>
      <c r="AD35" s="29">
        <f>(AC35-AC32)/AC32</f>
        <v>7.4074074074074719E-3</v>
      </c>
      <c r="AE35" s="2">
        <v>199.9</v>
      </c>
      <c r="AF35" s="29">
        <f>(AE35-AE32)/AE32</f>
        <v>2.0050125313283494E-3</v>
      </c>
      <c r="AG35" s="2">
        <v>191.2</v>
      </c>
      <c r="AH35" s="2">
        <v>187.9</v>
      </c>
      <c r="AI35" s="2">
        <v>190.8</v>
      </c>
      <c r="AJ35" s="18">
        <f>'Handle Missing Value Sheet only'!$F$5</f>
        <v>139.27096774193564</v>
      </c>
      <c r="AK35" s="2">
        <v>182.5</v>
      </c>
      <c r="AL35" s="2">
        <v>179.8</v>
      </c>
      <c r="AM35" s="2">
        <v>187.8</v>
      </c>
      <c r="AN35" s="2">
        <v>169.7</v>
      </c>
      <c r="AO35" s="2">
        <v>173.8</v>
      </c>
      <c r="AP35" s="2">
        <v>180.3</v>
      </c>
      <c r="AQ35" s="2">
        <v>184.9</v>
      </c>
      <c r="AR35" s="2">
        <v>179.5</v>
      </c>
      <c r="AS35" s="2">
        <v>179.8</v>
      </c>
      <c r="AT35" s="23">
        <f t="shared" si="1"/>
        <v>92.24802216703155</v>
      </c>
      <c r="AU35" s="27">
        <f t="shared" si="2"/>
        <v>1.7438452418628788E-4</v>
      </c>
      <c r="AV35" s="18">
        <f>AVERAGE(All_India_Index_Upto_April23__1___1[[#This Row],[Household goods and services]],All_India_Index_Upto_April23__1___1[[#This Row],[Housing]])</f>
        <v>125.68548387096781</v>
      </c>
      <c r="AW35" s="18">
        <f>AVERAGE(All_India_Index_Upto_April23__1___1[[#This Row],[Miscellaneous]],All_India_Index_Upto_April23__1___1[[#This Row],[Personal care and effects]],All_India_Index_Upto_April23__1___1[[#This Row],[Education]],All_India_Index_Upto_April23__1___1[[#This Row],[Recreation and amusement]])</f>
        <v>109.74999999999999</v>
      </c>
      <c r="AX35" s="18">
        <f>SUM(All_India_Index_Upto_April23__1___1[[#This Row],[Cereals and products]:[Pan, tobacco and intoxicants]])</f>
        <v>1622.6</v>
      </c>
      <c r="AY35" s="18">
        <f>SUM(All_India_Index_Upto_April23__1___1[[#This Row],[Household goods and services]],All_India_Index_Upto_April23__1___1[[#This Row],[Housing]])</f>
        <v>251.37096774193563</v>
      </c>
      <c r="AZ35" s="18">
        <f>All_India_Index_Upto_April23__1___1[[#This Row],[Clothing]]+All_India_Index_Upto_April23__1___1[[#This Row],[Footwear]]</f>
        <v>229.8</v>
      </c>
      <c r="BA35" s="18">
        <f>All_India_Index_Upto_April23__1___1[[#This Row],[Miscellaneous]]+All_India_Index_Upto_April23__1___1[[#This Row],[Personal care and effects]]+All_India_Index_Upto_April23__1___1[[#This Row],[Education]]+All_India_Index_Upto_April23__1___1[[#This Row],[Recreation and amusement]]</f>
        <v>438.99999999999994</v>
      </c>
      <c r="BB35"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2875.5709677419354</v>
      </c>
    </row>
    <row r="36" spans="1:54" x14ac:dyDescent="0.3">
      <c r="A36" s="21" t="s">
        <v>32</v>
      </c>
      <c r="B36" s="10">
        <v>2023</v>
      </c>
      <c r="C36" s="10" t="s">
        <v>37</v>
      </c>
      <c r="D36" s="10" t="str">
        <f t="shared" si="0"/>
        <v>May-23</v>
      </c>
      <c r="E36" s="10">
        <v>174.7</v>
      </c>
      <c r="F36" s="10"/>
      <c r="G36" s="10">
        <v>219.4</v>
      </c>
      <c r="H36" s="10"/>
      <c r="I36" s="10">
        <v>176.7</v>
      </c>
      <c r="J36" s="10"/>
      <c r="K36" s="10">
        <v>179.4</v>
      </c>
      <c r="L36" s="10"/>
      <c r="M36" s="10">
        <v>164.4</v>
      </c>
      <c r="N36" s="10"/>
      <c r="O36" s="10">
        <v>175.8</v>
      </c>
      <c r="P36" s="10"/>
      <c r="Q36" s="10">
        <v>185</v>
      </c>
      <c r="R36" s="10"/>
      <c r="S36" s="10">
        <v>176.9</v>
      </c>
      <c r="T36" s="10"/>
      <c r="U36" s="10">
        <v>124.2</v>
      </c>
      <c r="V36" s="10"/>
      <c r="W36" s="10">
        <v>211.9</v>
      </c>
      <c r="X36" s="10"/>
      <c r="Y36" s="10">
        <v>165.9</v>
      </c>
      <c r="Z36" s="10"/>
      <c r="AA36" s="10">
        <v>197.7</v>
      </c>
      <c r="AB36" s="10"/>
      <c r="AC36" s="10">
        <v>183.1</v>
      </c>
      <c r="AD36" s="10"/>
      <c r="AE36" s="10">
        <v>204.2</v>
      </c>
      <c r="AF36" s="10"/>
      <c r="AG36" s="10">
        <v>181.3</v>
      </c>
      <c r="AH36" s="10">
        <v>168.1</v>
      </c>
      <c r="AI36" s="10">
        <v>179.3</v>
      </c>
      <c r="AJ36" s="10">
        <v>175.6</v>
      </c>
      <c r="AK36" s="10">
        <v>183.4</v>
      </c>
      <c r="AL36" s="10">
        <v>170.1</v>
      </c>
      <c r="AM36" s="10">
        <v>182.2</v>
      </c>
      <c r="AN36" s="10">
        <v>160.4</v>
      </c>
      <c r="AO36" s="10">
        <v>169.2</v>
      </c>
      <c r="AP36" s="10">
        <v>174.8</v>
      </c>
      <c r="AQ36" s="10">
        <v>185.6</v>
      </c>
      <c r="AR36" s="10">
        <v>171.6</v>
      </c>
      <c r="AS36" s="10">
        <v>178.2</v>
      </c>
      <c r="AT36" s="23">
        <f t="shared" si="1"/>
        <v>181.37857142857141</v>
      </c>
      <c r="AU36" s="27">
        <f t="shared" si="2"/>
        <v>0.9662055312161929</v>
      </c>
      <c r="AV36" s="23">
        <f>AVERAGE(All_India_Index_Upto_April23__1___1[[#This Row],[Household goods and services]],All_India_Index_Upto_April23__1___1[[#This Row],[Housing]])</f>
        <v>111</v>
      </c>
      <c r="AW36" s="23">
        <f>AVERAGE(All_India_Index_Upto_April23__1___1[[#This Row],[Miscellaneous]],All_India_Index_Upto_April23__1___1[[#This Row],[Personal care and effects]],All_India_Index_Upto_April23__1___1[[#This Row],[Education]],All_India_Index_Upto_April23__1___1[[#This Row],[Recreation and amusement]])</f>
        <v>109.44999999999999</v>
      </c>
      <c r="AX36" s="23">
        <f>SUM(All_India_Index_Upto_April23__1___1[[#This Row],[Cereals and products]:[Pan, tobacco and intoxicants]])</f>
        <v>1619.4</v>
      </c>
      <c r="AY36" s="23">
        <f>SUM(All_India_Index_Upto_April23__1___1[[#This Row],[Household goods and services]],All_India_Index_Upto_April23__1___1[[#This Row],[Housing]])</f>
        <v>222</v>
      </c>
      <c r="AZ36" s="23">
        <f>All_India_Index_Upto_April23__1___1[[#This Row],[Clothing]]+All_India_Index_Upto_April23__1___1[[#This Row],[Footwear]]</f>
        <v>225.10000000000002</v>
      </c>
      <c r="BA36" s="23">
        <f>All_India_Index_Upto_April23__1___1[[#This Row],[Miscellaneous]]+All_India_Index_Upto_April23__1___1[[#This Row],[Personal care and effects]]+All_India_Index_Upto_April23__1___1[[#This Row],[Education]]+All_India_Index_Upto_April23__1___1[[#This Row],[Recreation and amusement]]</f>
        <v>437.79999999999995</v>
      </c>
      <c r="BB36" s="24">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2833.4</v>
      </c>
    </row>
    <row r="37" spans="1:54" hidden="1" x14ac:dyDescent="0.3">
      <c r="A37" s="20" t="s">
        <v>33</v>
      </c>
      <c r="B37" s="2">
        <v>2023</v>
      </c>
      <c r="C37" s="2" t="s">
        <v>37</v>
      </c>
      <c r="D37" s="10" t="str">
        <f t="shared" si="0"/>
        <v>May-23</v>
      </c>
      <c r="E37" s="2">
        <v>173.7</v>
      </c>
      <c r="F37" s="29">
        <f>(E37-E34)/E34</f>
        <v>-5.7537399309564284E-4</v>
      </c>
      <c r="G37" s="2">
        <v>214.3</v>
      </c>
      <c r="H37" s="29">
        <f>(G37-G34)/G34</f>
        <v>2.3889154323936932E-2</v>
      </c>
      <c r="I37" s="2">
        <v>173.2</v>
      </c>
      <c r="J37" s="29">
        <f>(I37-I34)/I34</f>
        <v>2.122641509433959E-2</v>
      </c>
      <c r="K37" s="2">
        <v>179.5</v>
      </c>
      <c r="L37" s="29">
        <f>(K37-K34)/K34</f>
        <v>6.1659192825111791E-3</v>
      </c>
      <c r="M37" s="2">
        <v>170</v>
      </c>
      <c r="N37" s="29">
        <f>(M37-M34)/M34</f>
        <v>-2.801600914808465E-2</v>
      </c>
      <c r="O37" s="2">
        <v>172.2</v>
      </c>
      <c r="P37" s="29">
        <f>(O37-O34)/O34</f>
        <v>-2.32558139534885E-2</v>
      </c>
      <c r="Q37" s="2">
        <v>161</v>
      </c>
      <c r="R37" s="29">
        <f>(Q37-Q34)/Q34</f>
        <v>3.6036036036036001E-2</v>
      </c>
      <c r="S37" s="2">
        <v>175.6</v>
      </c>
      <c r="T37" s="29">
        <f>(S37-S34)/S34</f>
        <v>1.2687427912341341E-2</v>
      </c>
      <c r="U37" s="2">
        <v>122.7</v>
      </c>
      <c r="V37" s="29">
        <f>(U37-U34)/U34</f>
        <v>1.1541632316570533E-2</v>
      </c>
      <c r="W37" s="2">
        <v>218</v>
      </c>
      <c r="X37" s="29">
        <f>(W37-W34)/W34</f>
        <v>2.3954908407703118E-2</v>
      </c>
      <c r="Y37" s="2">
        <v>173.4</v>
      </c>
      <c r="Z37" s="29">
        <f>(Y37-Y34)/Y34</f>
        <v>2.8918449971081549E-3</v>
      </c>
      <c r="AA37" s="2">
        <v>194.2</v>
      </c>
      <c r="AB37" s="29">
        <f>(AA37-AA34)/AA34</f>
        <v>3.6175710594314658E-3</v>
      </c>
      <c r="AC37" s="2">
        <v>179.1</v>
      </c>
      <c r="AD37" s="29">
        <f>(AC37-AC34)/AC34</f>
        <v>6.7453625632377095E-3</v>
      </c>
      <c r="AE37" s="2">
        <v>201</v>
      </c>
      <c r="AF37" s="29">
        <f>(AE37-AE34)/AE34</f>
        <v>1.9940179461615439E-3</v>
      </c>
      <c r="AG37" s="2">
        <v>187.3</v>
      </c>
      <c r="AH37" s="2">
        <v>179.7</v>
      </c>
      <c r="AI37" s="2">
        <v>186.2</v>
      </c>
      <c r="AJ37" s="2">
        <v>175.6</v>
      </c>
      <c r="AK37" s="2">
        <v>182.8</v>
      </c>
      <c r="AL37" s="2">
        <v>175.2</v>
      </c>
      <c r="AM37" s="2">
        <v>185.7</v>
      </c>
      <c r="AN37" s="2">
        <v>164.8</v>
      </c>
      <c r="AO37" s="2">
        <v>171.2</v>
      </c>
      <c r="AP37" s="2">
        <v>177.1</v>
      </c>
      <c r="AQ37" s="2">
        <v>185.2</v>
      </c>
      <c r="AR37" s="2">
        <v>175.7</v>
      </c>
      <c r="AS37" s="2">
        <v>179.1</v>
      </c>
      <c r="AT37" s="23">
        <f t="shared" si="1"/>
        <v>92.888774410181412</v>
      </c>
      <c r="AU37" s="27">
        <f t="shared" si="2"/>
        <v>-0.48787349200860869</v>
      </c>
      <c r="AV37" s="18">
        <f>AVERAGE(All_India_Index_Upto_April23__1___1[[#This Row],[Household goods and services]],All_India_Index_Upto_April23__1___1[[#This Row],[Housing]])</f>
        <v>111.2</v>
      </c>
      <c r="AW37" s="18">
        <f>AVERAGE(All_India_Index_Upto_April23__1___1[[#This Row],[Miscellaneous]],All_India_Index_Upto_April23__1___1[[#This Row],[Personal care and effects]],All_India_Index_Upto_April23__1___1[[#This Row],[Education]],All_India_Index_Upto_April23__1___1[[#This Row],[Recreation and amusement]])</f>
        <v>109.6</v>
      </c>
      <c r="AX37" s="18">
        <f>SUM(All_India_Index_Upto_April23__1___1[[#This Row],[Cereals and products]:[Pan, tobacco and intoxicants]])</f>
        <v>1621.3000000000002</v>
      </c>
      <c r="AY37" s="18">
        <f>SUM(All_India_Index_Upto_April23__1___1[[#This Row],[Household goods and services]],All_India_Index_Upto_April23__1___1[[#This Row],[Housing]])</f>
        <v>222.4</v>
      </c>
      <c r="AZ37" s="18">
        <f>All_India_Index_Upto_April23__1___1[[#This Row],[Clothing]]+All_India_Index_Upto_April23__1___1[[#This Row],[Footwear]]</f>
        <v>227.9</v>
      </c>
      <c r="BA37" s="18">
        <f>All_India_Index_Upto_April23__1___1[[#This Row],[Miscellaneous]]+All_India_Index_Upto_April23__1___1[[#This Row],[Personal care and effects]]+All_India_Index_Upto_April23__1___1[[#This Row],[Education]]+All_India_Index_Upto_April23__1___1[[#This Row],[Recreation and amusement]]</f>
        <v>438.4</v>
      </c>
      <c r="BB37" s="25">
        <f>SUM(All_India_Index_Upto_April23__1___1[[#This Row],[Sum of others]],All_India_Index_Upto_April23__1___1[[#This Row],[Sum of clothing]],All_India_Index_Upto_April23__1___1[[#This Row],[Sum of Housing Exp]],All_India_Index_Upto_April23__1___1[[#This Row],[Sum of food expenses]],All_India_Index_Upto_April23__1___1[[#This Row],[Transport and communication]],All_India_Index_Upto_April23__1___1[[#This Row],[Health]],All_India_Index_Upto_April23__1___1[[#This Row],[Fuel and light]])</f>
        <v>2841.4</v>
      </c>
    </row>
    <row r="38" spans="1:54" hidden="1" x14ac:dyDescent="0.3">
      <c r="E38" t="s">
        <v>114</v>
      </c>
      <c r="F38" s="30">
        <f>SUM(F5:F35)</f>
        <v>0.23571904428014445</v>
      </c>
      <c r="H38" s="30">
        <f>AVERAGE(H5:H35)</f>
        <v>-3.3794848622624883E-3</v>
      </c>
      <c r="J38" s="30">
        <f>AVERAGE(J5:J35)</f>
        <v>1.0061660062398764E-3</v>
      </c>
      <c r="L38" s="30">
        <f>AVERAGE(L5:L35)</f>
        <v>7.4441942119993065E-3</v>
      </c>
      <c r="N38" s="30">
        <f>AVERAGE(N5:N35)</f>
        <v>-1.5074509058963518E-2</v>
      </c>
      <c r="P38" s="30">
        <f>AVERAGE(P5:P35)</f>
        <v>3.1730020818410347E-3</v>
      </c>
      <c r="R38" s="30">
        <f ca="1">AVERAGE(R5:R38)</f>
        <v>0</v>
      </c>
      <c r="T38" s="30">
        <f>AVERAGE(T5:T35)</f>
        <v>5.4908751049974319E-3</v>
      </c>
      <c r="V38" s="30">
        <f>AVERAGE(V5:V35)</f>
        <v>1.6803968688420255E-3</v>
      </c>
      <c r="X38" s="30">
        <f>AVERAGE(X5:X35)</f>
        <v>1.3735842941530933E-2</v>
      </c>
      <c r="Z38" s="30">
        <f>AVERAGE(Z5:Z35)</f>
        <v>2.6160716040645195E-3</v>
      </c>
      <c r="AB38" s="30">
        <f>AVERAGE(AB5:AB35)</f>
        <v>4.7865020416974951E-3</v>
      </c>
      <c r="AD38" s="30">
        <f>AVERAGE(AD5:AD35)</f>
        <v>2.0347316718349918E-3</v>
      </c>
      <c r="AF38" s="30">
        <f>AVERAGE(AF5:AF35)</f>
        <v>3.2239084015773683E-3</v>
      </c>
    </row>
    <row r="48" spans="1:54" x14ac:dyDescent="0.3">
      <c r="A48" s="14" t="s">
        <v>0</v>
      </c>
      <c r="B48" t="s">
        <v>96</v>
      </c>
    </row>
    <row r="50" spans="1:2" x14ac:dyDescent="0.3">
      <c r="A50" s="14" t="s">
        <v>110</v>
      </c>
    </row>
    <row r="51" spans="1:2" x14ac:dyDescent="0.3">
      <c r="A51" s="14" t="s">
        <v>109</v>
      </c>
      <c r="B51" t="s">
        <v>74</v>
      </c>
    </row>
    <row r="52" spans="1:2" x14ac:dyDescent="0.3">
      <c r="A52" t="s">
        <v>103</v>
      </c>
      <c r="B52" s="12">
        <v>175.7904761904762</v>
      </c>
    </row>
    <row r="53" spans="1:2" x14ac:dyDescent="0.3">
      <c r="A53" t="s">
        <v>102</v>
      </c>
      <c r="B53" s="12">
        <v>176.11428571428573</v>
      </c>
    </row>
    <row r="54" spans="1:2" x14ac:dyDescent="0.3">
      <c r="A54" t="s">
        <v>98</v>
      </c>
      <c r="B54" s="12">
        <v>176.33571428571429</v>
      </c>
    </row>
    <row r="55" spans="1:2" x14ac:dyDescent="0.3">
      <c r="A55" t="s">
        <v>108</v>
      </c>
      <c r="B55" s="12">
        <v>177.26666666666665</v>
      </c>
    </row>
    <row r="56" spans="1:2" x14ac:dyDescent="0.3">
      <c r="A56" t="s">
        <v>107</v>
      </c>
      <c r="B56" s="12">
        <v>178.46190476190478</v>
      </c>
    </row>
    <row r="57" spans="1:2" x14ac:dyDescent="0.3">
      <c r="A57" t="s">
        <v>106</v>
      </c>
      <c r="B57" s="12">
        <v>178.37857142857146</v>
      </c>
    </row>
    <row r="58" spans="1:2" x14ac:dyDescent="0.3">
      <c r="A58" t="s">
        <v>99</v>
      </c>
      <c r="B58" s="12">
        <v>177.39523809523811</v>
      </c>
    </row>
    <row r="59" spans="1:2" x14ac:dyDescent="0.3">
      <c r="A59" t="s">
        <v>101</v>
      </c>
      <c r="B59" s="12">
        <v>178.16190476190479</v>
      </c>
    </row>
    <row r="60" spans="1:2" x14ac:dyDescent="0.3">
      <c r="A60" t="s">
        <v>100</v>
      </c>
      <c r="B60" s="12">
        <v>177.34523809523807</v>
      </c>
    </row>
    <row r="61" spans="1:2" x14ac:dyDescent="0.3">
      <c r="A61" t="s">
        <v>104</v>
      </c>
      <c r="B61" s="12">
        <v>177.35714285714286</v>
      </c>
    </row>
    <row r="62" spans="1:2" x14ac:dyDescent="0.3">
      <c r="A62" t="s">
        <v>97</v>
      </c>
      <c r="B62" s="12">
        <v>178.2166666666667</v>
      </c>
    </row>
    <row r="63" spans="1:2" x14ac:dyDescent="0.3">
      <c r="A63" t="s">
        <v>105</v>
      </c>
      <c r="B63" s="12">
        <v>179.47142857142862</v>
      </c>
    </row>
    <row r="64" spans="1:2" x14ac:dyDescent="0.3">
      <c r="A64" t="s">
        <v>73</v>
      </c>
      <c r="B64" s="12">
        <v>177.52460317460316</v>
      </c>
    </row>
    <row r="72" spans="1:2" x14ac:dyDescent="0.3">
      <c r="A72" s="14" t="s">
        <v>0</v>
      </c>
      <c r="B72" t="s">
        <v>96</v>
      </c>
    </row>
    <row r="74" spans="1:2" x14ac:dyDescent="0.3">
      <c r="A74" s="14" t="s">
        <v>112</v>
      </c>
    </row>
    <row r="75" spans="1:2" x14ac:dyDescent="0.3">
      <c r="A75" s="14" t="s">
        <v>109</v>
      </c>
      <c r="B75" t="s">
        <v>74</v>
      </c>
    </row>
    <row r="76" spans="1:2" x14ac:dyDescent="0.3">
      <c r="A76" t="s">
        <v>103</v>
      </c>
      <c r="B76" s="11">
        <v>6.3620680556498877E-3</v>
      </c>
    </row>
    <row r="77" spans="1:2" x14ac:dyDescent="0.3">
      <c r="A77" t="s">
        <v>102</v>
      </c>
      <c r="B77" s="28">
        <v>2.1541803542679174E-3</v>
      </c>
    </row>
    <row r="78" spans="1:2" x14ac:dyDescent="0.3">
      <c r="A78" t="s">
        <v>98</v>
      </c>
      <c r="B78" s="28">
        <v>1.5669310168679798E-3</v>
      </c>
    </row>
    <row r="79" spans="1:2" x14ac:dyDescent="0.3">
      <c r="A79" t="s">
        <v>108</v>
      </c>
      <c r="B79" s="28">
        <v>5.3257326432239443E-3</v>
      </c>
    </row>
    <row r="80" spans="1:2" x14ac:dyDescent="0.3">
      <c r="A80" t="s">
        <v>107</v>
      </c>
      <c r="B80" s="28">
        <v>6.9749497127123503E-3</v>
      </c>
    </row>
    <row r="81" spans="1:2" x14ac:dyDescent="0.3">
      <c r="A81" t="s">
        <v>106</v>
      </c>
      <c r="B81" s="28">
        <v>1.6619487742657209E-4</v>
      </c>
    </row>
    <row r="82" spans="1:2" x14ac:dyDescent="0.3">
      <c r="A82" t="s">
        <v>99</v>
      </c>
      <c r="B82" s="28">
        <v>-5.1245882374405388E-3</v>
      </c>
    </row>
    <row r="83" spans="1:2" x14ac:dyDescent="0.3">
      <c r="A83" t="s">
        <v>101</v>
      </c>
      <c r="B83" s="28">
        <v>4.2191492843013205E-3</v>
      </c>
    </row>
    <row r="84" spans="1:2" x14ac:dyDescent="0.3">
      <c r="A84" t="s">
        <v>100</v>
      </c>
      <c r="B84" s="28">
        <v>-4.6887288334953887E-3</v>
      </c>
    </row>
    <row r="85" spans="1:2" x14ac:dyDescent="0.3">
      <c r="A85" t="s">
        <v>104</v>
      </c>
      <c r="B85" s="28">
        <v>2.6043598390547776E-4</v>
      </c>
    </row>
    <row r="86" spans="1:2" x14ac:dyDescent="0.3">
      <c r="A86" t="s">
        <v>97</v>
      </c>
      <c r="B86" s="28">
        <v>4.8890864741948856E-3</v>
      </c>
    </row>
    <row r="87" spans="1:2" x14ac:dyDescent="0.3">
      <c r="A87" t="s">
        <v>105</v>
      </c>
      <c r="B87" s="28">
        <v>7.3485383377681346E-3</v>
      </c>
    </row>
    <row r="88" spans="1:2" x14ac:dyDescent="0.3">
      <c r="A88" t="s">
        <v>73</v>
      </c>
      <c r="B88">
        <v>2.9453949669382539E-2</v>
      </c>
    </row>
    <row r="97" spans="1:7" x14ac:dyDescent="0.3">
      <c r="B97" t="s">
        <v>30</v>
      </c>
      <c r="D97" t="s">
        <v>32</v>
      </c>
      <c r="G97" t="s">
        <v>84</v>
      </c>
    </row>
    <row r="98" spans="1:7" x14ac:dyDescent="0.3">
      <c r="A98" s="1" t="s">
        <v>3</v>
      </c>
      <c r="B98" s="30">
        <f>SUM(F150:F160)</f>
        <v>0.1201318333970844</v>
      </c>
      <c r="D98" s="30">
        <f>SUM(E166:E176)</f>
        <v>0.10437591753856065</v>
      </c>
      <c r="G98" s="30">
        <f>SUM(D133:D143)</f>
        <v>0.11501183688996432</v>
      </c>
    </row>
    <row r="99" spans="1:7" x14ac:dyDescent="0.3">
      <c r="A99" s="1" t="s">
        <v>4</v>
      </c>
      <c r="B99" s="30">
        <f>SUM(H150:H160)</f>
        <v>-2.5060081873888963E-2</v>
      </c>
      <c r="D99" s="30">
        <f>SUM(G166:G176)</f>
        <v>-1.658564828334555E-2</v>
      </c>
      <c r="G99" s="30">
        <f>SUM(F133:F143)</f>
        <v>-2.2019945909686377E-2</v>
      </c>
    </row>
    <row r="100" spans="1:7" x14ac:dyDescent="0.3">
      <c r="A100" s="1" t="s">
        <v>5</v>
      </c>
      <c r="B100" s="30">
        <f>SUM(J150:J160)</f>
        <v>1.8222018227553496E-2</v>
      </c>
      <c r="D100" s="30">
        <f>SUM(I166:I176)</f>
        <v>3.2773193094220249E-2</v>
      </c>
      <c r="G100" s="30">
        <f>SUM(H133:H143)</f>
        <v>2.4133882997823472E-2</v>
      </c>
    </row>
    <row r="101" spans="1:7" x14ac:dyDescent="0.3">
      <c r="A101" s="1" t="s">
        <v>6</v>
      </c>
      <c r="B101" s="30">
        <f>SUM(J133:J143)</f>
        <v>7.9749422148858315E-2</v>
      </c>
      <c r="D101" s="30">
        <f>SUM(K166:K176)</f>
        <v>7.556223474588214E-2</v>
      </c>
      <c r="G101" s="30">
        <f>SUM(J133:J143)</f>
        <v>7.9749422148858315E-2</v>
      </c>
    </row>
    <row r="102" spans="1:7" x14ac:dyDescent="0.3">
      <c r="A102" s="1" t="s">
        <v>7</v>
      </c>
      <c r="B102" s="30">
        <f>SUM(L133:L143)</f>
        <v>-0.16455547421002759</v>
      </c>
      <c r="D102" s="30">
        <f>SUM(M166:M176)</f>
        <v>-0.13564935240235884</v>
      </c>
      <c r="G102" s="30">
        <f>SUM(L133:L143)</f>
        <v>-0.16455547421002759</v>
      </c>
    </row>
    <row r="103" spans="1:7" x14ac:dyDescent="0.3">
      <c r="A103" s="1" t="s">
        <v>8</v>
      </c>
      <c r="B103" s="30">
        <f>SUM(N133:N143)</f>
        <v>1.973126249962542E-2</v>
      </c>
      <c r="D103" s="30">
        <f>SUM(O166:O176)</f>
        <v>1.5745157737123826E-2</v>
      </c>
      <c r="G103" s="30">
        <f>SUM(N133:N143)</f>
        <v>1.973126249962542E-2</v>
      </c>
    </row>
    <row r="104" spans="1:7" x14ac:dyDescent="0.3">
      <c r="A104" s="1" t="s">
        <v>9</v>
      </c>
      <c r="B104" s="30">
        <f>SUM(R150:R160)</f>
        <v>-0.10286210294370869</v>
      </c>
      <c r="D104" s="30">
        <f>SUM(Q166:Q176)</f>
        <v>-0.11664212684616586</v>
      </c>
      <c r="G104" s="30">
        <f>SUM(P133:P143)</f>
        <v>-0.10877646422437171</v>
      </c>
    </row>
    <row r="105" spans="1:7" x14ac:dyDescent="0.3">
      <c r="A105" s="1" t="s">
        <v>10</v>
      </c>
      <c r="B105" s="30">
        <f>SUM(T150:T160)</f>
        <v>6.107466728084171E-2</v>
      </c>
      <c r="D105" s="30">
        <f>SUM(S166:S176)</f>
        <v>7.8658050751888295E-2</v>
      </c>
      <c r="G105" s="30">
        <f>SUM(R133:R143)</f>
        <v>6.6921137836445682E-2</v>
      </c>
    </row>
    <row r="106" spans="1:7" x14ac:dyDescent="0.3">
      <c r="A106" s="1" t="s">
        <v>11</v>
      </c>
      <c r="B106" s="30">
        <f>SUM(V150:V160)</f>
        <v>2.3510800227864254E-2</v>
      </c>
      <c r="D106" s="30">
        <f>SUM(U166:U176)</f>
        <v>2.296654122151353E-2</v>
      </c>
      <c r="G106" s="30">
        <f>SUM(T133:T143)</f>
        <v>2.3319166334388818E-2</v>
      </c>
    </row>
    <row r="107" spans="1:7" x14ac:dyDescent="0.3">
      <c r="A107" s="1" t="s">
        <v>12</v>
      </c>
      <c r="B107" s="30">
        <f>SUM(X150:X160)</f>
        <v>0.15828211467659009</v>
      </c>
      <c r="D107" s="30">
        <f>SUM(W166:W176)</f>
        <v>0.1450807911873194</v>
      </c>
      <c r="G107" s="30">
        <f>SUM(V133:V143)</f>
        <v>0.1541254955032626</v>
      </c>
    </row>
    <row r="108" spans="1:7" x14ac:dyDescent="0.3">
      <c r="A108" s="1" t="s">
        <v>13</v>
      </c>
      <c r="B108" s="30">
        <f>SUM(Z150:Z160)</f>
        <v>2.554175836706853E-2</v>
      </c>
      <c r="D108" s="30">
        <f>SUM(Y166:Y176)</f>
        <v>4.1948811065176048E-2</v>
      </c>
      <c r="G108" s="30">
        <f>SUM(X133:X143)</f>
        <v>3.2287590315394542E-2</v>
      </c>
    </row>
    <row r="109" spans="1:7" x14ac:dyDescent="0.3">
      <c r="A109" s="1" t="s">
        <v>14</v>
      </c>
      <c r="B109" s="30">
        <f>SUM(AB150:AB160)</f>
        <v>4.947222280159657E-2</v>
      </c>
      <c r="D109" s="32">
        <v>5.9602013751183049E-2</v>
      </c>
      <c r="E109" s="30"/>
      <c r="G109" s="30">
        <f>SUM(Z133:Z143)</f>
        <v>5.4661891133482306E-2</v>
      </c>
    </row>
    <row r="110" spans="1:7" x14ac:dyDescent="0.3">
      <c r="A110" s="1" t="s">
        <v>15</v>
      </c>
      <c r="B110" s="30">
        <f>SUM(AD150:AD160)</f>
        <v>2.5465269199315799E-2</v>
      </c>
      <c r="D110" s="30">
        <f>SUM(AC166:AC176)</f>
        <v>2.1299287130506578E-2</v>
      </c>
      <c r="G110" s="30">
        <f>SUM(AB133:AB143)</f>
        <v>2.4009458472456738E-2</v>
      </c>
    </row>
    <row r="111" spans="1:7" x14ac:dyDescent="0.3">
      <c r="A111" s="1" t="s">
        <v>16</v>
      </c>
      <c r="B111" s="30">
        <f>SUM(AE166:AE176)</f>
        <v>2.9372571320132781E-2</v>
      </c>
      <c r="D111" s="32">
        <v>2.9372571320132781E-2</v>
      </c>
      <c r="E111" s="30"/>
      <c r="G111" s="30">
        <f>SUM(AD133:AD143)</f>
        <v>3.3973194486927961E-2</v>
      </c>
    </row>
    <row r="130" spans="3:30" x14ac:dyDescent="0.3">
      <c r="C130" t="s">
        <v>115</v>
      </c>
    </row>
    <row r="131" spans="3:30" x14ac:dyDescent="0.3">
      <c r="C131" s="1" t="s">
        <v>3</v>
      </c>
      <c r="D131" s="1" t="s">
        <v>113</v>
      </c>
      <c r="E131" s="1" t="s">
        <v>4</v>
      </c>
      <c r="F131" s="1"/>
      <c r="G131" s="1" t="s">
        <v>5</v>
      </c>
      <c r="H131" s="1"/>
      <c r="I131" s="1" t="s">
        <v>6</v>
      </c>
      <c r="J131" s="1"/>
      <c r="K131" s="1" t="s">
        <v>7</v>
      </c>
      <c r="L131" s="1"/>
      <c r="M131" s="1" t="s">
        <v>8</v>
      </c>
      <c r="N131" s="1"/>
      <c r="O131" s="1" t="s">
        <v>9</v>
      </c>
      <c r="P131" s="1"/>
      <c r="Q131" s="1" t="s">
        <v>10</v>
      </c>
      <c r="R131" s="1"/>
      <c r="S131" s="1" t="s">
        <v>11</v>
      </c>
      <c r="T131" s="1"/>
      <c r="U131" s="1" t="s">
        <v>12</v>
      </c>
      <c r="V131" s="1"/>
      <c r="W131" s="1" t="s">
        <v>13</v>
      </c>
      <c r="X131" s="1"/>
      <c r="Y131" s="1" t="s">
        <v>14</v>
      </c>
      <c r="Z131" s="1"/>
      <c r="AA131" s="1" t="s">
        <v>15</v>
      </c>
      <c r="AB131" s="1"/>
      <c r="AC131" s="1" t="s">
        <v>16</v>
      </c>
      <c r="AD131" s="1"/>
    </row>
    <row r="132" spans="3:30" x14ac:dyDescent="0.3">
      <c r="C132" s="10">
        <v>155</v>
      </c>
      <c r="D132" s="10"/>
      <c r="E132" s="10">
        <v>219.4</v>
      </c>
      <c r="F132" s="10"/>
      <c r="G132" s="10">
        <v>170.8</v>
      </c>
      <c r="H132" s="10"/>
      <c r="I132" s="10">
        <v>165.8</v>
      </c>
      <c r="J132" s="10"/>
      <c r="K132" s="10">
        <v>200.9</v>
      </c>
      <c r="L132" s="10"/>
      <c r="M132" s="10">
        <v>169.7</v>
      </c>
      <c r="N132" s="10"/>
      <c r="O132" s="10">
        <v>182.3</v>
      </c>
      <c r="P132" s="10"/>
      <c r="Q132" s="10">
        <v>164.3</v>
      </c>
      <c r="R132" s="10"/>
      <c r="S132" s="10">
        <v>119.9</v>
      </c>
      <c r="T132" s="10"/>
      <c r="U132" s="10">
        <v>187.1</v>
      </c>
      <c r="V132" s="10"/>
      <c r="W132" s="10">
        <v>167.9</v>
      </c>
      <c r="X132" s="10"/>
      <c r="Y132" s="10">
        <v>183.9</v>
      </c>
      <c r="Z132" s="10"/>
      <c r="AA132" s="10">
        <v>174.9</v>
      </c>
      <c r="AB132" s="10"/>
      <c r="AC132" s="10">
        <v>194.3</v>
      </c>
      <c r="AD132" s="10"/>
    </row>
    <row r="133" spans="3:30" x14ac:dyDescent="0.3">
      <c r="C133" s="2">
        <v>156.5</v>
      </c>
      <c r="D133" s="29">
        <v>9.6774193548387101E-3</v>
      </c>
      <c r="E133" s="2">
        <v>213</v>
      </c>
      <c r="F133" s="29">
        <v>-2.9170464904284436E-2</v>
      </c>
      <c r="G133" s="2">
        <v>175.2</v>
      </c>
      <c r="H133" s="29">
        <v>2.5761124121779725E-2</v>
      </c>
      <c r="I133" s="2">
        <v>166.6</v>
      </c>
      <c r="J133" s="29">
        <v>4.8250904704462173E-3</v>
      </c>
      <c r="K133" s="2">
        <v>195.8</v>
      </c>
      <c r="L133" s="29">
        <v>-2.5385764061722219E-2</v>
      </c>
      <c r="M133" s="2">
        <v>174.2</v>
      </c>
      <c r="N133" s="29">
        <v>2.6517383618149679E-2</v>
      </c>
      <c r="O133" s="2">
        <v>182.1</v>
      </c>
      <c r="P133" s="29">
        <v>-1.0970927043336097E-3</v>
      </c>
      <c r="Q133" s="2">
        <v>164.3</v>
      </c>
      <c r="R133" s="29">
        <v>0</v>
      </c>
      <c r="S133" s="2">
        <v>120</v>
      </c>
      <c r="T133" s="29">
        <v>8.3402835696408937E-4</v>
      </c>
      <c r="U133" s="2">
        <v>190</v>
      </c>
      <c r="V133" s="29">
        <v>1.5499732763228252E-2</v>
      </c>
      <c r="W133" s="2">
        <v>168.4</v>
      </c>
      <c r="X133" s="29">
        <v>2.9779630732578916E-3</v>
      </c>
      <c r="Y133" s="2">
        <v>185.2</v>
      </c>
      <c r="Z133" s="29">
        <v>7.0690592713430287E-3</v>
      </c>
      <c r="AA133" s="2">
        <v>175</v>
      </c>
      <c r="AB133" s="29">
        <v>5.7175528873638828E-4</v>
      </c>
      <c r="AC133" s="2">
        <v>194.6</v>
      </c>
      <c r="AD133" s="29">
        <v>1.5440041173442251E-3</v>
      </c>
    </row>
    <row r="134" spans="3:30" x14ac:dyDescent="0.3">
      <c r="C134" s="10">
        <v>160.30000000000001</v>
      </c>
      <c r="D134" s="29">
        <v>2.4281150159744483E-2</v>
      </c>
      <c r="E134" s="10">
        <v>206.5</v>
      </c>
      <c r="F134" s="29">
        <v>-3.0516431924882629E-2</v>
      </c>
      <c r="G134" s="10">
        <v>169.2</v>
      </c>
      <c r="H134" s="29">
        <v>-3.4246575342465758E-2</v>
      </c>
      <c r="I134" s="10">
        <v>168.1</v>
      </c>
      <c r="J134" s="29">
        <v>9.00360144057623E-3</v>
      </c>
      <c r="K134" s="10">
        <v>192.4</v>
      </c>
      <c r="L134" s="29">
        <v>-1.7364657814096043E-2</v>
      </c>
      <c r="M134" s="10">
        <v>172.9</v>
      </c>
      <c r="N134" s="29">
        <v>-7.4626865671640818E-3</v>
      </c>
      <c r="O134" s="10">
        <v>186.7</v>
      </c>
      <c r="P134" s="29">
        <v>2.5260845689181737E-2</v>
      </c>
      <c r="Q134" s="10">
        <v>167.2</v>
      </c>
      <c r="R134" s="29">
        <v>1.7650639074862917E-2</v>
      </c>
      <c r="S134" s="10">
        <v>120.9</v>
      </c>
      <c r="T134" s="29">
        <v>7.5000000000000474E-3</v>
      </c>
      <c r="U134" s="10">
        <v>193.6</v>
      </c>
      <c r="V134" s="29">
        <v>1.8947368421052602E-2</v>
      </c>
      <c r="W134" s="10">
        <v>168.8</v>
      </c>
      <c r="X134" s="29">
        <v>2.3752969121140478E-3</v>
      </c>
      <c r="Y134" s="10">
        <v>186.3</v>
      </c>
      <c r="Z134" s="29">
        <v>5.9395248380130824E-3</v>
      </c>
      <c r="AA134" s="10">
        <v>176.3</v>
      </c>
      <c r="AB134" s="29">
        <v>7.4285714285714935E-3</v>
      </c>
      <c r="AC134" s="10">
        <v>195</v>
      </c>
      <c r="AD134" s="29">
        <v>2.0554984583761853E-3</v>
      </c>
    </row>
    <row r="135" spans="3:30" x14ac:dyDescent="0.3">
      <c r="C135" s="2">
        <v>163.5</v>
      </c>
      <c r="D135" s="29">
        <v>1.9962570180910719E-2</v>
      </c>
      <c r="E135" s="2">
        <v>209.2</v>
      </c>
      <c r="F135" s="29">
        <v>1.3075060532687597E-2</v>
      </c>
      <c r="G135" s="2">
        <v>169.7</v>
      </c>
      <c r="H135" s="29">
        <v>2.9550827423167852E-3</v>
      </c>
      <c r="I135" s="2">
        <v>169.7</v>
      </c>
      <c r="J135" s="29">
        <v>9.5181439619273899E-3</v>
      </c>
      <c r="K135" s="2">
        <v>188.7</v>
      </c>
      <c r="L135" s="29">
        <v>-1.9230769230769319E-2</v>
      </c>
      <c r="M135" s="2">
        <v>165.7</v>
      </c>
      <c r="N135" s="29">
        <v>-4.1642567958357531E-2</v>
      </c>
      <c r="O135" s="2">
        <v>191.8</v>
      </c>
      <c r="P135" s="29">
        <v>2.7316550615961558E-2</v>
      </c>
      <c r="Q135" s="2">
        <v>169.1</v>
      </c>
      <c r="R135" s="29">
        <v>1.1363636363636399E-2</v>
      </c>
      <c r="S135" s="2">
        <v>121.6</v>
      </c>
      <c r="T135" s="29">
        <v>5.7899090157153728E-3</v>
      </c>
      <c r="U135" s="2">
        <v>197.3</v>
      </c>
      <c r="V135" s="29">
        <v>1.9111570247933973E-2</v>
      </c>
      <c r="W135" s="2">
        <v>169.4</v>
      </c>
      <c r="X135" s="29">
        <v>3.5545023696682125E-3</v>
      </c>
      <c r="Y135" s="2">
        <v>187.4</v>
      </c>
      <c r="Z135" s="29">
        <v>5.9044551798174676E-3</v>
      </c>
      <c r="AA135" s="2">
        <v>177.8</v>
      </c>
      <c r="AB135" s="29">
        <v>8.5082246171298923E-3</v>
      </c>
      <c r="AC135" s="2">
        <v>195.9</v>
      </c>
      <c r="AD135" s="29">
        <v>4.6153846153846444E-3</v>
      </c>
    </row>
    <row r="136" spans="3:30" x14ac:dyDescent="0.3">
      <c r="C136" s="10">
        <v>165.2</v>
      </c>
      <c r="D136" s="29">
        <v>1.0397553516819502E-2</v>
      </c>
      <c r="E136" s="10">
        <v>210.9</v>
      </c>
      <c r="F136" s="29">
        <v>8.1261950286807706E-3</v>
      </c>
      <c r="G136" s="10">
        <v>170.9</v>
      </c>
      <c r="H136" s="29">
        <v>7.0713022981733478E-3</v>
      </c>
      <c r="I136" s="10">
        <v>170.9</v>
      </c>
      <c r="J136" s="29">
        <v>7.0713022981733478E-3</v>
      </c>
      <c r="K136" s="10">
        <v>186.5</v>
      </c>
      <c r="L136" s="29">
        <v>-1.1658717541070422E-2</v>
      </c>
      <c r="M136" s="10">
        <v>163.80000000000001</v>
      </c>
      <c r="N136" s="29">
        <v>-1.1466505733252729E-2</v>
      </c>
      <c r="O136" s="10">
        <v>199.7</v>
      </c>
      <c r="P136" s="29">
        <v>4.118873826903012E-2</v>
      </c>
      <c r="Q136" s="10">
        <v>169.8</v>
      </c>
      <c r="R136" s="29">
        <v>4.1395623891189656E-3</v>
      </c>
      <c r="S136" s="10">
        <v>121.9</v>
      </c>
      <c r="T136" s="29">
        <v>2.4671052631579883E-3</v>
      </c>
      <c r="U136" s="10">
        <v>199.9</v>
      </c>
      <c r="V136" s="29">
        <v>1.3177901672579798E-2</v>
      </c>
      <c r="W136" s="10">
        <v>169.9</v>
      </c>
      <c r="X136" s="29">
        <v>2.9515938606847697E-3</v>
      </c>
      <c r="Y136" s="10">
        <v>188.3</v>
      </c>
      <c r="Z136" s="29">
        <v>4.8025613660619302E-3</v>
      </c>
      <c r="AA136" s="10">
        <v>179.6</v>
      </c>
      <c r="AB136" s="29">
        <v>1.0123734533183255E-2</v>
      </c>
      <c r="AC136" s="10">
        <v>196.3</v>
      </c>
      <c r="AD136" s="29">
        <v>2.0418580908627142E-3</v>
      </c>
    </row>
    <row r="137" spans="3:30" x14ac:dyDescent="0.3">
      <c r="C137" s="2">
        <v>167.4</v>
      </c>
      <c r="D137" s="29">
        <v>1.3317191283293082E-2</v>
      </c>
      <c r="E137" s="2">
        <v>209.4</v>
      </c>
      <c r="F137" s="29">
        <v>-7.1123755334281651E-3</v>
      </c>
      <c r="G137" s="2">
        <v>181.4</v>
      </c>
      <c r="H137" s="29">
        <v>6.1439438267992974E-2</v>
      </c>
      <c r="I137" s="2">
        <v>172.3</v>
      </c>
      <c r="J137" s="29">
        <v>8.1919251023990971E-3</v>
      </c>
      <c r="K137" s="2">
        <v>188.9</v>
      </c>
      <c r="L137" s="29">
        <v>1.286863270777483E-2</v>
      </c>
      <c r="M137" s="2">
        <v>160.69999999999999</v>
      </c>
      <c r="N137" s="29">
        <v>-1.8925518925519063E-2</v>
      </c>
      <c r="O137" s="2">
        <v>183.1</v>
      </c>
      <c r="P137" s="29">
        <v>-8.3124687030545791E-2</v>
      </c>
      <c r="Q137" s="2">
        <v>170.5</v>
      </c>
      <c r="R137" s="29">
        <v>4.1224970553591792E-3</v>
      </c>
      <c r="S137" s="2">
        <v>122.1</v>
      </c>
      <c r="T137" s="29">
        <v>1.640689089417462E-3</v>
      </c>
      <c r="U137" s="2">
        <v>202.8</v>
      </c>
      <c r="V137" s="29">
        <v>1.4507253626813434E-2</v>
      </c>
      <c r="W137" s="2">
        <v>170.4</v>
      </c>
      <c r="X137" s="29">
        <v>2.942907592701589E-3</v>
      </c>
      <c r="Y137" s="2">
        <v>189.5</v>
      </c>
      <c r="Z137" s="29">
        <v>6.3728093467869812E-3</v>
      </c>
      <c r="AA137" s="2">
        <v>178.3</v>
      </c>
      <c r="AB137" s="29">
        <v>-7.2383073496658295E-3</v>
      </c>
      <c r="AC137" s="2">
        <v>196.9</v>
      </c>
      <c r="AD137" s="29">
        <v>3.0565461029036897E-3</v>
      </c>
    </row>
    <row r="138" spans="3:30" x14ac:dyDescent="0.3">
      <c r="C138" s="10">
        <v>169.2</v>
      </c>
      <c r="D138" s="29">
        <v>1.0752688172042909E-2</v>
      </c>
      <c r="E138" s="10">
        <v>209</v>
      </c>
      <c r="F138" s="29">
        <v>-1.9102196752626823E-3</v>
      </c>
      <c r="G138" s="10">
        <v>190.2</v>
      </c>
      <c r="H138" s="29">
        <v>4.8511576626240255E-2</v>
      </c>
      <c r="I138" s="10">
        <v>173.6</v>
      </c>
      <c r="J138" s="29">
        <v>7.5449796865930518E-3</v>
      </c>
      <c r="K138" s="10">
        <v>188.5</v>
      </c>
      <c r="L138" s="29">
        <v>-2.1175224986765785E-3</v>
      </c>
      <c r="M138" s="10">
        <v>158</v>
      </c>
      <c r="N138" s="29">
        <v>-1.6801493466085806E-2</v>
      </c>
      <c r="O138" s="10">
        <v>159.9</v>
      </c>
      <c r="P138" s="29">
        <v>-0.12670671764063349</v>
      </c>
      <c r="Q138" s="10">
        <v>170.8</v>
      </c>
      <c r="R138" s="29">
        <v>1.7595307917889231E-3</v>
      </c>
      <c r="S138" s="10">
        <v>121.8</v>
      </c>
      <c r="T138" s="29">
        <v>-2.457002457002434E-3</v>
      </c>
      <c r="U138" s="10">
        <v>205.2</v>
      </c>
      <c r="V138" s="29">
        <v>1.1834319526627106E-2</v>
      </c>
      <c r="W138" s="10">
        <v>171</v>
      </c>
      <c r="X138" s="29">
        <v>3.521126760563347E-3</v>
      </c>
      <c r="Y138" s="10">
        <v>190.3</v>
      </c>
      <c r="Z138" s="29">
        <v>4.2216358839050729E-3</v>
      </c>
      <c r="AA138" s="10">
        <v>175.9</v>
      </c>
      <c r="AB138" s="29">
        <v>-1.3460459899046581E-2</v>
      </c>
      <c r="AC138" s="10">
        <v>197.3</v>
      </c>
      <c r="AD138" s="29">
        <v>2.031488065007647E-3</v>
      </c>
    </row>
    <row r="139" spans="3:30" x14ac:dyDescent="0.3">
      <c r="C139" s="2">
        <v>173.8</v>
      </c>
      <c r="D139" s="29">
        <v>2.7186761229314557E-2</v>
      </c>
      <c r="E139" s="2">
        <v>210.7</v>
      </c>
      <c r="F139" s="29">
        <v>8.1339712918659744E-3</v>
      </c>
      <c r="G139" s="2">
        <v>194.5</v>
      </c>
      <c r="H139" s="29">
        <v>2.2607781282860208E-2</v>
      </c>
      <c r="I139" s="2">
        <v>174.6</v>
      </c>
      <c r="J139" s="29">
        <v>5.7603686635944703E-3</v>
      </c>
      <c r="K139" s="2">
        <v>187.2</v>
      </c>
      <c r="L139" s="29">
        <v>-6.8965517241379917E-3</v>
      </c>
      <c r="M139" s="2">
        <v>158.30000000000001</v>
      </c>
      <c r="N139" s="29">
        <v>1.8987341772152618E-3</v>
      </c>
      <c r="O139" s="2">
        <v>153.9</v>
      </c>
      <c r="P139" s="29">
        <v>-3.7523452157598496E-2</v>
      </c>
      <c r="Q139" s="2">
        <v>170.9</v>
      </c>
      <c r="R139" s="29">
        <v>5.854800936767817E-4</v>
      </c>
      <c r="S139" s="2">
        <v>121.1</v>
      </c>
      <c r="T139" s="29">
        <v>-5.7471264367816325E-3</v>
      </c>
      <c r="U139" s="2">
        <v>208.4</v>
      </c>
      <c r="V139" s="29">
        <v>1.5594541910331468E-2</v>
      </c>
      <c r="W139" s="2">
        <v>171.4</v>
      </c>
      <c r="X139" s="29">
        <v>2.339181286549741E-3</v>
      </c>
      <c r="Y139" s="2">
        <v>191.2</v>
      </c>
      <c r="Z139" s="29">
        <v>4.7293746715710832E-3</v>
      </c>
      <c r="AA139" s="2">
        <v>176.7</v>
      </c>
      <c r="AB139" s="29">
        <v>4.5480386583284984E-3</v>
      </c>
      <c r="AC139" s="2">
        <v>198.2</v>
      </c>
      <c r="AD139" s="29">
        <v>4.5615813482005937E-3</v>
      </c>
    </row>
    <row r="140" spans="3:30" x14ac:dyDescent="0.3">
      <c r="C140" s="10">
        <v>174.4</v>
      </c>
      <c r="D140" s="29">
        <v>3.4522439585730398E-3</v>
      </c>
      <c r="E140" s="10">
        <v>207.7</v>
      </c>
      <c r="F140" s="29">
        <v>-1.423825344091125E-2</v>
      </c>
      <c r="G140" s="10">
        <v>175.2</v>
      </c>
      <c r="H140" s="29">
        <v>-9.9228791773778982E-2</v>
      </c>
      <c r="I140" s="10">
        <v>177.3</v>
      </c>
      <c r="J140" s="29">
        <v>1.5463917525773294E-2</v>
      </c>
      <c r="K140" s="10">
        <v>179.3</v>
      </c>
      <c r="L140" s="29">
        <v>-4.2200854700854579E-2</v>
      </c>
      <c r="M140" s="10">
        <v>169.5</v>
      </c>
      <c r="N140" s="29">
        <v>7.0751737207833149E-2</v>
      </c>
      <c r="O140" s="10">
        <v>152.69999999999999</v>
      </c>
      <c r="P140" s="29">
        <v>-7.7972709551658026E-3</v>
      </c>
      <c r="Q140" s="10">
        <v>171</v>
      </c>
      <c r="R140" s="29">
        <v>5.8513750731418557E-4</v>
      </c>
      <c r="S140" s="10">
        <v>120</v>
      </c>
      <c r="T140" s="29">
        <v>-9.0834021469859156E-3</v>
      </c>
      <c r="U140" s="10">
        <v>209.7</v>
      </c>
      <c r="V140" s="29">
        <v>6.2380038387715112E-3</v>
      </c>
      <c r="W140" s="10">
        <v>172.3</v>
      </c>
      <c r="X140" s="29">
        <v>5.2508751458576761E-3</v>
      </c>
      <c r="Y140" s="10">
        <v>193</v>
      </c>
      <c r="Z140" s="29">
        <v>9.4142259414226534E-3</v>
      </c>
      <c r="AA140" s="10">
        <v>177</v>
      </c>
      <c r="AB140" s="29">
        <v>1.6977928692700134E-3</v>
      </c>
      <c r="AC140" s="10">
        <v>199.5</v>
      </c>
      <c r="AD140" s="29">
        <v>6.5590312815338621E-3</v>
      </c>
    </row>
    <row r="141" spans="3:30" x14ac:dyDescent="0.3">
      <c r="C141" s="2">
        <v>174.4</v>
      </c>
      <c r="D141" s="29">
        <v>0</v>
      </c>
      <c r="E141" s="2">
        <v>207.7</v>
      </c>
      <c r="F141" s="29">
        <v>0</v>
      </c>
      <c r="G141" s="2">
        <v>175.2</v>
      </c>
      <c r="H141" s="29">
        <v>0</v>
      </c>
      <c r="I141" s="2">
        <v>177.3</v>
      </c>
      <c r="J141" s="29">
        <v>0</v>
      </c>
      <c r="K141" s="2">
        <v>179.2</v>
      </c>
      <c r="L141" s="29">
        <v>-5.5772448410497898E-4</v>
      </c>
      <c r="M141" s="2">
        <v>169.5</v>
      </c>
      <c r="N141" s="29">
        <v>0</v>
      </c>
      <c r="O141" s="2">
        <v>152.80000000000001</v>
      </c>
      <c r="P141" s="29">
        <v>6.5487884741337755E-4</v>
      </c>
      <c r="Q141" s="2">
        <v>171.1</v>
      </c>
      <c r="R141" s="29">
        <v>5.8479532163739363E-4</v>
      </c>
      <c r="S141" s="2">
        <v>120</v>
      </c>
      <c r="T141" s="29">
        <v>0</v>
      </c>
      <c r="U141" s="2">
        <v>209.7</v>
      </c>
      <c r="V141" s="29">
        <v>0</v>
      </c>
      <c r="W141" s="2">
        <v>172.3</v>
      </c>
      <c r="X141" s="29">
        <v>0</v>
      </c>
      <c r="Y141" s="2">
        <v>193</v>
      </c>
      <c r="Z141" s="29">
        <v>0</v>
      </c>
      <c r="AA141" s="2">
        <v>177</v>
      </c>
      <c r="AB141" s="29">
        <v>0</v>
      </c>
      <c r="AC141" s="2">
        <v>199.5</v>
      </c>
      <c r="AD141" s="29">
        <v>0</v>
      </c>
    </row>
    <row r="142" spans="3:30" x14ac:dyDescent="0.3">
      <c r="C142" s="10">
        <v>173.8</v>
      </c>
      <c r="D142" s="29">
        <v>-3.4403669724770315E-3</v>
      </c>
      <c r="E142" s="10">
        <v>209.3</v>
      </c>
      <c r="F142" s="29">
        <v>7.7034183919115207E-3</v>
      </c>
      <c r="G142" s="10">
        <v>169.6</v>
      </c>
      <c r="H142" s="29">
        <v>-3.1963470319634674E-2</v>
      </c>
      <c r="I142" s="10">
        <v>178.4</v>
      </c>
      <c r="J142" s="29">
        <v>6.2041737168640398E-3</v>
      </c>
      <c r="K142" s="10">
        <v>174.9</v>
      </c>
      <c r="L142" s="29">
        <v>-2.3995535714285622E-2</v>
      </c>
      <c r="M142" s="10">
        <v>176.3</v>
      </c>
      <c r="N142" s="29">
        <v>4.0117994100295054E-2</v>
      </c>
      <c r="O142" s="10">
        <v>155.4</v>
      </c>
      <c r="P142" s="29">
        <v>1.7015706806282685E-2</v>
      </c>
      <c r="Q142" s="10">
        <v>173.4</v>
      </c>
      <c r="R142" s="29">
        <v>1.3442431326709593E-2</v>
      </c>
      <c r="S142" s="10">
        <v>121.3</v>
      </c>
      <c r="T142" s="29">
        <v>1.0833333333333309E-2</v>
      </c>
      <c r="U142" s="10">
        <v>212.9</v>
      </c>
      <c r="V142" s="29">
        <v>1.5259895088221351E-2</v>
      </c>
      <c r="W142" s="10">
        <v>172.9</v>
      </c>
      <c r="X142" s="29">
        <v>3.4822983168891135E-3</v>
      </c>
      <c r="Y142" s="10">
        <v>193.5</v>
      </c>
      <c r="Z142" s="29">
        <v>2.5906735751295338E-3</v>
      </c>
      <c r="AA142" s="10">
        <v>177.9</v>
      </c>
      <c r="AB142" s="29">
        <v>5.0847457627118961E-3</v>
      </c>
      <c r="AC142" s="10">
        <v>200.6</v>
      </c>
      <c r="AD142" s="29">
        <v>5.5137844611528536E-3</v>
      </c>
    </row>
    <row r="143" spans="3:30" x14ac:dyDescent="0.3">
      <c r="C143" s="2">
        <v>173.7</v>
      </c>
      <c r="D143" s="29">
        <v>-5.7537399309564284E-4</v>
      </c>
      <c r="E143" s="2">
        <v>214.3</v>
      </c>
      <c r="F143" s="29">
        <v>2.3889154323936932E-2</v>
      </c>
      <c r="G143" s="2">
        <v>173.2</v>
      </c>
      <c r="H143" s="29">
        <v>2.122641509433959E-2</v>
      </c>
      <c r="I143" s="2">
        <v>179.5</v>
      </c>
      <c r="J143" s="29">
        <v>6.1659192825111791E-3</v>
      </c>
      <c r="K143" s="2">
        <v>170</v>
      </c>
      <c r="L143" s="29">
        <v>-2.801600914808465E-2</v>
      </c>
      <c r="M143" s="2">
        <v>172.2</v>
      </c>
      <c r="N143" s="29">
        <v>-2.32558139534885E-2</v>
      </c>
      <c r="O143" s="2">
        <v>161</v>
      </c>
      <c r="P143" s="29">
        <v>3.6036036036036001E-2</v>
      </c>
      <c r="Q143" s="2">
        <v>175.6</v>
      </c>
      <c r="R143" s="29">
        <v>1.2687427912341341E-2</v>
      </c>
      <c r="S143" s="2">
        <v>122.7</v>
      </c>
      <c r="T143" s="29">
        <v>1.1541632316570533E-2</v>
      </c>
      <c r="U143" s="2">
        <v>218</v>
      </c>
      <c r="V143" s="29">
        <v>2.3954908407703118E-2</v>
      </c>
      <c r="W143" s="2">
        <v>173.4</v>
      </c>
      <c r="X143" s="29">
        <v>2.8918449971081549E-3</v>
      </c>
      <c r="Y143" s="2">
        <v>194.2</v>
      </c>
      <c r="Z143" s="29">
        <v>3.6175710594314658E-3</v>
      </c>
      <c r="AA143" s="2">
        <v>179.1</v>
      </c>
      <c r="AB143" s="29">
        <v>6.7453625632377095E-3</v>
      </c>
      <c r="AC143" s="2">
        <v>201</v>
      </c>
      <c r="AD143" s="29">
        <v>1.9940179461615439E-3</v>
      </c>
    </row>
    <row r="147" spans="5:32" x14ac:dyDescent="0.3">
      <c r="E147" t="s">
        <v>30</v>
      </c>
    </row>
    <row r="148" spans="5:32" x14ac:dyDescent="0.3">
      <c r="E148" s="1" t="s">
        <v>3</v>
      </c>
      <c r="F148" s="1" t="s">
        <v>113</v>
      </c>
      <c r="G148" s="1" t="s">
        <v>4</v>
      </c>
      <c r="H148" s="1"/>
      <c r="I148" s="1" t="s">
        <v>5</v>
      </c>
      <c r="J148" s="1"/>
      <c r="K148" s="1" t="s">
        <v>6</v>
      </c>
      <c r="L148" s="1"/>
      <c r="M148" s="1" t="s">
        <v>7</v>
      </c>
      <c r="N148" s="1"/>
      <c r="O148" s="1" t="s">
        <v>8</v>
      </c>
      <c r="P148" s="1"/>
      <c r="Q148" s="1" t="s">
        <v>9</v>
      </c>
      <c r="R148" s="1"/>
      <c r="S148" s="1" t="s">
        <v>10</v>
      </c>
      <c r="T148" s="1"/>
      <c r="U148" s="1" t="s">
        <v>11</v>
      </c>
      <c r="V148" s="1"/>
      <c r="W148" s="1" t="s">
        <v>12</v>
      </c>
      <c r="X148" s="1"/>
      <c r="Y148" s="1" t="s">
        <v>13</v>
      </c>
      <c r="Z148" s="1"/>
      <c r="AA148" s="1" t="s">
        <v>14</v>
      </c>
      <c r="AB148" s="1"/>
      <c r="AC148" s="1" t="s">
        <v>15</v>
      </c>
      <c r="AD148" s="1"/>
      <c r="AE148" s="1" t="s">
        <v>16</v>
      </c>
      <c r="AF148" s="1"/>
    </row>
    <row r="149" spans="5:32" x14ac:dyDescent="0.3">
      <c r="E149" s="10">
        <v>153.80000000000001</v>
      </c>
      <c r="F149" s="10"/>
      <c r="G149" s="10">
        <v>217.2</v>
      </c>
      <c r="H149" s="10"/>
      <c r="I149" s="10">
        <v>169.6</v>
      </c>
      <c r="J149" s="10"/>
      <c r="K149" s="10">
        <v>165.4</v>
      </c>
      <c r="L149" s="10"/>
      <c r="M149" s="10">
        <v>208.1</v>
      </c>
      <c r="N149" s="10"/>
      <c r="O149" s="10">
        <v>165.8</v>
      </c>
      <c r="P149" s="10"/>
      <c r="Q149" s="10">
        <v>167.3</v>
      </c>
      <c r="R149" s="10"/>
      <c r="S149" s="10">
        <v>164.6</v>
      </c>
      <c r="T149" s="10"/>
      <c r="U149" s="10">
        <v>119.1</v>
      </c>
      <c r="V149" s="10"/>
      <c r="W149" s="10">
        <v>188.9</v>
      </c>
      <c r="X149" s="10"/>
      <c r="Y149" s="10">
        <v>174.2</v>
      </c>
      <c r="Z149" s="10"/>
      <c r="AA149" s="10">
        <v>181.9</v>
      </c>
      <c r="AB149" s="10"/>
      <c r="AC149" s="10">
        <v>172.4</v>
      </c>
      <c r="AD149" s="10"/>
      <c r="AE149" s="10">
        <v>192.9</v>
      </c>
      <c r="AF149" s="10"/>
    </row>
    <row r="150" spans="5:32" x14ac:dyDescent="0.3">
      <c r="E150" s="2">
        <v>155.19999999999999</v>
      </c>
      <c r="F150" s="29">
        <v>9.102730819245626E-3</v>
      </c>
      <c r="G150" s="2">
        <v>210.8</v>
      </c>
      <c r="H150" s="29">
        <v>-2.9465930018416103E-2</v>
      </c>
      <c r="I150" s="2">
        <v>174.3</v>
      </c>
      <c r="J150" s="29">
        <v>2.7712264150943498E-2</v>
      </c>
      <c r="K150" s="2">
        <v>166.3</v>
      </c>
      <c r="L150" s="29">
        <v>5.4413542926239761E-3</v>
      </c>
      <c r="M150" s="2">
        <v>202.2</v>
      </c>
      <c r="N150" s="29">
        <v>-2.8351753964440202E-2</v>
      </c>
      <c r="O150" s="2">
        <v>169.6</v>
      </c>
      <c r="P150" s="29">
        <v>2.2919179734619918E-2</v>
      </c>
      <c r="Q150" s="2">
        <v>168.6</v>
      </c>
      <c r="R150" s="29">
        <v>7.770472205618547E-3</v>
      </c>
      <c r="S150" s="2">
        <v>164.4</v>
      </c>
      <c r="T150" s="29">
        <v>-1.2150668286755081E-3</v>
      </c>
      <c r="U150" s="2">
        <v>119.2</v>
      </c>
      <c r="V150" s="29">
        <v>8.3963056255254855E-4</v>
      </c>
      <c r="W150" s="2">
        <v>191.8</v>
      </c>
      <c r="X150" s="29">
        <v>1.5352038115405005E-2</v>
      </c>
      <c r="Y150" s="2">
        <v>174.5</v>
      </c>
      <c r="Z150" s="29">
        <v>1.7221584385764144E-3</v>
      </c>
      <c r="AA150" s="2">
        <v>183.1</v>
      </c>
      <c r="AB150" s="29">
        <v>6.5970313358987825E-3</v>
      </c>
      <c r="AC150" s="2">
        <v>172.5</v>
      </c>
      <c r="AD150" s="29">
        <v>5.80046403712264E-4</v>
      </c>
      <c r="AE150" s="2">
        <v>193.2</v>
      </c>
      <c r="AF150" s="29">
        <v>1.5552099533436129E-3</v>
      </c>
    </row>
    <row r="151" spans="5:32" x14ac:dyDescent="0.3">
      <c r="E151" s="10">
        <v>159.5</v>
      </c>
      <c r="F151" s="29">
        <v>2.7706185567010384E-2</v>
      </c>
      <c r="G151" s="10">
        <v>204.1</v>
      </c>
      <c r="H151" s="29">
        <v>-3.1783681214421329E-2</v>
      </c>
      <c r="I151" s="10">
        <v>168.3</v>
      </c>
      <c r="J151" s="29">
        <v>-3.4423407917383818E-2</v>
      </c>
      <c r="K151" s="10">
        <v>167.9</v>
      </c>
      <c r="L151" s="29">
        <v>9.6211665664461474E-3</v>
      </c>
      <c r="M151" s="10">
        <v>198.1</v>
      </c>
      <c r="N151" s="29">
        <v>-2.0276953511374849E-2</v>
      </c>
      <c r="O151" s="10">
        <v>169.2</v>
      </c>
      <c r="P151" s="29">
        <v>-2.3584905660377696E-3</v>
      </c>
      <c r="Q151" s="10">
        <v>173.1</v>
      </c>
      <c r="R151" s="29">
        <v>2.6690391459074734E-2</v>
      </c>
      <c r="S151" s="10">
        <v>167.1</v>
      </c>
      <c r="T151" s="29">
        <v>1.6423357664233508E-2</v>
      </c>
      <c r="U151" s="10">
        <v>120.2</v>
      </c>
      <c r="V151" s="29">
        <v>8.389261744966443E-3</v>
      </c>
      <c r="W151" s="10">
        <v>195.6</v>
      </c>
      <c r="X151" s="29">
        <v>1.981230448383724E-2</v>
      </c>
      <c r="Y151" s="10">
        <v>174.8</v>
      </c>
      <c r="Z151" s="29">
        <v>1.7191977077364547E-3</v>
      </c>
      <c r="AA151" s="10">
        <v>184</v>
      </c>
      <c r="AB151" s="29">
        <v>4.9153468050246079E-3</v>
      </c>
      <c r="AC151" s="10">
        <v>173.9</v>
      </c>
      <c r="AD151" s="29">
        <v>8.1159420289855407E-3</v>
      </c>
      <c r="AE151" s="10">
        <v>193.7</v>
      </c>
      <c r="AF151" s="29">
        <v>2.587991718426501E-3</v>
      </c>
    </row>
    <row r="152" spans="5:32" x14ac:dyDescent="0.3">
      <c r="E152" s="2">
        <v>162.9</v>
      </c>
      <c r="F152" s="29">
        <v>2.1316614420062732E-2</v>
      </c>
      <c r="G152" s="2">
        <v>206.7</v>
      </c>
      <c r="H152" s="29">
        <v>1.2738853503184686E-2</v>
      </c>
      <c r="I152" s="2">
        <v>169</v>
      </c>
      <c r="J152" s="29">
        <v>4.1592394533570328E-3</v>
      </c>
      <c r="K152" s="2">
        <v>169.5</v>
      </c>
      <c r="L152" s="29">
        <v>9.5294818344252193E-3</v>
      </c>
      <c r="M152" s="2">
        <v>194.1</v>
      </c>
      <c r="N152" s="29">
        <v>-2.0191822311963654E-2</v>
      </c>
      <c r="O152" s="2">
        <v>164.1</v>
      </c>
      <c r="P152" s="29">
        <v>-3.0141843971631173E-2</v>
      </c>
      <c r="Q152" s="2">
        <v>176.9</v>
      </c>
      <c r="R152" s="29">
        <v>2.1952628538417167E-2</v>
      </c>
      <c r="S152" s="2">
        <v>169</v>
      </c>
      <c r="T152" s="29">
        <v>1.1370436864153236E-2</v>
      </c>
      <c r="U152" s="2">
        <v>120.8</v>
      </c>
      <c r="V152" s="29">
        <v>4.9916805324458757E-3</v>
      </c>
      <c r="W152" s="2">
        <v>199.1</v>
      </c>
      <c r="X152" s="29">
        <v>1.7893660531697341E-2</v>
      </c>
      <c r="Y152" s="2">
        <v>175.4</v>
      </c>
      <c r="Z152" s="29">
        <v>3.4324942791761686E-3</v>
      </c>
      <c r="AA152" s="2">
        <v>184.8</v>
      </c>
      <c r="AB152" s="29">
        <v>4.3478260869565834E-3</v>
      </c>
      <c r="AC152" s="2">
        <v>175.5</v>
      </c>
      <c r="AD152" s="29">
        <v>9.2006900517538487E-3</v>
      </c>
      <c r="AE152" s="2">
        <v>194.5</v>
      </c>
      <c r="AF152" s="29">
        <v>4.1300980898296927E-3</v>
      </c>
    </row>
    <row r="153" spans="5:32" x14ac:dyDescent="0.3">
      <c r="E153" s="10">
        <v>164.7</v>
      </c>
      <c r="F153" s="29">
        <v>1.1049723756905973E-2</v>
      </c>
      <c r="G153" s="10">
        <v>208.8</v>
      </c>
      <c r="H153" s="29">
        <v>1.0159651669085742E-2</v>
      </c>
      <c r="I153" s="10">
        <v>170.3</v>
      </c>
      <c r="J153" s="29">
        <v>7.6923076923077595E-3</v>
      </c>
      <c r="K153" s="10">
        <v>170.9</v>
      </c>
      <c r="L153" s="29">
        <v>8.2595870206490004E-3</v>
      </c>
      <c r="M153" s="10">
        <v>191.6</v>
      </c>
      <c r="N153" s="29">
        <v>-1.2879958784131892E-2</v>
      </c>
      <c r="O153" s="10">
        <v>162.19999999999999</v>
      </c>
      <c r="P153" s="29">
        <v>-1.1578305911029894E-2</v>
      </c>
      <c r="Q153" s="10">
        <v>184.8</v>
      </c>
      <c r="R153" s="29">
        <v>4.4657998869417778E-2</v>
      </c>
      <c r="S153" s="10">
        <v>169.7</v>
      </c>
      <c r="T153" s="29">
        <v>4.1420118343194591E-3</v>
      </c>
      <c r="U153" s="10">
        <v>121.1</v>
      </c>
      <c r="V153" s="29">
        <v>2.4834437086092482E-3</v>
      </c>
      <c r="W153" s="10">
        <v>201.6</v>
      </c>
      <c r="X153" s="29">
        <v>1.2556504269211451E-2</v>
      </c>
      <c r="Y153" s="10">
        <v>175.8</v>
      </c>
      <c r="Z153" s="29">
        <v>2.2805017103763149E-3</v>
      </c>
      <c r="AA153" s="10">
        <v>185.6</v>
      </c>
      <c r="AB153" s="29">
        <v>4.3290043290042362E-3</v>
      </c>
      <c r="AC153" s="10">
        <v>177.4</v>
      </c>
      <c r="AD153" s="29">
        <v>1.0826210826210859E-2</v>
      </c>
      <c r="AE153" s="10">
        <v>194.9</v>
      </c>
      <c r="AF153" s="29">
        <v>2.0565552699229085E-3</v>
      </c>
    </row>
    <row r="154" spans="5:32" x14ac:dyDescent="0.3">
      <c r="E154" s="2">
        <v>166.9</v>
      </c>
      <c r="F154" s="29">
        <v>1.3357619914997069E-2</v>
      </c>
      <c r="G154" s="2">
        <v>207.2</v>
      </c>
      <c r="H154" s="29">
        <v>-7.6628352490422545E-3</v>
      </c>
      <c r="I154" s="2">
        <v>180.2</v>
      </c>
      <c r="J154" s="29">
        <v>5.8132706987668682E-2</v>
      </c>
      <c r="K154" s="2">
        <v>172.3</v>
      </c>
      <c r="L154" s="29">
        <v>8.1919251023990971E-3</v>
      </c>
      <c r="M154" s="2">
        <v>194</v>
      </c>
      <c r="N154" s="29">
        <v>1.2526096033402953E-2</v>
      </c>
      <c r="O154" s="2">
        <v>159.1</v>
      </c>
      <c r="P154" s="29">
        <v>-1.9112207151664579E-2</v>
      </c>
      <c r="Q154" s="2">
        <v>171.6</v>
      </c>
      <c r="R154" s="29">
        <v>-7.1428571428571522E-2</v>
      </c>
      <c r="S154" s="2">
        <v>170.2</v>
      </c>
      <c r="T154" s="29">
        <v>2.9463759575721863E-3</v>
      </c>
      <c r="U154" s="2">
        <v>121.5</v>
      </c>
      <c r="V154" s="29">
        <v>3.3030553261767606E-3</v>
      </c>
      <c r="W154" s="2">
        <v>204.8</v>
      </c>
      <c r="X154" s="29">
        <v>1.5873015873015959E-2</v>
      </c>
      <c r="Y154" s="2">
        <v>176.4</v>
      </c>
      <c r="Z154" s="29">
        <v>3.412969283276418E-3</v>
      </c>
      <c r="AA154" s="2">
        <v>186.9</v>
      </c>
      <c r="AB154" s="29">
        <v>7.0043103448276479E-3</v>
      </c>
      <c r="AC154" s="2">
        <v>176.6</v>
      </c>
      <c r="AD154" s="29">
        <v>-4.5095828635851824E-3</v>
      </c>
      <c r="AE154" s="2">
        <v>195.5</v>
      </c>
      <c r="AF154" s="29">
        <v>3.0785017957926848E-3</v>
      </c>
    </row>
    <row r="155" spans="5:32" x14ac:dyDescent="0.3">
      <c r="E155" s="10">
        <v>168.8</v>
      </c>
      <c r="F155" s="29">
        <v>1.1384062312762167E-2</v>
      </c>
      <c r="G155" s="10">
        <v>206.9</v>
      </c>
      <c r="H155" s="29">
        <v>-1.4478764478763656E-3</v>
      </c>
      <c r="I155" s="10">
        <v>189.1</v>
      </c>
      <c r="J155" s="29">
        <v>4.9389567147613798E-2</v>
      </c>
      <c r="K155" s="10">
        <v>173.4</v>
      </c>
      <c r="L155" s="29">
        <v>6.3842135809634021E-3</v>
      </c>
      <c r="M155" s="10">
        <v>193.9</v>
      </c>
      <c r="N155" s="29">
        <v>-5.1546391752574393E-4</v>
      </c>
      <c r="O155" s="10">
        <v>156.69999999999999</v>
      </c>
      <c r="P155" s="29">
        <v>-1.5084852294154657E-2</v>
      </c>
      <c r="Q155" s="10">
        <v>150.19999999999999</v>
      </c>
      <c r="R155" s="29">
        <v>-0.12470862470862475</v>
      </c>
      <c r="S155" s="10">
        <v>170.5</v>
      </c>
      <c r="T155" s="29">
        <v>1.7626321974148729E-3</v>
      </c>
      <c r="U155" s="10">
        <v>121.2</v>
      </c>
      <c r="V155" s="29">
        <v>-2.4691358024691123E-3</v>
      </c>
      <c r="W155" s="10">
        <v>207.5</v>
      </c>
      <c r="X155" s="29">
        <v>1.3183593749999944E-2</v>
      </c>
      <c r="Y155" s="10">
        <v>176.8</v>
      </c>
      <c r="Z155" s="29">
        <v>2.2675736961451569E-3</v>
      </c>
      <c r="AA155" s="10">
        <v>187.7</v>
      </c>
      <c r="AB155" s="29">
        <v>4.2803638309255373E-3</v>
      </c>
      <c r="AC155" s="10">
        <v>174.4</v>
      </c>
      <c r="AD155" s="29">
        <v>-1.2457531143827796E-2</v>
      </c>
      <c r="AE155" s="10">
        <v>195.9</v>
      </c>
      <c r="AF155" s="29">
        <v>2.0460358056266273E-3</v>
      </c>
    </row>
    <row r="156" spans="5:32" x14ac:dyDescent="0.3">
      <c r="E156" s="2">
        <v>174</v>
      </c>
      <c r="F156" s="29">
        <v>3.0805687203791399E-2</v>
      </c>
      <c r="G156" s="2">
        <v>208.3</v>
      </c>
      <c r="H156" s="29">
        <v>6.7665538907685143E-3</v>
      </c>
      <c r="I156" s="2">
        <v>192.9</v>
      </c>
      <c r="J156" s="29">
        <v>2.009518773135913E-2</v>
      </c>
      <c r="K156" s="2">
        <v>174.3</v>
      </c>
      <c r="L156" s="29">
        <v>5.1903114186851538E-3</v>
      </c>
      <c r="M156" s="2">
        <v>192.6</v>
      </c>
      <c r="N156" s="29">
        <v>-6.7044868488912394E-3</v>
      </c>
      <c r="O156" s="2">
        <v>156.30000000000001</v>
      </c>
      <c r="P156" s="29">
        <v>-2.5526483726865173E-3</v>
      </c>
      <c r="Q156" s="2">
        <v>142.9</v>
      </c>
      <c r="R156" s="29">
        <v>-4.8601864181091768E-2</v>
      </c>
      <c r="S156" s="2">
        <v>170.7</v>
      </c>
      <c r="T156" s="29">
        <v>1.173020527859171E-3</v>
      </c>
      <c r="U156" s="2">
        <v>120.3</v>
      </c>
      <c r="V156" s="29">
        <v>-7.4257425742574722E-3</v>
      </c>
      <c r="W156" s="2">
        <v>210.5</v>
      </c>
      <c r="X156" s="29">
        <v>1.4457831325301205E-2</v>
      </c>
      <c r="Y156" s="2">
        <v>176.9</v>
      </c>
      <c r="Z156" s="29">
        <v>5.6561085972847464E-4</v>
      </c>
      <c r="AA156" s="2">
        <v>188.5</v>
      </c>
      <c r="AB156" s="29">
        <v>4.2621204049014989E-3</v>
      </c>
      <c r="AC156" s="2">
        <v>175</v>
      </c>
      <c r="AD156" s="29">
        <v>3.4403669724770315E-3</v>
      </c>
      <c r="AE156" s="2">
        <v>196.9</v>
      </c>
      <c r="AF156" s="29">
        <v>5.1046452271567124E-3</v>
      </c>
    </row>
    <row r="157" spans="5:32" x14ac:dyDescent="0.3">
      <c r="E157" s="10">
        <v>174.2</v>
      </c>
      <c r="F157" s="29">
        <v>1.1494252873562566E-3</v>
      </c>
      <c r="G157" s="10">
        <v>205.2</v>
      </c>
      <c r="H157" s="29">
        <v>-1.4882381180989066E-2</v>
      </c>
      <c r="I157" s="10">
        <v>173.9</v>
      </c>
      <c r="J157" s="29">
        <v>-9.8496630378434424E-2</v>
      </c>
      <c r="K157" s="10">
        <v>177</v>
      </c>
      <c r="L157" s="29">
        <v>1.5490533562822654E-2</v>
      </c>
      <c r="M157" s="10">
        <v>183.4</v>
      </c>
      <c r="N157" s="29">
        <v>-4.7767393561786026E-2</v>
      </c>
      <c r="O157" s="10">
        <v>167.2</v>
      </c>
      <c r="P157" s="29">
        <v>6.973768394113869E-2</v>
      </c>
      <c r="Q157" s="10">
        <v>140.9</v>
      </c>
      <c r="R157" s="29">
        <v>-1.3995801259622112E-2</v>
      </c>
      <c r="S157" s="10">
        <v>170.4</v>
      </c>
      <c r="T157" s="29">
        <v>-1.7574692442881251E-3</v>
      </c>
      <c r="U157" s="10">
        <v>119.1</v>
      </c>
      <c r="V157" s="29">
        <v>-9.9750623441396749E-3</v>
      </c>
      <c r="W157" s="10">
        <v>212.1</v>
      </c>
      <c r="X157" s="29">
        <v>7.6009501187648187E-3</v>
      </c>
      <c r="Y157" s="10">
        <v>177.6</v>
      </c>
      <c r="Z157" s="29">
        <v>3.9570378745053059E-3</v>
      </c>
      <c r="AA157" s="10">
        <v>189.9</v>
      </c>
      <c r="AB157" s="29">
        <v>7.4270557029178022E-3</v>
      </c>
      <c r="AC157" s="10">
        <v>174.8</v>
      </c>
      <c r="AD157" s="29">
        <v>-1.1428571428570779E-3</v>
      </c>
      <c r="AE157" s="10">
        <v>198.3</v>
      </c>
      <c r="AF157" s="29">
        <v>7.1102082275266917E-3</v>
      </c>
    </row>
    <row r="158" spans="5:32" x14ac:dyDescent="0.3">
      <c r="E158" s="2">
        <v>174.3</v>
      </c>
      <c r="F158" s="29">
        <v>5.7405281285891356E-4</v>
      </c>
      <c r="G158" s="2">
        <v>205.2</v>
      </c>
      <c r="H158" s="29">
        <v>0</v>
      </c>
      <c r="I158" s="2">
        <v>173.9</v>
      </c>
      <c r="J158" s="29">
        <v>0</v>
      </c>
      <c r="K158" s="2">
        <v>177</v>
      </c>
      <c r="L158" s="29">
        <v>0</v>
      </c>
      <c r="M158" s="2">
        <v>183.3</v>
      </c>
      <c r="N158" s="29">
        <v>-5.4525627044707916E-4</v>
      </c>
      <c r="O158" s="2">
        <v>167.2</v>
      </c>
      <c r="P158" s="29">
        <v>0</v>
      </c>
      <c r="Q158" s="2">
        <v>140.9</v>
      </c>
      <c r="R158" s="29">
        <v>0</v>
      </c>
      <c r="S158" s="2">
        <v>170.5</v>
      </c>
      <c r="T158" s="29">
        <v>5.8685446009386333E-4</v>
      </c>
      <c r="U158" s="2">
        <v>119.1</v>
      </c>
      <c r="V158" s="29">
        <v>0</v>
      </c>
      <c r="W158" s="2">
        <v>212.1</v>
      </c>
      <c r="X158" s="29">
        <v>0</v>
      </c>
      <c r="Y158" s="2">
        <v>177.6</v>
      </c>
      <c r="Z158" s="29">
        <v>0</v>
      </c>
      <c r="AA158" s="2">
        <v>189.9</v>
      </c>
      <c r="AB158" s="29">
        <v>0</v>
      </c>
      <c r="AC158" s="2">
        <v>174.8</v>
      </c>
      <c r="AD158" s="29">
        <v>0</v>
      </c>
      <c r="AE158" s="2">
        <v>198.4</v>
      </c>
      <c r="AF158" s="29">
        <v>5.0428643469487802E-4</v>
      </c>
    </row>
    <row r="159" spans="5:32" x14ac:dyDescent="0.3">
      <c r="E159" s="10">
        <v>173.3</v>
      </c>
      <c r="F159" s="29">
        <v>-5.737234652897303E-3</v>
      </c>
      <c r="G159" s="10">
        <v>206.9</v>
      </c>
      <c r="H159" s="29">
        <v>8.2846003898636306E-3</v>
      </c>
      <c r="I159" s="10">
        <v>167.9</v>
      </c>
      <c r="J159" s="29">
        <v>-3.4502587694077054E-2</v>
      </c>
      <c r="K159" s="10">
        <v>178.2</v>
      </c>
      <c r="L159" s="29">
        <v>6.7796610169490882E-3</v>
      </c>
      <c r="M159" s="10">
        <v>178.5</v>
      </c>
      <c r="N159" s="29">
        <v>-2.61865793780688E-2</v>
      </c>
      <c r="O159" s="10">
        <v>173.7</v>
      </c>
      <c r="P159" s="29">
        <v>3.8875598086124404E-2</v>
      </c>
      <c r="Q159" s="10">
        <v>142.80000000000001</v>
      </c>
      <c r="R159" s="29">
        <v>1.3484740951029138E-2</v>
      </c>
      <c r="S159" s="10">
        <v>172.8</v>
      </c>
      <c r="T159" s="29">
        <v>1.3489736070381298E-2</v>
      </c>
      <c r="U159" s="10">
        <v>120.4</v>
      </c>
      <c r="V159" s="29">
        <v>1.0915197313182296E-2</v>
      </c>
      <c r="W159" s="10">
        <v>215.5</v>
      </c>
      <c r="X159" s="29">
        <v>1.6030174446016059E-2</v>
      </c>
      <c r="Y159" s="10">
        <v>178.2</v>
      </c>
      <c r="Z159" s="29">
        <v>3.3783783783783465E-3</v>
      </c>
      <c r="AA159" s="10">
        <v>190.5</v>
      </c>
      <c r="AB159" s="29">
        <v>3.1595576619273002E-3</v>
      </c>
      <c r="AC159" s="10">
        <v>175.5</v>
      </c>
      <c r="AD159" s="29">
        <v>4.0045766590388367E-3</v>
      </c>
      <c r="AE159" s="10">
        <v>199.5</v>
      </c>
      <c r="AF159" s="29">
        <v>5.5443548387096482E-3</v>
      </c>
    </row>
    <row r="160" spans="5:32" x14ac:dyDescent="0.3">
      <c r="E160" s="2">
        <v>173.2</v>
      </c>
      <c r="F160" s="29">
        <v>-5.7703404500878666E-4</v>
      </c>
      <c r="G160" s="2">
        <v>211.5</v>
      </c>
      <c r="H160" s="29">
        <v>2.2232962783953574E-2</v>
      </c>
      <c r="I160" s="2">
        <v>171</v>
      </c>
      <c r="J160" s="29">
        <v>1.8463371054198895E-2</v>
      </c>
      <c r="K160" s="2">
        <v>179.6</v>
      </c>
      <c r="L160" s="29">
        <v>7.8563411896745549E-3</v>
      </c>
      <c r="M160" s="2">
        <v>173.3</v>
      </c>
      <c r="N160" s="29">
        <v>-2.913165266106436E-2</v>
      </c>
      <c r="O160" s="2">
        <v>169</v>
      </c>
      <c r="P160" s="29">
        <v>-2.7058146229130622E-2</v>
      </c>
      <c r="Q160" s="2">
        <v>148.69999999999999</v>
      </c>
      <c r="R160" s="29">
        <v>4.1316526610644097E-2</v>
      </c>
      <c r="S160" s="2">
        <v>174.9</v>
      </c>
      <c r="T160" s="29">
        <v>1.2152777777777743E-2</v>
      </c>
      <c r="U160" s="2">
        <v>121.9</v>
      </c>
      <c r="V160" s="29">
        <v>1.2458471760797342E-2</v>
      </c>
      <c r="W160" s="2">
        <v>221</v>
      </c>
      <c r="X160" s="29">
        <v>2.5522041763341066E-2</v>
      </c>
      <c r="Y160" s="2">
        <v>178.7</v>
      </c>
      <c r="Z160" s="29">
        <v>2.8058361391694727E-3</v>
      </c>
      <c r="AA160" s="2">
        <v>191.1</v>
      </c>
      <c r="AB160" s="29">
        <v>3.1496062992125685E-3</v>
      </c>
      <c r="AC160" s="2">
        <v>176.8</v>
      </c>
      <c r="AD160" s="29">
        <v>7.4074074074074719E-3</v>
      </c>
      <c r="AE160" s="2">
        <v>199.9</v>
      </c>
      <c r="AF160" s="29">
        <v>2.0050125313283494E-3</v>
      </c>
    </row>
    <row r="163" spans="4:31" x14ac:dyDescent="0.3">
      <c r="D163" t="s">
        <v>32</v>
      </c>
    </row>
    <row r="164" spans="4:31" x14ac:dyDescent="0.3">
      <c r="D164" s="1" t="s">
        <v>3</v>
      </c>
      <c r="E164" s="1" t="s">
        <v>113</v>
      </c>
      <c r="F164" s="1" t="s">
        <v>4</v>
      </c>
      <c r="G164" s="1"/>
      <c r="H164" s="1" t="s">
        <v>5</v>
      </c>
      <c r="I164" s="1"/>
      <c r="J164" s="1" t="s">
        <v>6</v>
      </c>
      <c r="K164" s="1"/>
      <c r="L164" s="1" t="s">
        <v>7</v>
      </c>
      <c r="M164" s="1"/>
      <c r="N164" s="1" t="s">
        <v>8</v>
      </c>
      <c r="O164" s="1"/>
      <c r="P164" s="1" t="s">
        <v>9</v>
      </c>
      <c r="Q164" s="1"/>
      <c r="R164" s="1" t="s">
        <v>10</v>
      </c>
      <c r="S164" s="1"/>
      <c r="T164" s="1" t="s">
        <v>11</v>
      </c>
      <c r="U164" s="1"/>
      <c r="V164" s="1" t="s">
        <v>12</v>
      </c>
      <c r="W164" s="1"/>
      <c r="X164" s="1" t="s">
        <v>13</v>
      </c>
      <c r="Y164" s="1"/>
      <c r="Z164" s="1" t="s">
        <v>14</v>
      </c>
      <c r="AA164" s="1"/>
      <c r="AB164" s="1" t="s">
        <v>15</v>
      </c>
      <c r="AC164" s="1"/>
      <c r="AD164" s="1" t="s">
        <v>16</v>
      </c>
      <c r="AE164" s="1"/>
    </row>
    <row r="165" spans="4:31" x14ac:dyDescent="0.3">
      <c r="D165" s="2">
        <v>157.5</v>
      </c>
      <c r="E165" s="2"/>
      <c r="F165" s="2">
        <v>223.4</v>
      </c>
      <c r="G165" s="2"/>
      <c r="H165" s="2">
        <v>172.8</v>
      </c>
      <c r="I165" s="2"/>
      <c r="J165" s="2">
        <v>166.4</v>
      </c>
      <c r="K165" s="2"/>
      <c r="L165" s="2">
        <v>188.6</v>
      </c>
      <c r="M165" s="2"/>
      <c r="N165" s="2">
        <v>174.1</v>
      </c>
      <c r="O165" s="2"/>
      <c r="P165" s="2">
        <v>211.5</v>
      </c>
      <c r="Q165" s="2"/>
      <c r="R165" s="2">
        <v>163.6</v>
      </c>
      <c r="S165" s="2"/>
      <c r="T165" s="2">
        <v>121.4</v>
      </c>
      <c r="U165" s="2"/>
      <c r="V165" s="2">
        <v>183.5</v>
      </c>
      <c r="W165" s="2"/>
      <c r="X165" s="2">
        <v>159.1</v>
      </c>
      <c r="Y165" s="2"/>
      <c r="Z165" s="2">
        <v>186.3</v>
      </c>
      <c r="AA165" s="2"/>
      <c r="AB165" s="2">
        <v>179.3</v>
      </c>
      <c r="AC165" s="2"/>
      <c r="AD165" s="2">
        <v>198.3</v>
      </c>
      <c r="AE165" s="2"/>
    </row>
    <row r="166" spans="4:31" x14ac:dyDescent="0.3">
      <c r="D166" s="10">
        <v>159.30000000000001</v>
      </c>
      <c r="E166" s="31">
        <f t="shared" ref="E166:G176" si="3">(D166-D165)/D165</f>
        <v>1.1428571428571501E-2</v>
      </c>
      <c r="F166" s="10">
        <v>217.1</v>
      </c>
      <c r="G166" s="31">
        <f>(F166-F165)/F165</f>
        <v>-2.8200537153088682E-2</v>
      </c>
      <c r="H166" s="10">
        <v>176.6</v>
      </c>
      <c r="I166" s="31">
        <f>(H166-H165)/H165</f>
        <v>2.1990740740740641E-2</v>
      </c>
      <c r="J166" s="10">
        <v>167.1</v>
      </c>
      <c r="K166" s="31">
        <f t="shared" ref="I166:M176" si="4">(J166-J165)/J165</f>
        <v>4.2067307692307005E-3</v>
      </c>
      <c r="L166" s="10">
        <v>184.8</v>
      </c>
      <c r="M166" s="31">
        <f t="shared" si="4"/>
        <v>-2.014846235418867E-2</v>
      </c>
      <c r="N166" s="10">
        <v>179.5</v>
      </c>
      <c r="O166" s="31">
        <f t="shared" ref="O166:Q176" si="5">(N166-N165)/N165</f>
        <v>3.1016657093624389E-2</v>
      </c>
      <c r="P166" s="10">
        <v>208.5</v>
      </c>
      <c r="Q166" s="31">
        <f t="shared" si="5"/>
        <v>-1.4184397163120567E-2</v>
      </c>
      <c r="R166" s="10">
        <v>164</v>
      </c>
      <c r="S166" s="31">
        <f t="shared" ref="S166:S176" si="6">(R166-R165)/R165</f>
        <v>2.4449877750611594E-3</v>
      </c>
      <c r="T166" s="10">
        <v>121.5</v>
      </c>
      <c r="U166" s="31">
        <f t="shared" ref="U166:U176" si="7">(T166-T165)/T165</f>
        <v>8.2372322899501083E-4</v>
      </c>
      <c r="V166" s="10">
        <v>186.3</v>
      </c>
      <c r="W166" s="31">
        <f>(V166-V165)/V165</f>
        <v>1.5258855585831125E-2</v>
      </c>
      <c r="X166" s="10">
        <v>159.80000000000001</v>
      </c>
      <c r="Y166" s="31">
        <f>(X166-X165)/X165</f>
        <v>4.3997485857952051E-3</v>
      </c>
      <c r="Z166" s="10">
        <v>187.7</v>
      </c>
      <c r="AA166" s="31">
        <f t="shared" ref="Y166:AA176" si="8">(Z166-Z165)/Z165</f>
        <v>7.514761137949421E-3</v>
      </c>
      <c r="AB166" s="10">
        <v>179.4</v>
      </c>
      <c r="AC166" s="31">
        <f t="shared" ref="AC166:AE176" si="9">(AB166-AB165)/AB165</f>
        <v>5.5772448410482047E-4</v>
      </c>
      <c r="AD166" s="10">
        <v>198.6</v>
      </c>
      <c r="AE166" s="31">
        <f t="shared" si="9"/>
        <v>1.5128593040846341E-3</v>
      </c>
    </row>
    <row r="167" spans="4:31" x14ac:dyDescent="0.3">
      <c r="D167" s="2">
        <v>162.1</v>
      </c>
      <c r="E167" s="31">
        <f t="shared" ref="E167" si="10">(D167-D166)/D166</f>
        <v>1.7576898932831028E-2</v>
      </c>
      <c r="F167" s="2">
        <v>210.9</v>
      </c>
      <c r="G167" s="31">
        <f t="shared" si="3"/>
        <v>-2.8558268079226113E-2</v>
      </c>
      <c r="H167" s="2">
        <v>170.6</v>
      </c>
      <c r="I167" s="31">
        <f t="shared" si="4"/>
        <v>-3.3975084937712348E-2</v>
      </c>
      <c r="J167" s="2">
        <v>168.4</v>
      </c>
      <c r="K167" s="31">
        <f t="shared" ref="K167" si="11">(J167-J166)/J166</f>
        <v>7.7797725912627852E-3</v>
      </c>
      <c r="L167" s="2">
        <v>182.5</v>
      </c>
      <c r="M167" s="31">
        <f t="shared" ref="M167" si="12">(L167-L166)/L166</f>
        <v>-1.2445887445887507E-2</v>
      </c>
      <c r="N167" s="2">
        <v>177.1</v>
      </c>
      <c r="O167" s="31">
        <f t="shared" si="5"/>
        <v>-1.3370473537604488E-2</v>
      </c>
      <c r="P167" s="2">
        <v>213.1</v>
      </c>
      <c r="Q167" s="31">
        <f t="shared" ref="Q167" si="13">(P167-P166)/P166</f>
        <v>2.206235011990405E-2</v>
      </c>
      <c r="R167" s="2">
        <v>167.3</v>
      </c>
      <c r="S167" s="31">
        <f t="shared" si="6"/>
        <v>2.0121951219512265E-2</v>
      </c>
      <c r="T167" s="2">
        <v>122.2</v>
      </c>
      <c r="U167" s="31">
        <f t="shared" si="7"/>
        <v>5.7613168724280073E-3</v>
      </c>
      <c r="V167" s="2">
        <v>189.7</v>
      </c>
      <c r="W167" s="31">
        <f t="shared" ref="W167:W176" si="14">(V167-V166)/V166</f>
        <v>1.8250134192163054E-2</v>
      </c>
      <c r="X167" s="2">
        <v>160.5</v>
      </c>
      <c r="Y167" s="31">
        <f t="shared" si="8"/>
        <v>4.3804755944930451E-3</v>
      </c>
      <c r="Z167" s="2">
        <v>188.9</v>
      </c>
      <c r="AA167" s="31">
        <f t="shared" ref="AA167" si="15">(Z167-Z166)/Z166</f>
        <v>6.3931806073522493E-3</v>
      </c>
      <c r="AB167" s="2">
        <v>180.4</v>
      </c>
      <c r="AC167" s="31">
        <f t="shared" si="9"/>
        <v>5.5741360089186171E-3</v>
      </c>
      <c r="AD167" s="2">
        <v>198.7</v>
      </c>
      <c r="AE167" s="31">
        <f t="shared" ref="AE167" si="16">(AD167-AD166)/AD166</f>
        <v>5.0352467270893412E-4</v>
      </c>
    </row>
    <row r="168" spans="4:31" x14ac:dyDescent="0.3">
      <c r="D168" s="10">
        <v>164.9</v>
      </c>
      <c r="E168" s="31">
        <f t="shared" ref="E168" si="17">(D168-D167)/D167</f>
        <v>1.7273288093769348E-2</v>
      </c>
      <c r="F168" s="10">
        <v>213.7</v>
      </c>
      <c r="G168" s="31">
        <f t="shared" si="3"/>
        <v>1.3276434329065827E-2</v>
      </c>
      <c r="H168" s="10">
        <v>170.9</v>
      </c>
      <c r="I168" s="31">
        <f t="shared" si="4"/>
        <v>1.7584994138335954E-3</v>
      </c>
      <c r="J168" s="10">
        <v>170.1</v>
      </c>
      <c r="K168" s="31">
        <f t="shared" ref="K168" si="18">(J168-J167)/J167</f>
        <v>1.0095011876484494E-2</v>
      </c>
      <c r="L168" s="10">
        <v>179.3</v>
      </c>
      <c r="M168" s="31">
        <f t="shared" ref="M168" si="19">(L168-L167)/L167</f>
        <v>-1.7534246575342402E-2</v>
      </c>
      <c r="N168" s="10">
        <v>167.5</v>
      </c>
      <c r="O168" s="31">
        <f t="shared" si="5"/>
        <v>-5.4206662902315045E-2</v>
      </c>
      <c r="P168" s="10">
        <v>220.8</v>
      </c>
      <c r="Q168" s="31">
        <f t="shared" ref="Q168" si="20">(P168-P167)/P167</f>
        <v>3.6133270764899188E-2</v>
      </c>
      <c r="R168" s="10">
        <v>169.2</v>
      </c>
      <c r="S168" s="31">
        <f t="shared" si="6"/>
        <v>1.1356843992827119E-2</v>
      </c>
      <c r="T168" s="10">
        <v>123.1</v>
      </c>
      <c r="U168" s="31">
        <f t="shared" si="7"/>
        <v>7.3649754500817628E-3</v>
      </c>
      <c r="V168" s="10">
        <v>193.6</v>
      </c>
      <c r="W168" s="31">
        <f t="shared" si="14"/>
        <v>2.0558777016341623E-2</v>
      </c>
      <c r="X168" s="10">
        <v>161.1</v>
      </c>
      <c r="Y168" s="31">
        <f t="shared" si="8"/>
        <v>3.7383177570093104E-3</v>
      </c>
      <c r="Z168" s="10">
        <v>190.4</v>
      </c>
      <c r="AA168" s="31">
        <f t="shared" ref="AA168" si="21">(Z168-Z167)/Z167</f>
        <v>7.9407093700370572E-3</v>
      </c>
      <c r="AB168" s="10">
        <v>181.8</v>
      </c>
      <c r="AC168" s="31">
        <f t="shared" si="9"/>
        <v>7.7605321507760849E-3</v>
      </c>
      <c r="AD168" s="10">
        <v>199.7</v>
      </c>
      <c r="AE168" s="31">
        <f t="shared" ref="AE168" si="22">(AD168-AD167)/AD167</f>
        <v>5.0327126321087065E-3</v>
      </c>
    </row>
    <row r="169" spans="4:31" x14ac:dyDescent="0.3">
      <c r="D169" s="2">
        <v>166.4</v>
      </c>
      <c r="E169" s="31">
        <f t="shared" ref="E169" si="23">(D169-D168)/D168</f>
        <v>9.0964220739842318E-3</v>
      </c>
      <c r="F169" s="2">
        <v>214.9</v>
      </c>
      <c r="G169" s="31">
        <f t="shared" si="3"/>
        <v>5.6153486195602113E-3</v>
      </c>
      <c r="H169" s="2">
        <v>171.9</v>
      </c>
      <c r="I169" s="31">
        <f t="shared" si="4"/>
        <v>5.8513750731421883E-3</v>
      </c>
      <c r="J169" s="2">
        <v>171</v>
      </c>
      <c r="K169" s="31">
        <f t="shared" ref="K169" si="24">(J169-J168)/J168</f>
        <v>5.2910052910053245E-3</v>
      </c>
      <c r="L169" s="2">
        <v>177.7</v>
      </c>
      <c r="M169" s="31">
        <f t="shared" ref="M169" si="25">(L169-L168)/L168</f>
        <v>-8.9235917456777607E-3</v>
      </c>
      <c r="N169" s="2">
        <v>165.7</v>
      </c>
      <c r="O169" s="31">
        <f t="shared" si="5"/>
        <v>-1.0746268656716487E-2</v>
      </c>
      <c r="P169" s="2">
        <v>228.6</v>
      </c>
      <c r="Q169" s="31">
        <f t="shared" ref="Q169" si="26">(P169-P168)/P168</f>
        <v>3.532608695652166E-2</v>
      </c>
      <c r="R169" s="2">
        <v>169.9</v>
      </c>
      <c r="S169" s="31">
        <f t="shared" si="6"/>
        <v>4.1371158392436002E-3</v>
      </c>
      <c r="T169" s="2">
        <v>123.4</v>
      </c>
      <c r="U169" s="31">
        <f t="shared" si="7"/>
        <v>2.4370430544273874E-3</v>
      </c>
      <c r="V169" s="2">
        <v>196.4</v>
      </c>
      <c r="W169" s="31">
        <f t="shared" si="14"/>
        <v>1.4462809917355431E-2</v>
      </c>
      <c r="X169" s="2">
        <v>161.6</v>
      </c>
      <c r="Y169" s="31">
        <f t="shared" si="8"/>
        <v>3.1036623215394167E-3</v>
      </c>
      <c r="Z169" s="2">
        <v>191.5</v>
      </c>
      <c r="AA169" s="31">
        <f t="shared" ref="AA169" si="27">(Z169-Z168)/Z168</f>
        <v>5.7773109243697178E-3</v>
      </c>
      <c r="AB169" s="2">
        <v>183.3</v>
      </c>
      <c r="AC169" s="31">
        <f t="shared" si="9"/>
        <v>8.2508250825082501E-3</v>
      </c>
      <c r="AD169" s="2">
        <v>200.1</v>
      </c>
      <c r="AE169" s="31">
        <f t="shared" ref="AE169" si="28">(AD169-AD168)/AD168</f>
        <v>2.0030045067601686E-3</v>
      </c>
    </row>
    <row r="170" spans="4:31" x14ac:dyDescent="0.3">
      <c r="D170" s="10">
        <v>168.4</v>
      </c>
      <c r="E170" s="31">
        <f t="shared" ref="E170" si="29">(D170-D169)/D169</f>
        <v>1.2019230769230768E-2</v>
      </c>
      <c r="F170" s="10">
        <v>213.4</v>
      </c>
      <c r="G170" s="31">
        <f t="shared" si="3"/>
        <v>-6.9799906933457421E-3</v>
      </c>
      <c r="H170" s="10">
        <v>183.2</v>
      </c>
      <c r="I170" s="31">
        <f t="shared" si="4"/>
        <v>6.5735892961023751E-2</v>
      </c>
      <c r="J170" s="10">
        <v>172.3</v>
      </c>
      <c r="K170" s="31">
        <f t="shared" ref="K170" si="30">(J170-J169)/J169</f>
        <v>7.6023391812866164E-3</v>
      </c>
      <c r="L170" s="10">
        <v>180</v>
      </c>
      <c r="M170" s="31">
        <f t="shared" ref="M170" si="31">(L170-L169)/L169</f>
        <v>1.2943162633652288E-2</v>
      </c>
      <c r="N170" s="10">
        <v>162.6</v>
      </c>
      <c r="O170" s="31">
        <f t="shared" si="5"/>
        <v>-1.8708509354254645E-2</v>
      </c>
      <c r="P170" s="10">
        <v>205.5</v>
      </c>
      <c r="Q170" s="31">
        <f t="shared" ref="Q170" si="32">(P170-P169)/P169</f>
        <v>-0.10104986876640418</v>
      </c>
      <c r="R170" s="10">
        <v>171</v>
      </c>
      <c r="S170" s="31">
        <f t="shared" si="6"/>
        <v>6.4743967039434629E-3</v>
      </c>
      <c r="T170" s="10">
        <v>123.4</v>
      </c>
      <c r="U170" s="31">
        <f t="shared" si="7"/>
        <v>0</v>
      </c>
      <c r="V170" s="10">
        <v>198.8</v>
      </c>
      <c r="W170" s="31">
        <f t="shared" si="14"/>
        <v>1.2219959266802473E-2</v>
      </c>
      <c r="X170" s="10">
        <v>162.1</v>
      </c>
      <c r="Y170" s="31">
        <f t="shared" si="8"/>
        <v>3.0940594059405942E-3</v>
      </c>
      <c r="Z170" s="10">
        <v>192.4</v>
      </c>
      <c r="AA170" s="31">
        <f t="shared" ref="AA170" si="33">(Z170-Z169)/Z169</f>
        <v>4.6997389033942858E-3</v>
      </c>
      <c r="AB170" s="10">
        <v>181.3</v>
      </c>
      <c r="AC170" s="31">
        <f t="shared" si="9"/>
        <v>-1.0911074740861974E-2</v>
      </c>
      <c r="AD170" s="10">
        <v>200.6</v>
      </c>
      <c r="AE170" s="31">
        <f t="shared" ref="AE170" si="34">(AD170-AD169)/AD169</f>
        <v>2.4987506246876563E-3</v>
      </c>
    </row>
    <row r="171" spans="4:31" x14ac:dyDescent="0.3">
      <c r="D171" s="2">
        <v>170.2</v>
      </c>
      <c r="E171" s="31">
        <f t="shared" ref="E171" si="35">(D171-D170)/D170</f>
        <v>1.0688836104512963E-2</v>
      </c>
      <c r="F171" s="2">
        <v>212.9</v>
      </c>
      <c r="G171" s="31">
        <f t="shared" si="3"/>
        <v>-2.3430178069353325E-3</v>
      </c>
      <c r="H171" s="2">
        <v>191.9</v>
      </c>
      <c r="I171" s="31">
        <f t="shared" si="4"/>
        <v>4.7489082969432411E-2</v>
      </c>
      <c r="J171" s="2">
        <v>173.9</v>
      </c>
      <c r="K171" s="31">
        <f t="shared" ref="K171" si="36">(J171-J170)/J170</f>
        <v>9.286128845037692E-3</v>
      </c>
      <c r="L171" s="2">
        <v>179.1</v>
      </c>
      <c r="M171" s="31">
        <f t="shared" ref="M171" si="37">(L171-L170)/L170</f>
        <v>-5.0000000000000313E-3</v>
      </c>
      <c r="N171" s="2">
        <v>159.5</v>
      </c>
      <c r="O171" s="31">
        <f t="shared" si="5"/>
        <v>-1.9065190651906486E-2</v>
      </c>
      <c r="P171" s="2">
        <v>178.7</v>
      </c>
      <c r="Q171" s="31">
        <f t="shared" ref="Q171" si="38">(P171-P170)/P170</f>
        <v>-0.1304136253041363</v>
      </c>
      <c r="R171" s="2">
        <v>171.3</v>
      </c>
      <c r="S171" s="31">
        <f t="shared" si="6"/>
        <v>1.7543859649123471E-3</v>
      </c>
      <c r="T171" s="2">
        <v>123.1</v>
      </c>
      <c r="U171" s="31">
        <f t="shared" si="7"/>
        <v>-2.4311183144247275E-3</v>
      </c>
      <c r="V171" s="2">
        <v>200.5</v>
      </c>
      <c r="W171" s="31">
        <f t="shared" si="14"/>
        <v>8.5513078470824365E-3</v>
      </c>
      <c r="X171" s="2">
        <v>162.80000000000001</v>
      </c>
      <c r="Y171" s="31">
        <f t="shared" si="8"/>
        <v>4.3183220234424245E-3</v>
      </c>
      <c r="Z171" s="2">
        <v>193.3</v>
      </c>
      <c r="AA171" s="31">
        <f t="shared" ref="AA171" si="39">(Z171-Z170)/Z170</f>
        <v>4.6777546777547075E-3</v>
      </c>
      <c r="AB171" s="2">
        <v>178.6</v>
      </c>
      <c r="AC171" s="31">
        <f t="shared" si="9"/>
        <v>-1.4892443463872128E-2</v>
      </c>
      <c r="AD171" s="2">
        <v>201.1</v>
      </c>
      <c r="AE171" s="31">
        <f t="shared" ref="AE171" si="40">(AD171-AD170)/AD170</f>
        <v>2.4925224327018943E-3</v>
      </c>
    </row>
    <row r="172" spans="4:31" x14ac:dyDescent="0.3">
      <c r="D172" s="10">
        <v>173.3</v>
      </c>
      <c r="E172" s="31">
        <f t="shared" ref="E172" si="41">(D172-D171)/D171</f>
        <v>1.821386603995313E-2</v>
      </c>
      <c r="F172" s="10">
        <v>215.2</v>
      </c>
      <c r="G172" s="31">
        <f t="shared" si="3"/>
        <v>1.0803193987787613E-2</v>
      </c>
      <c r="H172" s="10">
        <v>197</v>
      </c>
      <c r="I172" s="31">
        <f t="shared" si="4"/>
        <v>2.6576341844710756E-2</v>
      </c>
      <c r="J172" s="10">
        <v>175.2</v>
      </c>
      <c r="K172" s="31">
        <f t="shared" ref="K172" si="42">(J172-J171)/J171</f>
        <v>7.4755606670499301E-3</v>
      </c>
      <c r="L172" s="10">
        <v>178</v>
      </c>
      <c r="M172" s="31">
        <f t="shared" ref="M172" si="43">(L172-L171)/L171</f>
        <v>-6.1418202121719398E-3</v>
      </c>
      <c r="N172" s="10">
        <v>160.5</v>
      </c>
      <c r="O172" s="31">
        <f t="shared" si="5"/>
        <v>6.269592476489028E-3</v>
      </c>
      <c r="P172" s="10">
        <v>175.3</v>
      </c>
      <c r="Q172" s="31">
        <f t="shared" ref="Q172" si="44">(P172-P171)/P171</f>
        <v>-1.9026301063234344E-2</v>
      </c>
      <c r="R172" s="10">
        <v>171.2</v>
      </c>
      <c r="S172" s="31">
        <f t="shared" si="6"/>
        <v>-5.837711617047445E-4</v>
      </c>
      <c r="T172" s="10">
        <v>122.7</v>
      </c>
      <c r="U172" s="31">
        <f t="shared" si="7"/>
        <v>-3.2493907392363241E-3</v>
      </c>
      <c r="V172" s="10">
        <v>204.3</v>
      </c>
      <c r="W172" s="31">
        <f t="shared" si="14"/>
        <v>1.8952618453865394E-2</v>
      </c>
      <c r="X172" s="10">
        <v>163.69999999999999</v>
      </c>
      <c r="Y172" s="31">
        <f t="shared" si="8"/>
        <v>5.5282555282553884E-3</v>
      </c>
      <c r="Z172" s="10">
        <v>194.3</v>
      </c>
      <c r="AA172" s="31">
        <f t="shared" ref="AA172" si="45">(Z172-Z171)/Z171</f>
        <v>5.1733057423693739E-3</v>
      </c>
      <c r="AB172" s="10">
        <v>179.5</v>
      </c>
      <c r="AC172" s="31">
        <f t="shared" si="9"/>
        <v>5.0391937290033915E-3</v>
      </c>
      <c r="AD172" s="10">
        <v>201.6</v>
      </c>
      <c r="AE172" s="31">
        <f t="shared" ref="AE172" si="46">(AD172-AD171)/AD171</f>
        <v>2.4863252113376429E-3</v>
      </c>
    </row>
    <row r="173" spans="4:31" x14ac:dyDescent="0.3">
      <c r="D173" s="2">
        <v>174.7</v>
      </c>
      <c r="E173" s="31">
        <f t="shared" ref="E173" si="47">(D173-D172)/D172</f>
        <v>8.078476630121045E-3</v>
      </c>
      <c r="F173" s="2">
        <v>212.2</v>
      </c>
      <c r="G173" s="31">
        <f t="shared" si="3"/>
        <v>-1.3940520446096656E-2</v>
      </c>
      <c r="H173" s="2">
        <v>177.2</v>
      </c>
      <c r="I173" s="31">
        <f t="shared" si="4"/>
        <v>-0.10050761421319802</v>
      </c>
      <c r="J173" s="2">
        <v>177.9</v>
      </c>
      <c r="K173" s="31">
        <f t="shared" ref="K173" si="48">(J173-J172)/J172</f>
        <v>1.5410958904109687E-2</v>
      </c>
      <c r="L173" s="2">
        <v>172.2</v>
      </c>
      <c r="M173" s="31">
        <f t="shared" ref="M173" si="49">(L173-L172)/L172</f>
        <v>-3.2584269662921411E-2</v>
      </c>
      <c r="N173" s="2">
        <v>172.1</v>
      </c>
      <c r="O173" s="31">
        <f t="shared" si="5"/>
        <v>7.2274143302180655E-2</v>
      </c>
      <c r="P173" s="2">
        <v>175.8</v>
      </c>
      <c r="Q173" s="31">
        <f t="shared" ref="Q173" si="50">(P173-P172)/P172</f>
        <v>2.8522532800912721E-3</v>
      </c>
      <c r="R173" s="2">
        <v>172.2</v>
      </c>
      <c r="S173" s="31">
        <f t="shared" si="6"/>
        <v>5.8411214953271035E-3</v>
      </c>
      <c r="T173" s="2">
        <v>121.9</v>
      </c>
      <c r="U173" s="31">
        <f t="shared" si="7"/>
        <v>-6.5199674001629754E-3</v>
      </c>
      <c r="V173" s="2">
        <v>204.8</v>
      </c>
      <c r="W173" s="31">
        <f t="shared" si="14"/>
        <v>2.4473813020068525E-3</v>
      </c>
      <c r="X173" s="2">
        <v>164.9</v>
      </c>
      <c r="Y173" s="31">
        <f t="shared" si="8"/>
        <v>7.3304825901039528E-3</v>
      </c>
      <c r="Z173" s="2">
        <v>196.6</v>
      </c>
      <c r="AA173" s="31">
        <f t="shared" ref="AA173" si="51">(Z173-Z172)/Z172</f>
        <v>1.1837364899639644E-2</v>
      </c>
      <c r="AB173" s="2">
        <v>180.7</v>
      </c>
      <c r="AC173" s="31">
        <f t="shared" si="9"/>
        <v>6.6852367688021649E-3</v>
      </c>
      <c r="AD173" s="2">
        <v>202.7</v>
      </c>
      <c r="AE173" s="31">
        <f t="shared" ref="AE173" si="52">(AD173-AD172)/AD172</f>
        <v>5.4563492063491783E-3</v>
      </c>
    </row>
    <row r="174" spans="4:31" x14ac:dyDescent="0.3">
      <c r="D174" s="10">
        <v>174.7</v>
      </c>
      <c r="E174" s="31">
        <f t="shared" ref="E174" si="53">(D174-D173)/D173</f>
        <v>0</v>
      </c>
      <c r="F174" s="10">
        <v>212.2</v>
      </c>
      <c r="G174" s="31">
        <f t="shared" si="3"/>
        <v>0</v>
      </c>
      <c r="H174" s="10">
        <v>177.2</v>
      </c>
      <c r="I174" s="31">
        <f t="shared" si="4"/>
        <v>0</v>
      </c>
      <c r="J174" s="10">
        <v>177.9</v>
      </c>
      <c r="K174" s="31">
        <f t="shared" ref="K174" si="54">(J174-J173)/J173</f>
        <v>0</v>
      </c>
      <c r="L174" s="10">
        <v>172.2</v>
      </c>
      <c r="M174" s="31">
        <f t="shared" ref="M174" si="55">(L174-L173)/L173</f>
        <v>0</v>
      </c>
      <c r="N174" s="10">
        <v>172.1</v>
      </c>
      <c r="O174" s="31">
        <f t="shared" si="5"/>
        <v>0</v>
      </c>
      <c r="P174" s="10">
        <v>175.9</v>
      </c>
      <c r="Q174" s="31">
        <f t="shared" ref="Q174" si="56">(P174-P173)/P173</f>
        <v>5.6882821387937608E-4</v>
      </c>
      <c r="R174" s="10">
        <v>172.2</v>
      </c>
      <c r="S174" s="31">
        <f t="shared" si="6"/>
        <v>0</v>
      </c>
      <c r="T174" s="10">
        <v>121.9</v>
      </c>
      <c r="U174" s="31">
        <f t="shared" si="7"/>
        <v>0</v>
      </c>
      <c r="V174" s="10">
        <v>204.8</v>
      </c>
      <c r="W174" s="31">
        <f t="shared" si="14"/>
        <v>0</v>
      </c>
      <c r="X174" s="10">
        <v>164.9</v>
      </c>
      <c r="Y174" s="31">
        <f t="shared" si="8"/>
        <v>0</v>
      </c>
      <c r="Z174" s="10">
        <v>196.6</v>
      </c>
      <c r="AA174" s="31">
        <f t="shared" ref="AA174" si="57">(Z174-Z173)/Z173</f>
        <v>0</v>
      </c>
      <c r="AB174" s="10">
        <v>180.8</v>
      </c>
      <c r="AC174" s="31">
        <f t="shared" si="9"/>
        <v>5.5340343110139867E-4</v>
      </c>
      <c r="AD174" s="10">
        <v>202.7</v>
      </c>
      <c r="AE174" s="31">
        <f t="shared" ref="AE174" si="58">(AD174-AD173)/AD173</f>
        <v>0</v>
      </c>
    </row>
    <row r="175" spans="4:31" x14ac:dyDescent="0.3">
      <c r="D175" s="2">
        <v>174.8</v>
      </c>
      <c r="E175" s="31">
        <f t="shared" ref="E175" si="59">(D175-D174)/D174</f>
        <v>5.7240984544947189E-4</v>
      </c>
      <c r="F175" s="2">
        <v>213.7</v>
      </c>
      <c r="G175" s="31">
        <f t="shared" si="3"/>
        <v>7.068803016022621E-3</v>
      </c>
      <c r="H175" s="2">
        <v>172.4</v>
      </c>
      <c r="I175" s="31">
        <f t="shared" si="4"/>
        <v>-2.7088036117381396E-2</v>
      </c>
      <c r="J175" s="2">
        <v>178.8</v>
      </c>
      <c r="K175" s="31">
        <f t="shared" ref="K175" si="60">(J175-J174)/J174</f>
        <v>5.0590219224283623E-3</v>
      </c>
      <c r="L175" s="2">
        <v>168.7</v>
      </c>
      <c r="M175" s="31">
        <f t="shared" ref="M175" si="61">(L175-L174)/L174</f>
        <v>-2.0325203252032523E-2</v>
      </c>
      <c r="N175" s="2">
        <v>179.2</v>
      </c>
      <c r="O175" s="31">
        <f t="shared" si="5"/>
        <v>4.1255084253341047E-2</v>
      </c>
      <c r="P175" s="2">
        <v>179.9</v>
      </c>
      <c r="Q175" s="31">
        <f t="shared" ref="Q175" si="62">(P175-P174)/P174</f>
        <v>2.2740193291642979E-2</v>
      </c>
      <c r="R175" s="2">
        <v>174.7</v>
      </c>
      <c r="S175" s="31">
        <f t="shared" si="6"/>
        <v>1.4518002322880372E-2</v>
      </c>
      <c r="T175" s="2">
        <v>123.1</v>
      </c>
      <c r="U175" s="31">
        <f t="shared" si="7"/>
        <v>9.8441345365052387E-3</v>
      </c>
      <c r="V175" s="2">
        <v>207.8</v>
      </c>
      <c r="W175" s="31">
        <f t="shared" si="14"/>
        <v>1.46484375E-2</v>
      </c>
      <c r="X175" s="2">
        <v>165.5</v>
      </c>
      <c r="Y175" s="31">
        <f t="shared" si="8"/>
        <v>3.6385688295936585E-3</v>
      </c>
      <c r="Z175" s="2">
        <v>197</v>
      </c>
      <c r="AA175" s="31">
        <f t="shared" ref="AA175" si="63">(Z175-Z174)/Z174</f>
        <v>2.034587995930853E-3</v>
      </c>
      <c r="AB175" s="2">
        <v>182.1</v>
      </c>
      <c r="AC175" s="31">
        <f t="shared" si="9"/>
        <v>7.1902654867255691E-3</v>
      </c>
      <c r="AD175" s="2">
        <v>203.5</v>
      </c>
      <c r="AE175" s="31">
        <f t="shared" ref="AE175" si="64">(AD175-AD174)/AD174</f>
        <v>3.9467192895905846E-3</v>
      </c>
    </row>
    <row r="176" spans="4:31" x14ac:dyDescent="0.3">
      <c r="D176" s="10">
        <v>174.7</v>
      </c>
      <c r="E176" s="31">
        <f t="shared" ref="E176" si="65">(D176-D175)/D175</f>
        <v>-5.7208237986283023E-4</v>
      </c>
      <c r="F176" s="10">
        <v>219.4</v>
      </c>
      <c r="G176" s="31">
        <f t="shared" si="3"/>
        <v>2.6672905942910705E-2</v>
      </c>
      <c r="H176" s="10">
        <v>176.7</v>
      </c>
      <c r="I176" s="31">
        <f t="shared" si="4"/>
        <v>2.4941995359628672E-2</v>
      </c>
      <c r="J176" s="10">
        <v>179.4</v>
      </c>
      <c r="K176" s="31">
        <f t="shared" ref="K176" si="66">(J176-J175)/J175</f>
        <v>3.355704697986545E-3</v>
      </c>
      <c r="L176" s="10">
        <v>164.4</v>
      </c>
      <c r="M176" s="31">
        <f t="shared" ref="M176" si="67">(L176-L175)/L175</f>
        <v>-2.5489033787788874E-2</v>
      </c>
      <c r="N176" s="10">
        <v>175.8</v>
      </c>
      <c r="O176" s="31">
        <f t="shared" si="5"/>
        <v>-1.8973214285714159E-2</v>
      </c>
      <c r="P176" s="10">
        <v>185</v>
      </c>
      <c r="Q176" s="31">
        <f t="shared" ref="Q176" si="68">(P176-P175)/P175</f>
        <v>2.8349082823790964E-2</v>
      </c>
      <c r="R176" s="10">
        <v>176.9</v>
      </c>
      <c r="S176" s="31">
        <f t="shared" si="6"/>
        <v>1.2593016599885617E-2</v>
      </c>
      <c r="T176" s="10">
        <v>124.2</v>
      </c>
      <c r="U176" s="31">
        <f t="shared" si="7"/>
        <v>8.9358245329001513E-3</v>
      </c>
      <c r="V176" s="10">
        <v>211.9</v>
      </c>
      <c r="W176" s="31">
        <f t="shared" si="14"/>
        <v>1.9730510105871003E-2</v>
      </c>
      <c r="X176" s="10">
        <v>165.9</v>
      </c>
      <c r="Y176" s="31">
        <f t="shared" si="8"/>
        <v>2.4169184290030554E-3</v>
      </c>
      <c r="Z176" s="10">
        <v>197.7</v>
      </c>
      <c r="AA176" s="31">
        <f t="shared" ref="AA176" si="69">(Z176-Z175)/Z175</f>
        <v>3.5532994923857292E-3</v>
      </c>
      <c r="AB176" s="10">
        <v>183.1</v>
      </c>
      <c r="AC176" s="31">
        <f t="shared" si="9"/>
        <v>5.4914881933003845E-3</v>
      </c>
      <c r="AD176" s="10">
        <v>204.2</v>
      </c>
      <c r="AE176" s="31">
        <f t="shared" ref="AE176" si="70">(AD176-AD175)/AD175</f>
        <v>3.4398034398033838E-3</v>
      </c>
    </row>
  </sheetData>
  <autoFilter ref="A1:BB38" xr:uid="{E00ABB7C-E6F3-4EFF-998F-58D418DD2C34}">
    <filterColumn colId="0">
      <filters>
        <filter val="Urban"/>
      </filters>
    </filterColumn>
  </autoFilter>
  <pageMargins left="0.7" right="0.7" top="0.75" bottom="0.75" header="0.3" footer="0.3"/>
  <ignoredErrors>
    <ignoredError sqref="AT2:AT37" formulaRange="1"/>
  </ignoredErrors>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1038-3E9A-4571-AACF-63DFA4EA4668}">
  <dimension ref="A1:AL392"/>
  <sheetViews>
    <sheetView topLeftCell="Z393" workbookViewId="0">
      <selection activeCell="AO372" sqref="AO372"/>
    </sheetView>
  </sheetViews>
  <sheetFormatPr defaultRowHeight="14.4" x14ac:dyDescent="0.3"/>
  <cols>
    <col min="25" max="25" width="18.6640625" customWidth="1"/>
    <col min="34" max="34" width="13.44140625" customWidth="1"/>
    <col min="35" max="35" width="18.3320312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76</v>
      </c>
      <c r="AF1" t="s">
        <v>77</v>
      </c>
      <c r="AG1" t="s">
        <v>78</v>
      </c>
      <c r="AH1" t="s">
        <v>79</v>
      </c>
      <c r="AI1" t="s">
        <v>81</v>
      </c>
      <c r="AJ1" t="s">
        <v>80</v>
      </c>
      <c r="AK1" t="s">
        <v>82</v>
      </c>
      <c r="AL1" t="s">
        <v>75</v>
      </c>
    </row>
    <row r="2" spans="1:38"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s="12">
        <f>'Handle Missing Value Sheet only'!$F$5</f>
        <v>139.27096774193564</v>
      </c>
      <c r="V2">
        <v>105.5</v>
      </c>
      <c r="W2">
        <v>104.8</v>
      </c>
      <c r="X2">
        <v>104</v>
      </c>
      <c r="Y2">
        <v>103.3</v>
      </c>
      <c r="Z2">
        <v>103.4</v>
      </c>
      <c r="AA2">
        <v>103.8</v>
      </c>
      <c r="AB2">
        <v>104.7</v>
      </c>
      <c r="AC2">
        <v>104</v>
      </c>
      <c r="AD2">
        <v>105.1</v>
      </c>
      <c r="AE2" s="12">
        <f>AVERAGE(All_India_Index_Upto_April23__1___14[[#This Row],[Cereals and products]:[Pan, tobacco and intoxicants]])</f>
        <v>105.48571428571427</v>
      </c>
      <c r="AF2" s="12">
        <f>AVERAGE(All_India_Index_Upto_April23__1___14[[#This Row],[Household goods and services]],All_India_Index_Upto_April23__1___14[[#This Row],[Housing]])</f>
        <v>122.03548387096782</v>
      </c>
      <c r="AG2" s="12">
        <f>AVERAGE(All_India_Index_Upto_April23__1___14[[#This Row],[Miscellaneous]],All_India_Index_Upto_April23__1___14[[#This Row],[Personal care and effects]],All_India_Index_Upto_April23__1___14[[#This Row],[Education]],All_India_Index_Upto_April23__1___14[[#This Row],[Recreation and amusement]])</f>
        <v>103.97499999999999</v>
      </c>
      <c r="AH2" s="12">
        <f>SUM(All_India_Index_Upto_April23__1___14[[#This Row],[Cereals and products]:[Pan, tobacco and intoxicants]])</f>
        <v>1476.7999999999997</v>
      </c>
      <c r="AI2" s="12">
        <f>SUM(All_India_Index_Upto_April23__1___14[[#This Row],[Household goods and services]],All_India_Index_Upto_April23__1___14[[#This Row],[Housing]])</f>
        <v>244.07096774193565</v>
      </c>
      <c r="AJ2" s="12">
        <f>All_India_Index_Upto_April23__1___14[[#This Row],[Clothing]]+All_India_Index_Upto_April23__1___14[[#This Row],[Footwear]]</f>
        <v>212.3</v>
      </c>
      <c r="AK2" s="12">
        <f>All_India_Index_Upto_April23__1___14[[#This Row],[Miscellaneous]]+All_India_Index_Upto_April23__1___14[[#This Row],[Personal care and effects]]+All_India_Index_Upto_April23__1___14[[#This Row],[Education]]+All_India_Index_Upto_April23__1___14[[#This Row],[Recreation and amusement]]</f>
        <v>415.9</v>
      </c>
      <c r="AL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2661.8709677419356</v>
      </c>
    </row>
    <row r="3" spans="1:38" hidden="1" x14ac:dyDescent="0.3">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s="12">
        <f>AVERAGE(All_India_Index_Upto_April23__1___14[[#This Row],[Cereals and products]:[Pan, tobacco and intoxicants]])</f>
        <v>105.82857142857144</v>
      </c>
      <c r="AF3" s="12">
        <f>AVERAGE(All_India_Index_Upto_April23__1___14[[#This Row],[Household goods and services]],All_India_Index_Upto_April23__1___14[[#This Row],[Housing]])</f>
        <v>102.55</v>
      </c>
      <c r="AG3" s="12">
        <f>AVERAGE(All_India_Index_Upto_April23__1___14[[#This Row],[Miscellaneous]],All_India_Index_Upto_April23__1___14[[#This Row],[Personal care and effects]],All_India_Index_Upto_April23__1___14[[#This Row],[Education]],All_India_Index_Upto_April23__1___14[[#This Row],[Recreation and amusement]])</f>
        <v>103.6</v>
      </c>
      <c r="AH3" s="12">
        <f>SUM(All_India_Index_Upto_April23__1___14[[#This Row],[Cereals and products]:[Pan, tobacco and intoxicants]])</f>
        <v>1481.6000000000001</v>
      </c>
      <c r="AI3" s="12">
        <f>SUM(All_India_Index_Upto_April23__1___14[[#This Row],[Household goods and services]],All_India_Index_Upto_April23__1___14[[#This Row],[Housing]])</f>
        <v>205.1</v>
      </c>
      <c r="AJ3" s="12">
        <f>All_India_Index_Upto_April23__1___14[[#This Row],[Clothing]]+All_India_Index_Upto_April23__1___14[[#This Row],[Footwear]]</f>
        <v>210.9</v>
      </c>
      <c r="AK3" s="12">
        <f>All_India_Index_Upto_April23__1___14[[#This Row],[Miscellaneous]]+All_India_Index_Upto_April23__1___14[[#This Row],[Personal care and effects]]+All_India_Index_Upto_April23__1___14[[#This Row],[Education]]+All_India_Index_Upto_April23__1___14[[#This Row],[Recreation and amusement]]</f>
        <v>414.4</v>
      </c>
      <c r="AL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2624.7</v>
      </c>
    </row>
    <row r="4" spans="1:38" hidden="1" x14ac:dyDescent="0.3">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s="12">
        <f>AVERAGE(All_India_Index_Upto_April23__1___14[[#This Row],[Cereals and products]:[Pan, tobacco and intoxicants]])</f>
        <v>105.60000000000001</v>
      </c>
      <c r="AF4" s="12">
        <f>AVERAGE(All_India_Index_Upto_April23__1___14[[#This Row],[Household goods and services]],All_India_Index_Upto_April23__1___14[[#This Row],[Housing]])</f>
        <v>102.55</v>
      </c>
      <c r="AG4" s="12">
        <f>AVERAGE(All_India_Index_Upto_April23__1___14[[#This Row],[Miscellaneous]],All_India_Index_Upto_April23__1___14[[#This Row],[Personal care and effects]],All_India_Index_Upto_April23__1___14[[#This Row],[Education]],All_India_Index_Upto_April23__1___14[[#This Row],[Recreation and amusement]])</f>
        <v>103.77500000000001</v>
      </c>
      <c r="AH4" s="12">
        <f>SUM(All_India_Index_Upto_April23__1___14[[#This Row],[Cereals and products]:[Pan, tobacco and intoxicants]])</f>
        <v>1478.4</v>
      </c>
      <c r="AI4" s="12">
        <f>SUM(All_India_Index_Upto_April23__1___14[[#This Row],[Household goods and services]],All_India_Index_Upto_April23__1___14[[#This Row],[Housing]])</f>
        <v>205.1</v>
      </c>
      <c r="AJ4" s="12">
        <f>All_India_Index_Upto_April23__1___14[[#This Row],[Clothing]]+All_India_Index_Upto_April23__1___14[[#This Row],[Footwear]]</f>
        <v>211.8</v>
      </c>
      <c r="AK4" s="12">
        <f>All_India_Index_Upto_April23__1___14[[#This Row],[Miscellaneous]]+All_India_Index_Upto_April23__1___14[[#This Row],[Personal care and effects]]+All_India_Index_Upto_April23__1___14[[#This Row],[Education]]+All_India_Index_Upto_April23__1___14[[#This Row],[Recreation and amusement]]</f>
        <v>415.1</v>
      </c>
      <c r="AL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2623.1</v>
      </c>
    </row>
    <row r="5" spans="1:38" hidden="1" x14ac:dyDescent="0.3">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s="12">
        <f>'Handle Missing Value Sheet only'!$F$5</f>
        <v>139.27096774193564</v>
      </c>
      <c r="V5">
        <v>106.2</v>
      </c>
      <c r="W5">
        <v>105.2</v>
      </c>
      <c r="X5">
        <v>104.4</v>
      </c>
      <c r="Y5">
        <v>103.9</v>
      </c>
      <c r="Z5">
        <v>104</v>
      </c>
      <c r="AA5">
        <v>104.1</v>
      </c>
      <c r="AB5">
        <v>104.6</v>
      </c>
      <c r="AC5">
        <v>104.4</v>
      </c>
      <c r="AD5">
        <v>105.8</v>
      </c>
      <c r="AE5" s="12">
        <f>AVERAGE(All_India_Index_Upto_April23__1___14[[#This Row],[Cereals and products]:[Pan, tobacco and intoxicants]])</f>
        <v>106.14285714285712</v>
      </c>
      <c r="AF5" s="12">
        <f>AVERAGE(All_India_Index_Upto_April23__1___14[[#This Row],[Household goods and services]],All_India_Index_Upto_April23__1___14[[#This Row],[Housing]])</f>
        <v>122.23548387096781</v>
      </c>
      <c r="AG5" s="12">
        <f>AVERAGE(All_India_Index_Upto_April23__1___14[[#This Row],[Miscellaneous]],All_India_Index_Upto_April23__1___14[[#This Row],[Personal care and effects]],All_India_Index_Upto_April23__1___14[[#This Row],[Education]],All_India_Index_Upto_April23__1___14[[#This Row],[Recreation and amusement]])</f>
        <v>104.27500000000001</v>
      </c>
      <c r="AH5" s="12">
        <f>SUM(All_India_Index_Upto_April23__1___14[[#This Row],[Cereals and products]:[Pan, tobacco and intoxicants]])</f>
        <v>1485.9999999999998</v>
      </c>
      <c r="AI5" s="12">
        <f>SUM(All_India_Index_Upto_April23__1___14[[#This Row],[Household goods and services]],All_India_Index_Upto_April23__1___14[[#This Row],[Housing]])</f>
        <v>244.47096774193562</v>
      </c>
      <c r="AJ5" s="12">
        <f>All_India_Index_Upto_April23__1___14[[#This Row],[Clothing]]+All_India_Index_Upto_April23__1___14[[#This Row],[Footwear]]</f>
        <v>213.39999999999998</v>
      </c>
      <c r="AK5" s="12">
        <f>All_India_Index_Upto_April23__1___14[[#This Row],[Miscellaneous]]+All_India_Index_Upto_April23__1___14[[#This Row],[Personal care and effects]]+All_India_Index_Upto_April23__1___14[[#This Row],[Education]]+All_India_Index_Upto_April23__1___14[[#This Row],[Recreation and amusement]]</f>
        <v>417.1</v>
      </c>
      <c r="AL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2675.4709677419355</v>
      </c>
    </row>
    <row r="6" spans="1:38" hidden="1" x14ac:dyDescent="0.3">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s="12">
        <f>AVERAGE(All_India_Index_Upto_April23__1___14[[#This Row],[Cereals and products]:[Pan, tobacco and intoxicants]])</f>
        <v>106.9</v>
      </c>
      <c r="AF6" s="12">
        <f>AVERAGE(All_India_Index_Upto_April23__1___14[[#This Row],[Household goods and services]],All_India_Index_Upto_April23__1___14[[#This Row],[Housing]])</f>
        <v>102.80000000000001</v>
      </c>
      <c r="AG6" s="12">
        <f>AVERAGE(All_India_Index_Upto_April23__1___14[[#This Row],[Miscellaneous]],All_India_Index_Upto_April23__1___14[[#This Row],[Personal care and effects]],All_India_Index_Upto_April23__1___14[[#This Row],[Education]],All_India_Index_Upto_April23__1___14[[#This Row],[Recreation and amusement]])</f>
        <v>103.9</v>
      </c>
      <c r="AH6" s="12">
        <f>SUM(All_India_Index_Upto_April23__1___14[[#This Row],[Cereals and products]:[Pan, tobacco and intoxicants]])</f>
        <v>1496.6000000000001</v>
      </c>
      <c r="AI6" s="12">
        <f>SUM(All_India_Index_Upto_April23__1___14[[#This Row],[Household goods and services]],All_India_Index_Upto_April23__1___14[[#This Row],[Housing]])</f>
        <v>205.60000000000002</v>
      </c>
      <c r="AJ6" s="12">
        <f>All_India_Index_Upto_April23__1___14[[#This Row],[Clothing]]+All_India_Index_Upto_April23__1___14[[#This Row],[Footwear]]</f>
        <v>212.1</v>
      </c>
      <c r="AK6" s="12">
        <f>All_India_Index_Upto_April23__1___14[[#This Row],[Miscellaneous]]+All_India_Index_Upto_April23__1___14[[#This Row],[Personal care and effects]]+All_India_Index_Upto_April23__1___14[[#This Row],[Education]]+All_India_Index_Upto_April23__1___14[[#This Row],[Recreation and amusement]]</f>
        <v>415.6</v>
      </c>
      <c r="AL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2644.7</v>
      </c>
    </row>
    <row r="7" spans="1:38" hidden="1" x14ac:dyDescent="0.3">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s="12">
        <f>AVERAGE(All_India_Index_Upto_April23__1___14[[#This Row],[Cereals and products]:[Pan, tobacco and intoxicants]])</f>
        <v>106.42142857142858</v>
      </c>
      <c r="AF7" s="12">
        <f>AVERAGE(All_India_Index_Upto_April23__1___14[[#This Row],[Household goods and services]],All_India_Index_Upto_April23__1___14[[#This Row],[Housing]])</f>
        <v>102.80000000000001</v>
      </c>
      <c r="AG7" s="12">
        <f>AVERAGE(All_India_Index_Upto_April23__1___14[[#This Row],[Miscellaneous]],All_India_Index_Upto_April23__1___14[[#This Row],[Personal care and effects]],All_India_Index_Upto_April23__1___14[[#This Row],[Education]],All_India_Index_Upto_April23__1___14[[#This Row],[Recreation and amusement]])</f>
        <v>104.1</v>
      </c>
      <c r="AH7" s="12">
        <f>SUM(All_India_Index_Upto_April23__1___14[[#This Row],[Cereals and products]:[Pan, tobacco and intoxicants]])</f>
        <v>1489.9</v>
      </c>
      <c r="AI7" s="12">
        <f>SUM(All_India_Index_Upto_April23__1___14[[#This Row],[Household goods and services]],All_India_Index_Upto_April23__1___14[[#This Row],[Housing]])</f>
        <v>205.60000000000002</v>
      </c>
      <c r="AJ7" s="12">
        <f>All_India_Index_Upto_April23__1___14[[#This Row],[Clothing]]+All_India_Index_Upto_April23__1___14[[#This Row],[Footwear]]</f>
        <v>212.9</v>
      </c>
      <c r="AK7" s="12">
        <f>All_India_Index_Upto_April23__1___14[[#This Row],[Miscellaneous]]+All_India_Index_Upto_April23__1___14[[#This Row],[Personal care and effects]]+All_India_Index_Upto_April23__1___14[[#This Row],[Education]]+All_India_Index_Upto_April23__1___14[[#This Row],[Recreation and amusement]]</f>
        <v>416.4</v>
      </c>
      <c r="AL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2639.5</v>
      </c>
    </row>
    <row r="8" spans="1:38" hidden="1" x14ac:dyDescent="0.3">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s="12">
        <f>'Handle Missing Value Sheet only'!$F$5</f>
        <v>139.27096774193564</v>
      </c>
      <c r="V8">
        <v>106.1</v>
      </c>
      <c r="W8">
        <v>105.6</v>
      </c>
      <c r="X8">
        <v>104.7</v>
      </c>
      <c r="Y8">
        <v>104.6</v>
      </c>
      <c r="Z8">
        <v>104</v>
      </c>
      <c r="AA8">
        <v>104.3</v>
      </c>
      <c r="AB8">
        <v>104.3</v>
      </c>
      <c r="AC8">
        <v>104.6</v>
      </c>
      <c r="AD8">
        <v>106</v>
      </c>
      <c r="AE8" s="12">
        <f>AVERAGE(All_India_Index_Upto_April23__1___14[[#This Row],[Cereals and products]:[Pan, tobacco and intoxicants]])</f>
        <v>106.33571428571429</v>
      </c>
      <c r="AF8" s="12">
        <f>AVERAGE(All_India_Index_Upto_April23__1___14[[#This Row],[Household goods and services]],All_India_Index_Upto_April23__1___14[[#This Row],[Housing]])</f>
        <v>122.43548387096781</v>
      </c>
      <c r="AG8" s="12">
        <f>AVERAGE(All_India_Index_Upto_April23__1___14[[#This Row],[Miscellaneous]],All_India_Index_Upto_April23__1___14[[#This Row],[Personal care and effects]],All_India_Index_Upto_April23__1___14[[#This Row],[Education]],All_India_Index_Upto_April23__1___14[[#This Row],[Recreation and amusement]])</f>
        <v>104.3</v>
      </c>
      <c r="AH8" s="12">
        <f>SUM(All_India_Index_Upto_April23__1___14[[#This Row],[Cereals and products]:[Pan, tobacco and intoxicants]])</f>
        <v>1488.7</v>
      </c>
      <c r="AI8" s="12">
        <f>SUM(All_India_Index_Upto_April23__1___14[[#This Row],[Household goods and services]],All_India_Index_Upto_April23__1___14[[#This Row],[Housing]])</f>
        <v>244.87096774193563</v>
      </c>
      <c r="AJ8" s="12">
        <f>All_India_Index_Upto_April23__1___14[[#This Row],[Clothing]]+All_India_Index_Upto_April23__1___14[[#This Row],[Footwear]]</f>
        <v>214.39999999999998</v>
      </c>
      <c r="AK8" s="12">
        <f>All_India_Index_Upto_April23__1___14[[#This Row],[Miscellaneous]]+All_India_Index_Upto_April23__1___14[[#This Row],[Personal care and effects]]+All_India_Index_Upto_April23__1___14[[#This Row],[Education]]+All_India_Index_Upto_April23__1___14[[#This Row],[Recreation and amusement]]</f>
        <v>417.2</v>
      </c>
      <c r="AL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2680.5709677419354</v>
      </c>
    </row>
    <row r="9" spans="1:38" hidden="1" x14ac:dyDescent="0.3">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s="12">
        <f>AVERAGE(All_India_Index_Upto_April23__1___14[[#This Row],[Cereals and products]:[Pan, tobacco and intoxicants]])</f>
        <v>106.68571428571428</v>
      </c>
      <c r="AF9" s="12">
        <f>AVERAGE(All_India_Index_Upto_April23__1___14[[#This Row],[Household goods and services]],All_India_Index_Upto_April23__1___14[[#This Row],[Housing]])</f>
        <v>103.05000000000001</v>
      </c>
      <c r="AG9" s="12">
        <f>AVERAGE(All_India_Index_Upto_April23__1___14[[#This Row],[Miscellaneous]],All_India_Index_Upto_April23__1___14[[#This Row],[Personal care and effects]],All_India_Index_Upto_April23__1___14[[#This Row],[Education]],All_India_Index_Upto_April23__1___14[[#This Row],[Recreation and amusement]])</f>
        <v>104.10000000000001</v>
      </c>
      <c r="AH9" s="12">
        <f>SUM(All_India_Index_Upto_April23__1___14[[#This Row],[Cereals and products]:[Pan, tobacco and intoxicants]])</f>
        <v>1493.6</v>
      </c>
      <c r="AI9" s="12">
        <f>SUM(All_India_Index_Upto_April23__1___14[[#This Row],[Household goods and services]],All_India_Index_Upto_April23__1___14[[#This Row],[Housing]])</f>
        <v>206.10000000000002</v>
      </c>
      <c r="AJ9" s="12">
        <f>All_India_Index_Upto_April23__1___14[[#This Row],[Clothing]]+All_India_Index_Upto_April23__1___14[[#This Row],[Footwear]]</f>
        <v>213.2</v>
      </c>
      <c r="AK9" s="12">
        <f>All_India_Index_Upto_April23__1___14[[#This Row],[Miscellaneous]]+All_India_Index_Upto_April23__1___14[[#This Row],[Personal care and effects]]+All_India_Index_Upto_April23__1___14[[#This Row],[Education]]+All_India_Index_Upto_April23__1___14[[#This Row],[Recreation and amusement]]</f>
        <v>416.40000000000003</v>
      </c>
      <c r="AL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2646</v>
      </c>
    </row>
    <row r="10" spans="1:38" hidden="1" x14ac:dyDescent="0.3">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s="12">
        <f>AVERAGE(All_India_Index_Upto_April23__1___14[[#This Row],[Cereals and products]:[Pan, tobacco and intoxicants]])</f>
        <v>106.47142857142858</v>
      </c>
      <c r="AF10" s="12">
        <f>AVERAGE(All_India_Index_Upto_April23__1___14[[#This Row],[Household goods and services]],All_India_Index_Upto_April23__1___14[[#This Row],[Housing]])</f>
        <v>103</v>
      </c>
      <c r="AG10" s="12">
        <f>AVERAGE(All_India_Index_Upto_April23__1___14[[#This Row],[Miscellaneous]],All_India_Index_Upto_April23__1___14[[#This Row],[Personal care and effects]],All_India_Index_Upto_April23__1___14[[#This Row],[Education]],All_India_Index_Upto_April23__1___14[[#This Row],[Recreation and amusement]])</f>
        <v>104.175</v>
      </c>
      <c r="AH10" s="12">
        <f>SUM(All_India_Index_Upto_April23__1___14[[#This Row],[Cereals and products]:[Pan, tobacco and intoxicants]])</f>
        <v>1490.6000000000001</v>
      </c>
      <c r="AI10" s="12">
        <f>SUM(All_India_Index_Upto_April23__1___14[[#This Row],[Household goods and services]],All_India_Index_Upto_April23__1___14[[#This Row],[Housing]])</f>
        <v>206</v>
      </c>
      <c r="AJ10" s="12">
        <f>All_India_Index_Upto_April23__1___14[[#This Row],[Clothing]]+All_India_Index_Upto_April23__1___14[[#This Row],[Footwear]]</f>
        <v>213.9</v>
      </c>
      <c r="AK10" s="12">
        <f>All_India_Index_Upto_April23__1___14[[#This Row],[Miscellaneous]]+All_India_Index_Upto_April23__1___14[[#This Row],[Personal care and effects]]+All_India_Index_Upto_April23__1___14[[#This Row],[Education]]+All_India_Index_Upto_April23__1___14[[#This Row],[Recreation and amusement]]</f>
        <v>416.7</v>
      </c>
      <c r="AL1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2643.3</v>
      </c>
    </row>
    <row r="11" spans="1:38" hidden="1" x14ac:dyDescent="0.3">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s="12">
        <f>'Handle Missing Value Sheet only'!$F$5</f>
        <v>139.27096774193564</v>
      </c>
      <c r="V11">
        <v>106.5</v>
      </c>
      <c r="W11">
        <v>106.1</v>
      </c>
      <c r="X11">
        <v>105.1</v>
      </c>
      <c r="Y11">
        <v>104.4</v>
      </c>
      <c r="Z11">
        <v>104.5</v>
      </c>
      <c r="AA11">
        <v>104.8</v>
      </c>
      <c r="AB11">
        <v>102.7</v>
      </c>
      <c r="AC11">
        <v>104.6</v>
      </c>
      <c r="AD11">
        <v>106.4</v>
      </c>
      <c r="AE11" s="12">
        <f>AVERAGE(All_India_Index_Upto_April23__1___14[[#This Row],[Cereals and products]:[Pan, tobacco and intoxicants]])</f>
        <v>106.63571428571427</v>
      </c>
      <c r="AF11" s="12">
        <f>AVERAGE(All_India_Index_Upto_April23__1___14[[#This Row],[Household goods and services]],All_India_Index_Upto_April23__1___14[[#This Row],[Housing]])</f>
        <v>122.68548387096781</v>
      </c>
      <c r="AG11" s="12">
        <f>AVERAGE(All_India_Index_Upto_April23__1___14[[#This Row],[Miscellaneous]],All_India_Index_Upto_April23__1___14[[#This Row],[Personal care and effects]],All_India_Index_Upto_April23__1___14[[#This Row],[Education]],All_India_Index_Upto_April23__1___14[[#This Row],[Recreation and amusement]])</f>
        <v>104.15</v>
      </c>
      <c r="AH11" s="12">
        <f>SUM(All_India_Index_Upto_April23__1___14[[#This Row],[Cereals and products]:[Pan, tobacco and intoxicants]])</f>
        <v>1492.8999999999999</v>
      </c>
      <c r="AI11" s="12">
        <f>SUM(All_India_Index_Upto_April23__1___14[[#This Row],[Household goods and services]],All_India_Index_Upto_April23__1___14[[#This Row],[Housing]])</f>
        <v>245.37096774193563</v>
      </c>
      <c r="AJ11" s="12">
        <f>All_India_Index_Upto_April23__1___14[[#This Row],[Clothing]]+All_India_Index_Upto_April23__1___14[[#This Row],[Footwear]]</f>
        <v>215.5</v>
      </c>
      <c r="AK11" s="12">
        <f>All_India_Index_Upto_April23__1___14[[#This Row],[Miscellaneous]]+All_India_Index_Upto_April23__1___14[[#This Row],[Personal care and effects]]+All_India_Index_Upto_April23__1___14[[#This Row],[Education]]+All_India_Index_Upto_April23__1___14[[#This Row],[Recreation and amusement]]</f>
        <v>416.6</v>
      </c>
      <c r="AL1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2686.3709677419356</v>
      </c>
    </row>
    <row r="12" spans="1:38" hidden="1" x14ac:dyDescent="0.3">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s="12">
        <f>AVERAGE(All_India_Index_Upto_April23__1___14[[#This Row],[Cereals and products]:[Pan, tobacco and intoxicants]])</f>
        <v>107.58571428571427</v>
      </c>
      <c r="AF12" s="12">
        <f>AVERAGE(All_India_Index_Upto_April23__1___14[[#This Row],[Household goods and services]],All_India_Index_Upto_April23__1___14[[#This Row],[Housing]])</f>
        <v>103.5</v>
      </c>
      <c r="AG12" s="12">
        <f>AVERAGE(All_India_Index_Upto_April23__1___14[[#This Row],[Miscellaneous]],All_India_Index_Upto_April23__1___14[[#This Row],[Personal care and effects]],All_India_Index_Upto_April23__1___14[[#This Row],[Education]],All_India_Index_Upto_April23__1___14[[#This Row],[Recreation and amusement]])</f>
        <v>104.375</v>
      </c>
      <c r="AH12" s="12">
        <f>SUM(All_India_Index_Upto_April23__1___14[[#This Row],[Cereals and products]:[Pan, tobacco and intoxicants]])</f>
        <v>1506.1999999999998</v>
      </c>
      <c r="AI12" s="12">
        <f>SUM(All_India_Index_Upto_April23__1___14[[#This Row],[Household goods and services]],All_India_Index_Upto_April23__1___14[[#This Row],[Housing]])</f>
        <v>207</v>
      </c>
      <c r="AJ12" s="12">
        <f>All_India_Index_Upto_April23__1___14[[#This Row],[Clothing]]+All_India_Index_Upto_April23__1___14[[#This Row],[Footwear]]</f>
        <v>214.3</v>
      </c>
      <c r="AK12" s="12">
        <f>All_India_Index_Upto_April23__1___14[[#This Row],[Miscellaneous]]+All_India_Index_Upto_April23__1___14[[#This Row],[Personal care and effects]]+All_India_Index_Upto_April23__1___14[[#This Row],[Education]]+All_India_Index_Upto_April23__1___14[[#This Row],[Recreation and amusement]]</f>
        <v>417.5</v>
      </c>
      <c r="AL1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2662.1</v>
      </c>
    </row>
    <row r="13" spans="1:38" hidden="1" x14ac:dyDescent="0.3">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s="12">
        <f>AVERAGE(All_India_Index_Upto_April23__1___14[[#This Row],[Cereals and products]:[Pan, tobacco and intoxicants]])</f>
        <v>106.97857142857143</v>
      </c>
      <c r="AF13" s="12">
        <f>AVERAGE(All_India_Index_Upto_April23__1___14[[#This Row],[Household goods and services]],All_India_Index_Upto_April23__1___14[[#This Row],[Housing]])</f>
        <v>103.4</v>
      </c>
      <c r="AG13" s="12">
        <f>AVERAGE(All_India_Index_Upto_April23__1___14[[#This Row],[Miscellaneous]],All_India_Index_Upto_April23__1___14[[#This Row],[Personal care and effects]],All_India_Index_Upto_April23__1___14[[#This Row],[Education]],All_India_Index_Upto_April23__1___14[[#This Row],[Recreation and amusement]])</f>
        <v>104.22499999999999</v>
      </c>
      <c r="AH13" s="12">
        <f>SUM(All_India_Index_Upto_April23__1___14[[#This Row],[Cereals and products]:[Pan, tobacco and intoxicants]])</f>
        <v>1497.7</v>
      </c>
      <c r="AI13" s="12">
        <f>SUM(All_India_Index_Upto_April23__1___14[[#This Row],[Household goods and services]],All_India_Index_Upto_April23__1___14[[#This Row],[Housing]])</f>
        <v>206.8</v>
      </c>
      <c r="AJ13" s="12">
        <f>All_India_Index_Upto_April23__1___14[[#This Row],[Clothing]]+All_India_Index_Upto_April23__1___14[[#This Row],[Footwear]]</f>
        <v>215</v>
      </c>
      <c r="AK13" s="12">
        <f>All_India_Index_Upto_April23__1___14[[#This Row],[Miscellaneous]]+All_India_Index_Upto_April23__1___14[[#This Row],[Personal care and effects]]+All_India_Index_Upto_April23__1___14[[#This Row],[Education]]+All_India_Index_Upto_April23__1___14[[#This Row],[Recreation and amusement]]</f>
        <v>416.9</v>
      </c>
      <c r="AL1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2652.9</v>
      </c>
    </row>
    <row r="14" spans="1:38" hidden="1" x14ac:dyDescent="0.3">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s="12">
        <f>'Handle Missing Value Sheet only'!$F$5</f>
        <v>139.27096774193564</v>
      </c>
      <c r="V14">
        <v>107.5</v>
      </c>
      <c r="W14">
        <v>106.8</v>
      </c>
      <c r="X14">
        <v>105.7</v>
      </c>
      <c r="Y14">
        <v>104.1</v>
      </c>
      <c r="Z14">
        <v>105</v>
      </c>
      <c r="AA14">
        <v>105.5</v>
      </c>
      <c r="AB14">
        <v>102.1</v>
      </c>
      <c r="AC14">
        <v>104.8</v>
      </c>
      <c r="AD14">
        <v>107.2</v>
      </c>
      <c r="AE14" s="12">
        <f>AVERAGE(All_India_Index_Upto_April23__1___14[[#This Row],[Cereals and products]:[Pan, tobacco and intoxicants]])</f>
        <v>107.29285714285713</v>
      </c>
      <c r="AF14" s="12">
        <f>AVERAGE(All_India_Index_Upto_April23__1___14[[#This Row],[Household goods and services]],All_India_Index_Upto_April23__1___14[[#This Row],[Housing]])</f>
        <v>123.03548387096782</v>
      </c>
      <c r="AG14" s="12">
        <f>AVERAGE(All_India_Index_Upto_April23__1___14[[#This Row],[Miscellaneous]],All_India_Index_Upto_April23__1___14[[#This Row],[Personal care and effects]],All_India_Index_Upto_April23__1___14[[#This Row],[Education]],All_India_Index_Upto_April23__1___14[[#This Row],[Recreation and amusement]])</f>
        <v>104.35</v>
      </c>
      <c r="AH14" s="12">
        <f>SUM(All_India_Index_Upto_April23__1___14[[#This Row],[Cereals and products]:[Pan, tobacco and intoxicants]])</f>
        <v>1502.1</v>
      </c>
      <c r="AI14" s="12">
        <f>SUM(All_India_Index_Upto_April23__1___14[[#This Row],[Household goods and services]],All_India_Index_Upto_April23__1___14[[#This Row],[Housing]])</f>
        <v>246.07096774193565</v>
      </c>
      <c r="AJ14" s="12">
        <f>All_India_Index_Upto_April23__1___14[[#This Row],[Clothing]]+All_India_Index_Upto_April23__1___14[[#This Row],[Footwear]]</f>
        <v>216.7</v>
      </c>
      <c r="AK14" s="12">
        <f>All_India_Index_Upto_April23__1___14[[#This Row],[Miscellaneous]]+All_India_Index_Upto_April23__1___14[[#This Row],[Personal care and effects]]+All_India_Index_Upto_April23__1___14[[#This Row],[Education]]+All_India_Index_Upto_April23__1___14[[#This Row],[Recreation and amusement]]</f>
        <v>417.4</v>
      </c>
      <c r="AL1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2699.570967741935</v>
      </c>
    </row>
    <row r="15" spans="1:38" hidden="1" x14ac:dyDescent="0.3">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s="12">
        <f>AVERAGE(All_India_Index_Upto_April23__1___14[[#This Row],[Cereals and products]:[Pan, tobacco and intoxicants]])</f>
        <v>109.07142857142856</v>
      </c>
      <c r="AF15" s="12">
        <f>AVERAGE(All_India_Index_Upto_April23__1___14[[#This Row],[Household goods and services]],All_India_Index_Upto_April23__1___14[[#This Row],[Housing]])</f>
        <v>103.8</v>
      </c>
      <c r="AG15" s="12">
        <f>AVERAGE(All_India_Index_Upto_April23__1___14[[#This Row],[Miscellaneous]],All_India_Index_Upto_April23__1___14[[#This Row],[Personal care and effects]],All_India_Index_Upto_April23__1___14[[#This Row],[Education]],All_India_Index_Upto_April23__1___14[[#This Row],[Recreation and amusement]])</f>
        <v>104.44999999999999</v>
      </c>
      <c r="AH15" s="12">
        <f>SUM(All_India_Index_Upto_April23__1___14[[#This Row],[Cereals and products]:[Pan, tobacco and intoxicants]])</f>
        <v>1526.9999999999998</v>
      </c>
      <c r="AI15" s="12">
        <f>SUM(All_India_Index_Upto_April23__1___14[[#This Row],[Household goods and services]],All_India_Index_Upto_April23__1___14[[#This Row],[Housing]])</f>
        <v>207.6</v>
      </c>
      <c r="AJ15" s="12">
        <f>All_India_Index_Upto_April23__1___14[[#This Row],[Clothing]]+All_India_Index_Upto_April23__1___14[[#This Row],[Footwear]]</f>
        <v>215.2</v>
      </c>
      <c r="AK15" s="12">
        <f>All_India_Index_Upto_April23__1___14[[#This Row],[Miscellaneous]]+All_India_Index_Upto_April23__1___14[[#This Row],[Personal care and effects]]+All_India_Index_Upto_April23__1___14[[#This Row],[Education]]+All_India_Index_Upto_April23__1___14[[#This Row],[Recreation and amusement]]</f>
        <v>417.79999999999995</v>
      </c>
      <c r="AL1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2684.8999999999996</v>
      </c>
    </row>
    <row r="16" spans="1:38" hidden="1" x14ac:dyDescent="0.3">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s="12">
        <f>AVERAGE(All_India_Index_Upto_April23__1___14[[#This Row],[Cereals and products]:[Pan, tobacco and intoxicants]])</f>
        <v>107.9142857142857</v>
      </c>
      <c r="AF16" s="12">
        <f>AVERAGE(All_India_Index_Upto_April23__1___14[[#This Row],[Household goods and services]],All_India_Index_Upto_April23__1___14[[#This Row],[Housing]])</f>
        <v>103.7</v>
      </c>
      <c r="AG16" s="12">
        <f>AVERAGE(All_India_Index_Upto_April23__1___14[[#This Row],[Miscellaneous]],All_India_Index_Upto_April23__1___14[[#This Row],[Personal care and effects]],All_India_Index_Upto_April23__1___14[[#This Row],[Education]],All_India_Index_Upto_April23__1___14[[#This Row],[Recreation and amusement]])</f>
        <v>104.375</v>
      </c>
      <c r="AH16" s="12">
        <f>SUM(All_India_Index_Upto_April23__1___14[[#This Row],[Cereals and products]:[Pan, tobacco and intoxicants]])</f>
        <v>1510.7999999999997</v>
      </c>
      <c r="AI16" s="12">
        <f>SUM(All_India_Index_Upto_April23__1___14[[#This Row],[Household goods and services]],All_India_Index_Upto_April23__1___14[[#This Row],[Housing]])</f>
        <v>207.4</v>
      </c>
      <c r="AJ16" s="12">
        <f>All_India_Index_Upto_April23__1___14[[#This Row],[Clothing]]+All_India_Index_Upto_April23__1___14[[#This Row],[Footwear]]</f>
        <v>216.10000000000002</v>
      </c>
      <c r="AK16" s="12">
        <f>All_India_Index_Upto_April23__1___14[[#This Row],[Miscellaneous]]+All_India_Index_Upto_April23__1___14[[#This Row],[Personal care and effects]]+All_India_Index_Upto_April23__1___14[[#This Row],[Education]]+All_India_Index_Upto_April23__1___14[[#This Row],[Recreation and amusement]]</f>
        <v>417.5</v>
      </c>
      <c r="AL1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2669.1</v>
      </c>
    </row>
    <row r="17" spans="1:38" hidden="1" x14ac:dyDescent="0.3">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s="12">
        <f>'Handle Missing Value Sheet only'!$F$5</f>
        <v>139.27096774193564</v>
      </c>
      <c r="V17">
        <v>108.5</v>
      </c>
      <c r="W17">
        <v>107.5</v>
      </c>
      <c r="X17">
        <v>106.3</v>
      </c>
      <c r="Y17">
        <v>105</v>
      </c>
      <c r="Z17">
        <v>105.6</v>
      </c>
      <c r="AA17">
        <v>106.5</v>
      </c>
      <c r="AB17">
        <v>102.5</v>
      </c>
      <c r="AC17">
        <v>105.5</v>
      </c>
      <c r="AD17">
        <v>108.9</v>
      </c>
      <c r="AE17" s="12">
        <f>AVERAGE(All_India_Index_Upto_April23__1___14[[#This Row],[Cereals and products]:[Pan, tobacco and intoxicants]])</f>
        <v>109.21428571428571</v>
      </c>
      <c r="AF17" s="12">
        <f>AVERAGE(All_India_Index_Upto_April23__1___14[[#This Row],[Household goods and services]],All_India_Index_Upto_April23__1___14[[#This Row],[Housing]])</f>
        <v>123.38548387096782</v>
      </c>
      <c r="AG17" s="12">
        <f>AVERAGE(All_India_Index_Upto_April23__1___14[[#This Row],[Miscellaneous]],All_India_Index_Upto_April23__1___14[[#This Row],[Personal care and effects]],All_India_Index_Upto_April23__1___14[[#This Row],[Education]],All_India_Index_Upto_April23__1___14[[#This Row],[Recreation and amusement]])</f>
        <v>105.02500000000001</v>
      </c>
      <c r="AH17" s="12">
        <f>SUM(All_India_Index_Upto_April23__1___14[[#This Row],[Cereals and products]:[Pan, tobacco and intoxicants]])</f>
        <v>1529</v>
      </c>
      <c r="AI17" s="12">
        <f>SUM(All_India_Index_Upto_April23__1___14[[#This Row],[Household goods and services]],All_India_Index_Upto_April23__1___14[[#This Row],[Housing]])</f>
        <v>246.77096774193564</v>
      </c>
      <c r="AJ17" s="12">
        <f>All_India_Index_Upto_April23__1___14[[#This Row],[Clothing]]+All_India_Index_Upto_April23__1___14[[#This Row],[Footwear]]</f>
        <v>218.5</v>
      </c>
      <c r="AK17" s="12">
        <f>All_India_Index_Upto_April23__1___14[[#This Row],[Miscellaneous]]+All_India_Index_Upto_April23__1___14[[#This Row],[Personal care and effects]]+All_India_Index_Upto_April23__1___14[[#This Row],[Education]]+All_India_Index_Upto_April23__1___14[[#This Row],[Recreation and amusement]]</f>
        <v>420.1</v>
      </c>
      <c r="AL1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2734.1709677419358</v>
      </c>
    </row>
    <row r="18" spans="1:38" hidden="1" x14ac:dyDescent="0.3">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s="12">
        <f>AVERAGE(All_India_Index_Upto_April23__1___14[[#This Row],[Cereals and products]:[Pan, tobacco and intoxicants]])</f>
        <v>112.53571428571431</v>
      </c>
      <c r="AF18" s="12">
        <f>AVERAGE(All_India_Index_Upto_April23__1___14[[#This Row],[Household goods and services]],All_India_Index_Upto_April23__1___14[[#This Row],[Housing]])</f>
        <v>107.15</v>
      </c>
      <c r="AG18" s="12">
        <f>AVERAGE(All_India_Index_Upto_April23__1___14[[#This Row],[Miscellaneous]],All_India_Index_Upto_April23__1___14[[#This Row],[Personal care and effects]],All_India_Index_Upto_April23__1___14[[#This Row],[Education]],All_India_Index_Upto_April23__1___14[[#This Row],[Recreation and amusement]])</f>
        <v>105.675</v>
      </c>
      <c r="AH18" s="12">
        <f>SUM(All_India_Index_Upto_April23__1___14[[#This Row],[Cereals and products]:[Pan, tobacco and intoxicants]])</f>
        <v>1575.5000000000002</v>
      </c>
      <c r="AI18" s="12">
        <f>SUM(All_India_Index_Upto_April23__1___14[[#This Row],[Household goods and services]],All_India_Index_Upto_April23__1___14[[#This Row],[Housing]])</f>
        <v>214.3</v>
      </c>
      <c r="AJ18" s="12">
        <f>All_India_Index_Upto_April23__1___14[[#This Row],[Clothing]]+All_India_Index_Upto_April23__1___14[[#This Row],[Footwear]]</f>
        <v>216.4</v>
      </c>
      <c r="AK18" s="12">
        <f>All_India_Index_Upto_April23__1___14[[#This Row],[Miscellaneous]]+All_India_Index_Upto_April23__1___14[[#This Row],[Personal care and effects]]+All_India_Index_Upto_April23__1___14[[#This Row],[Education]]+All_India_Index_Upto_April23__1___14[[#This Row],[Recreation and amusement]]</f>
        <v>422.7</v>
      </c>
      <c r="AL1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2748.6000000000004</v>
      </c>
    </row>
    <row r="19" spans="1:38" hidden="1" x14ac:dyDescent="0.3">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s="12">
        <f>AVERAGE(All_India_Index_Upto_April23__1___14[[#This Row],[Cereals and products]:[Pan, tobacco and intoxicants]])</f>
        <v>110.39285714285714</v>
      </c>
      <c r="AF19" s="12">
        <f>AVERAGE(All_India_Index_Upto_April23__1___14[[#This Row],[Household goods and services]],All_India_Index_Upto_April23__1___14[[#This Row],[Housing]])</f>
        <v>107.1</v>
      </c>
      <c r="AG19" s="12">
        <f>AVERAGE(All_India_Index_Upto_April23__1___14[[#This Row],[Miscellaneous]],All_India_Index_Upto_April23__1___14[[#This Row],[Personal care and effects]],All_India_Index_Upto_April23__1___14[[#This Row],[Education]],All_India_Index_Upto_April23__1___14[[#This Row],[Recreation and amusement]])</f>
        <v>105.35</v>
      </c>
      <c r="AH19" s="12">
        <f>SUM(All_India_Index_Upto_April23__1___14[[#This Row],[Cereals and products]:[Pan, tobacco and intoxicants]])</f>
        <v>1545.5</v>
      </c>
      <c r="AI19" s="12">
        <f>SUM(All_India_Index_Upto_April23__1___14[[#This Row],[Household goods and services]],All_India_Index_Upto_April23__1___14[[#This Row],[Housing]])</f>
        <v>214.2</v>
      </c>
      <c r="AJ19" s="12">
        <f>All_India_Index_Upto_April23__1___14[[#This Row],[Clothing]]+All_India_Index_Upto_April23__1___14[[#This Row],[Footwear]]</f>
        <v>217.6</v>
      </c>
      <c r="AK19" s="12">
        <f>All_India_Index_Upto_April23__1___14[[#This Row],[Miscellaneous]]+All_India_Index_Upto_April23__1___14[[#This Row],[Personal care and effects]]+All_India_Index_Upto_April23__1___14[[#This Row],[Education]]+All_India_Index_Upto_April23__1___14[[#This Row],[Recreation and amusement]]</f>
        <v>421.4</v>
      </c>
      <c r="AL1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2718.5</v>
      </c>
    </row>
    <row r="20" spans="1:38" hidden="1" x14ac:dyDescent="0.3">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s="12">
        <f>'Handle Missing Value Sheet only'!$F$5</f>
        <v>139.27096774193564</v>
      </c>
      <c r="V20">
        <v>109.5</v>
      </c>
      <c r="W20">
        <v>108.3</v>
      </c>
      <c r="X20">
        <v>106.9</v>
      </c>
      <c r="Y20">
        <v>106.8</v>
      </c>
      <c r="Z20">
        <v>106.4</v>
      </c>
      <c r="AA20">
        <v>107.8</v>
      </c>
      <c r="AB20">
        <v>102.5</v>
      </c>
      <c r="AC20">
        <v>106.5</v>
      </c>
      <c r="AD20">
        <v>110.7</v>
      </c>
      <c r="AE20" s="12">
        <f>AVERAGE(All_India_Index_Upto_April23__1___14[[#This Row],[Cereals and products]:[Pan, tobacco and intoxicants]])</f>
        <v>111.12142857142854</v>
      </c>
      <c r="AF20" s="12">
        <f>AVERAGE(All_India_Index_Upto_April23__1___14[[#This Row],[Household goods and services]],All_India_Index_Upto_April23__1___14[[#This Row],[Housing]])</f>
        <v>123.78548387096782</v>
      </c>
      <c r="AG20" s="12">
        <f>AVERAGE(All_India_Index_Upto_April23__1___14[[#This Row],[Miscellaneous]],All_India_Index_Upto_April23__1___14[[#This Row],[Personal care and effects]],All_India_Index_Upto_April23__1___14[[#This Row],[Education]],All_India_Index_Upto_April23__1___14[[#This Row],[Recreation and amusement]])</f>
        <v>105.80000000000001</v>
      </c>
      <c r="AH20" s="12">
        <f>SUM(All_India_Index_Upto_April23__1___14[[#This Row],[Cereals and products]:[Pan, tobacco and intoxicants]])</f>
        <v>1555.6999999999996</v>
      </c>
      <c r="AI20" s="12">
        <f>SUM(All_India_Index_Upto_April23__1___14[[#This Row],[Household goods and services]],All_India_Index_Upto_April23__1___14[[#This Row],[Housing]])</f>
        <v>247.57096774193565</v>
      </c>
      <c r="AJ20" s="12">
        <f>All_India_Index_Upto_April23__1___14[[#This Row],[Clothing]]+All_India_Index_Upto_April23__1___14[[#This Row],[Footwear]]</f>
        <v>220</v>
      </c>
      <c r="AK20" s="12">
        <f>All_India_Index_Upto_April23__1___14[[#This Row],[Miscellaneous]]+All_India_Index_Upto_April23__1___14[[#This Row],[Personal care and effects]]+All_India_Index_Upto_April23__1___14[[#This Row],[Education]]+All_India_Index_Upto_April23__1___14[[#This Row],[Recreation and amusement]]</f>
        <v>423.20000000000005</v>
      </c>
      <c r="AL2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2769.6709677419353</v>
      </c>
    </row>
    <row r="21" spans="1:38" hidden="1" x14ac:dyDescent="0.3">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s="12">
        <f>AVERAGE(All_India_Index_Upto_April23__1___14[[#This Row],[Cereals and products]:[Pan, tobacco and intoxicants]])</f>
        <v>114.36428571428573</v>
      </c>
      <c r="AF21" s="12">
        <f>AVERAGE(All_India_Index_Upto_April23__1___14[[#This Row],[Household goods and services]],All_India_Index_Upto_April23__1___14[[#This Row],[Housing]])</f>
        <v>107.9</v>
      </c>
      <c r="AG21" s="12">
        <f>AVERAGE(All_India_Index_Upto_April23__1___14[[#This Row],[Miscellaneous]],All_India_Index_Upto_April23__1___14[[#This Row],[Personal care and effects]],All_India_Index_Upto_April23__1___14[[#This Row],[Education]],All_India_Index_Upto_April23__1___14[[#This Row],[Recreation and amusement]])</f>
        <v>106.625</v>
      </c>
      <c r="AH21" s="12">
        <f>SUM(All_India_Index_Upto_April23__1___14[[#This Row],[Cereals and products]:[Pan, tobacco and intoxicants]])</f>
        <v>1601.1000000000001</v>
      </c>
      <c r="AI21" s="12">
        <f>SUM(All_India_Index_Upto_April23__1___14[[#This Row],[Household goods and services]],All_India_Index_Upto_April23__1___14[[#This Row],[Housing]])</f>
        <v>215.8</v>
      </c>
      <c r="AJ21" s="12">
        <f>All_India_Index_Upto_April23__1___14[[#This Row],[Clothing]]+All_India_Index_Upto_April23__1___14[[#This Row],[Footwear]]</f>
        <v>217.6</v>
      </c>
      <c r="AK21" s="12">
        <f>All_India_Index_Upto_April23__1___14[[#This Row],[Miscellaneous]]+All_India_Index_Upto_April23__1___14[[#This Row],[Personal care and effects]]+All_India_Index_Upto_April23__1___14[[#This Row],[Education]]+All_India_Index_Upto_April23__1___14[[#This Row],[Recreation and amusement]]</f>
        <v>426.5</v>
      </c>
      <c r="AL2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2784</v>
      </c>
    </row>
    <row r="22" spans="1:38" hidden="1" x14ac:dyDescent="0.3">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s="12">
        <f>AVERAGE(All_India_Index_Upto_April23__1___14[[#This Row],[Cereals and products]:[Pan, tobacco and intoxicants]])</f>
        <v>112.26428571428571</v>
      </c>
      <c r="AF22" s="12">
        <f>AVERAGE(All_India_Index_Upto_April23__1___14[[#This Row],[Household goods and services]],All_India_Index_Upto_April23__1___14[[#This Row],[Housing]])</f>
        <v>107.95</v>
      </c>
      <c r="AG22" s="12">
        <f>AVERAGE(All_India_Index_Upto_April23__1___14[[#This Row],[Miscellaneous]],All_India_Index_Upto_April23__1___14[[#This Row],[Personal care and effects]],All_India_Index_Upto_April23__1___14[[#This Row],[Education]],All_India_Index_Upto_April23__1___14[[#This Row],[Recreation and amusement]])</f>
        <v>106.22499999999999</v>
      </c>
      <c r="AH22" s="12">
        <f>SUM(All_India_Index_Upto_April23__1___14[[#This Row],[Cereals and products]:[Pan, tobacco and intoxicants]])</f>
        <v>1571.6999999999998</v>
      </c>
      <c r="AI22" s="12">
        <f>SUM(All_India_Index_Upto_April23__1___14[[#This Row],[Household goods and services]],All_India_Index_Upto_April23__1___14[[#This Row],[Housing]])</f>
        <v>215.9</v>
      </c>
      <c r="AJ22" s="12">
        <f>All_India_Index_Upto_April23__1___14[[#This Row],[Clothing]]+All_India_Index_Upto_April23__1___14[[#This Row],[Footwear]]</f>
        <v>219</v>
      </c>
      <c r="AK22" s="12">
        <f>All_India_Index_Upto_April23__1___14[[#This Row],[Miscellaneous]]+All_India_Index_Upto_April23__1___14[[#This Row],[Personal care and effects]]+All_India_Index_Upto_April23__1___14[[#This Row],[Education]]+All_India_Index_Upto_April23__1___14[[#This Row],[Recreation and amusement]]</f>
        <v>424.9</v>
      </c>
      <c r="AL2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2754.7999999999997</v>
      </c>
    </row>
    <row r="23" spans="1:38" hidden="1" x14ac:dyDescent="0.3">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s="12">
        <f>'Handle Missing Value Sheet only'!$F$5</f>
        <v>139.27096774193564</v>
      </c>
      <c r="V23">
        <v>109.9</v>
      </c>
      <c r="W23">
        <v>108.7</v>
      </c>
      <c r="X23">
        <v>107.5</v>
      </c>
      <c r="Y23">
        <v>107.8</v>
      </c>
      <c r="Z23">
        <v>106.8</v>
      </c>
      <c r="AA23">
        <v>108.7</v>
      </c>
      <c r="AB23">
        <v>105</v>
      </c>
      <c r="AC23">
        <v>107.5</v>
      </c>
      <c r="AD23">
        <v>112.1</v>
      </c>
      <c r="AE23" s="12">
        <f>AVERAGE(All_India_Index_Upto_April23__1___14[[#This Row],[Cereals and products]:[Pan, tobacco and intoxicants]])</f>
        <v>112.37142857142858</v>
      </c>
      <c r="AF23" s="12">
        <f>AVERAGE(All_India_Index_Upto_April23__1___14[[#This Row],[Household goods and services]],All_India_Index_Upto_April23__1___14[[#This Row],[Housing]])</f>
        <v>123.98548387096781</v>
      </c>
      <c r="AG23" s="12">
        <f>AVERAGE(All_India_Index_Upto_April23__1___14[[#This Row],[Miscellaneous]],All_India_Index_Upto_April23__1___14[[#This Row],[Personal care and effects]],All_India_Index_Upto_April23__1___14[[#This Row],[Education]],All_India_Index_Upto_April23__1___14[[#This Row],[Recreation and amusement]])</f>
        <v>107</v>
      </c>
      <c r="AH23" s="12">
        <f>SUM(All_India_Index_Upto_April23__1___14[[#This Row],[Cereals and products]:[Pan, tobacco and intoxicants]])</f>
        <v>1573.2</v>
      </c>
      <c r="AI23" s="12">
        <f>SUM(All_India_Index_Upto_April23__1___14[[#This Row],[Household goods and services]],All_India_Index_Upto_April23__1___14[[#This Row],[Housing]])</f>
        <v>247.97096774193562</v>
      </c>
      <c r="AJ23" s="12">
        <f>All_India_Index_Upto_April23__1___14[[#This Row],[Clothing]]+All_India_Index_Upto_April23__1___14[[#This Row],[Footwear]]</f>
        <v>221.5</v>
      </c>
      <c r="AK23" s="12">
        <f>All_India_Index_Upto_April23__1___14[[#This Row],[Miscellaneous]]+All_India_Index_Upto_April23__1___14[[#This Row],[Personal care and effects]]+All_India_Index_Upto_April23__1___14[[#This Row],[Education]]+All_India_Index_Upto_April23__1___14[[#This Row],[Recreation and amusement]]</f>
        <v>428</v>
      </c>
      <c r="AL2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2795.8709677419361</v>
      </c>
    </row>
    <row r="24" spans="1:38" hidden="1" x14ac:dyDescent="0.3">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s="12">
        <f>AVERAGE(All_India_Index_Upto_April23__1___14[[#This Row],[Cereals and products]:[Pan, tobacco and intoxicants]])</f>
        <v>115.60714285714288</v>
      </c>
      <c r="AF24" s="12">
        <f>AVERAGE(All_India_Index_Upto_April23__1___14[[#This Row],[Household goods and services]],All_India_Index_Upto_April23__1___14[[#This Row],[Housing]])</f>
        <v>108.80000000000001</v>
      </c>
      <c r="AG24" s="12">
        <f>AVERAGE(All_India_Index_Upto_April23__1___14[[#This Row],[Miscellaneous]],All_India_Index_Upto_April23__1___14[[#This Row],[Personal care and effects]],All_India_Index_Upto_April23__1___14[[#This Row],[Education]],All_India_Index_Upto_April23__1___14[[#This Row],[Recreation and amusement]])</f>
        <v>107.9</v>
      </c>
      <c r="AH24" s="12">
        <f>SUM(All_India_Index_Upto_April23__1___14[[#This Row],[Cereals and products]:[Pan, tobacco and intoxicants]])</f>
        <v>1618.5000000000002</v>
      </c>
      <c r="AI24" s="12">
        <f>SUM(All_India_Index_Upto_April23__1___14[[#This Row],[Household goods and services]],All_India_Index_Upto_April23__1___14[[#This Row],[Housing]])</f>
        <v>217.60000000000002</v>
      </c>
      <c r="AJ24" s="12">
        <f>All_India_Index_Upto_April23__1___14[[#This Row],[Clothing]]+All_India_Index_Upto_April23__1___14[[#This Row],[Footwear]]</f>
        <v>218.89999999999998</v>
      </c>
      <c r="AK24" s="12">
        <f>All_India_Index_Upto_April23__1___14[[#This Row],[Miscellaneous]]+All_India_Index_Upto_April23__1___14[[#This Row],[Personal care and effects]]+All_India_Index_Upto_April23__1___14[[#This Row],[Education]]+All_India_Index_Upto_April23__1___14[[#This Row],[Recreation and amusement]]</f>
        <v>431.6</v>
      </c>
      <c r="AL2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2811.6000000000004</v>
      </c>
    </row>
    <row r="25" spans="1:38" hidden="1" x14ac:dyDescent="0.3">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s="12">
        <f>AVERAGE(All_India_Index_Upto_April23__1___14[[#This Row],[Cereals and products]:[Pan, tobacco and intoxicants]])</f>
        <v>113.47142857142858</v>
      </c>
      <c r="AF25" s="12">
        <f>AVERAGE(All_India_Index_Upto_April23__1___14[[#This Row],[Household goods and services]],All_India_Index_Upto_April23__1___14[[#This Row],[Housing]])</f>
        <v>108.80000000000001</v>
      </c>
      <c r="AG25" s="12">
        <f>AVERAGE(All_India_Index_Upto_April23__1___14[[#This Row],[Miscellaneous]],All_India_Index_Upto_April23__1___14[[#This Row],[Personal care and effects]],All_India_Index_Upto_April23__1___14[[#This Row],[Education]],All_India_Index_Upto_April23__1___14[[#This Row],[Recreation and amusement]])</f>
        <v>107.45000000000002</v>
      </c>
      <c r="AH25" s="12">
        <f>SUM(All_India_Index_Upto_April23__1___14[[#This Row],[Cereals and products]:[Pan, tobacco and intoxicants]])</f>
        <v>1588.6000000000001</v>
      </c>
      <c r="AI25" s="12">
        <f>SUM(All_India_Index_Upto_April23__1___14[[#This Row],[Household goods and services]],All_India_Index_Upto_April23__1___14[[#This Row],[Housing]])</f>
        <v>217.60000000000002</v>
      </c>
      <c r="AJ25" s="12">
        <f>All_India_Index_Upto_April23__1___14[[#This Row],[Clothing]]+All_India_Index_Upto_April23__1___14[[#This Row],[Footwear]]</f>
        <v>220.4</v>
      </c>
      <c r="AK25" s="12">
        <f>All_India_Index_Upto_April23__1___14[[#This Row],[Miscellaneous]]+All_India_Index_Upto_April23__1___14[[#This Row],[Personal care and effects]]+All_India_Index_Upto_April23__1___14[[#This Row],[Education]]+All_India_Index_Upto_April23__1___14[[#This Row],[Recreation and amusement]]</f>
        <v>429.80000000000007</v>
      </c>
      <c r="AL2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2781.6</v>
      </c>
    </row>
    <row r="26" spans="1:38" hidden="1" x14ac:dyDescent="0.3">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s="12">
        <f>'Handle Missing Value Sheet only'!$F$5</f>
        <v>139.27096774193564</v>
      </c>
      <c r="V26">
        <v>111.1</v>
      </c>
      <c r="W26">
        <v>109.6</v>
      </c>
      <c r="X26">
        <v>108.3</v>
      </c>
      <c r="Y26">
        <v>109.3</v>
      </c>
      <c r="Z26">
        <v>107.7</v>
      </c>
      <c r="AA26">
        <v>109.8</v>
      </c>
      <c r="AB26">
        <v>106.7</v>
      </c>
      <c r="AC26">
        <v>108.7</v>
      </c>
      <c r="AD26">
        <v>114.2</v>
      </c>
      <c r="AE26" s="12">
        <f>AVERAGE(All_India_Index_Upto_April23__1___14[[#This Row],[Cereals and products]:[Pan, tobacco and intoxicants]])</f>
        <v>114.30000000000003</v>
      </c>
      <c r="AF26" s="12">
        <f>AVERAGE(All_India_Index_Upto_April23__1___14[[#This Row],[Household goods and services]],All_India_Index_Upto_April23__1___14[[#This Row],[Housing]])</f>
        <v>124.43548387096781</v>
      </c>
      <c r="AG26" s="12">
        <f>AVERAGE(All_India_Index_Upto_April23__1___14[[#This Row],[Miscellaneous]],All_India_Index_Upto_April23__1___14[[#This Row],[Personal care and effects]],All_India_Index_Upto_April23__1___14[[#This Row],[Education]],All_India_Index_Upto_April23__1___14[[#This Row],[Recreation and amusement]])</f>
        <v>108.22499999999999</v>
      </c>
      <c r="AH26" s="12">
        <f>SUM(All_India_Index_Upto_April23__1___14[[#This Row],[Cereals and products]:[Pan, tobacco and intoxicants]])</f>
        <v>1600.2000000000003</v>
      </c>
      <c r="AI26" s="12">
        <f>SUM(All_India_Index_Upto_April23__1___14[[#This Row],[Household goods and services]],All_India_Index_Upto_April23__1___14[[#This Row],[Housing]])</f>
        <v>248.87096774193563</v>
      </c>
      <c r="AJ26" s="12">
        <f>All_India_Index_Upto_April23__1___14[[#This Row],[Clothing]]+All_India_Index_Upto_April23__1___14[[#This Row],[Footwear]]</f>
        <v>224.10000000000002</v>
      </c>
      <c r="AK26" s="12">
        <f>All_India_Index_Upto_April23__1___14[[#This Row],[Miscellaneous]]+All_India_Index_Upto_April23__1___14[[#This Row],[Personal care and effects]]+All_India_Index_Upto_April23__1___14[[#This Row],[Education]]+All_India_Index_Upto_April23__1___14[[#This Row],[Recreation and amusement]]</f>
        <v>432.9</v>
      </c>
      <c r="AL2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2834.7709677419361</v>
      </c>
    </row>
    <row r="27" spans="1:38" hidden="1" x14ac:dyDescent="0.3">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s="12">
        <f>AVERAGE(All_India_Index_Upto_April23__1___14[[#This Row],[Cereals and products]:[Pan, tobacco and intoxicants]])</f>
        <v>115.23571428571429</v>
      </c>
      <c r="AF27" s="12">
        <f>AVERAGE(All_India_Index_Upto_April23__1___14[[#This Row],[Household goods and services]],All_India_Index_Upto_April23__1___14[[#This Row],[Housing]])</f>
        <v>109.65</v>
      </c>
      <c r="AG27" s="12">
        <f>AVERAGE(All_India_Index_Upto_April23__1___14[[#This Row],[Miscellaneous]],All_India_Index_Upto_April23__1___14[[#This Row],[Personal care and effects]],All_India_Index_Upto_April23__1___14[[#This Row],[Education]],All_India_Index_Upto_April23__1___14[[#This Row],[Recreation and amusement]])</f>
        <v>108.72499999999999</v>
      </c>
      <c r="AH27" s="12">
        <f>SUM(All_India_Index_Upto_April23__1___14[[#This Row],[Cereals and products]:[Pan, tobacco and intoxicants]])</f>
        <v>1613.3000000000002</v>
      </c>
      <c r="AI27" s="12">
        <f>SUM(All_India_Index_Upto_April23__1___14[[#This Row],[Household goods and services]],All_India_Index_Upto_April23__1___14[[#This Row],[Housing]])</f>
        <v>219.3</v>
      </c>
      <c r="AJ27" s="12">
        <f>All_India_Index_Upto_April23__1___14[[#This Row],[Clothing]]+All_India_Index_Upto_April23__1___14[[#This Row],[Footwear]]</f>
        <v>220.4</v>
      </c>
      <c r="AK27" s="12">
        <f>All_India_Index_Upto_April23__1___14[[#This Row],[Miscellaneous]]+All_India_Index_Upto_April23__1___14[[#This Row],[Personal care and effects]]+All_India_Index_Upto_April23__1___14[[#This Row],[Education]]+All_India_Index_Upto_April23__1___14[[#This Row],[Recreation and amusement]]</f>
        <v>434.9</v>
      </c>
      <c r="AL2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2815.7000000000003</v>
      </c>
    </row>
    <row r="28" spans="1:38" hidden="1" x14ac:dyDescent="0.3">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s="12">
        <f>AVERAGE(All_India_Index_Upto_April23__1___14[[#This Row],[Cereals and products]:[Pan, tobacco and intoxicants]])</f>
        <v>114.54999999999998</v>
      </c>
      <c r="AF28" s="12">
        <f>AVERAGE(All_India_Index_Upto_April23__1___14[[#This Row],[Household goods and services]],All_India_Index_Upto_April23__1___14[[#This Row],[Housing]])</f>
        <v>109.65</v>
      </c>
      <c r="AG28" s="12">
        <f>AVERAGE(All_India_Index_Upto_April23__1___14[[#This Row],[Miscellaneous]],All_India_Index_Upto_April23__1___14[[#This Row],[Personal care and effects]],All_India_Index_Upto_April23__1___14[[#This Row],[Education]],All_India_Index_Upto_April23__1___14[[#This Row],[Recreation and amusement]])</f>
        <v>108.47499999999999</v>
      </c>
      <c r="AH28" s="12">
        <f>SUM(All_India_Index_Upto_April23__1___14[[#This Row],[Cereals and products]:[Pan, tobacco and intoxicants]])</f>
        <v>1603.6999999999998</v>
      </c>
      <c r="AI28" s="12">
        <f>SUM(All_India_Index_Upto_April23__1___14[[#This Row],[Household goods and services]],All_India_Index_Upto_April23__1___14[[#This Row],[Housing]])</f>
        <v>219.3</v>
      </c>
      <c r="AJ28" s="12">
        <f>All_India_Index_Upto_April23__1___14[[#This Row],[Clothing]]+All_India_Index_Upto_April23__1___14[[#This Row],[Footwear]]</f>
        <v>222.60000000000002</v>
      </c>
      <c r="AK28" s="12">
        <f>All_India_Index_Upto_April23__1___14[[#This Row],[Miscellaneous]]+All_India_Index_Upto_April23__1___14[[#This Row],[Personal care and effects]]+All_India_Index_Upto_April23__1___14[[#This Row],[Education]]+All_India_Index_Upto_April23__1___14[[#This Row],[Recreation and amusement]]</f>
        <v>433.9</v>
      </c>
      <c r="AL2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2808</v>
      </c>
    </row>
    <row r="29" spans="1:38" hidden="1" x14ac:dyDescent="0.3">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s="12">
        <f>'Handle Missing Value Sheet only'!$F$5</f>
        <v>139.27096774193564</v>
      </c>
      <c r="V29">
        <v>111.6</v>
      </c>
      <c r="W29">
        <v>110.4</v>
      </c>
      <c r="X29">
        <v>108.9</v>
      </c>
      <c r="Y29">
        <v>109.3</v>
      </c>
      <c r="Z29">
        <v>108.3</v>
      </c>
      <c r="AA29">
        <v>110.2</v>
      </c>
      <c r="AB29">
        <v>107.5</v>
      </c>
      <c r="AC29">
        <v>109.1</v>
      </c>
      <c r="AD29">
        <v>115.5</v>
      </c>
      <c r="AE29" s="12">
        <f>AVERAGE(All_India_Index_Upto_April23__1___14[[#This Row],[Cereals and products]:[Pan, tobacco and intoxicants]])</f>
        <v>115.72857142857143</v>
      </c>
      <c r="AF29" s="12">
        <f>AVERAGE(All_India_Index_Upto_April23__1___14[[#This Row],[Household goods and services]],All_India_Index_Upto_April23__1___14[[#This Row],[Housing]])</f>
        <v>124.83548387096782</v>
      </c>
      <c r="AG29" s="12">
        <f>AVERAGE(All_India_Index_Upto_April23__1___14[[#This Row],[Miscellaneous]],All_India_Index_Upto_April23__1___14[[#This Row],[Personal care and effects]],All_India_Index_Upto_April23__1___14[[#This Row],[Education]],All_India_Index_Upto_April23__1___14[[#This Row],[Recreation and amusement]])</f>
        <v>108.77500000000001</v>
      </c>
      <c r="AH29" s="12">
        <f>SUM(All_India_Index_Upto_April23__1___14[[#This Row],[Cereals and products]:[Pan, tobacco and intoxicants]])</f>
        <v>1620.2</v>
      </c>
      <c r="AI29" s="12">
        <f>SUM(All_India_Index_Upto_April23__1___14[[#This Row],[Household goods and services]],All_India_Index_Upto_April23__1___14[[#This Row],[Housing]])</f>
        <v>249.67096774193564</v>
      </c>
      <c r="AJ29" s="12">
        <f>All_India_Index_Upto_April23__1___14[[#This Row],[Clothing]]+All_India_Index_Upto_April23__1___14[[#This Row],[Footwear]]</f>
        <v>225.89999999999998</v>
      </c>
      <c r="AK29" s="12">
        <f>All_India_Index_Upto_April23__1___14[[#This Row],[Miscellaneous]]+All_India_Index_Upto_April23__1___14[[#This Row],[Personal care and effects]]+All_India_Index_Upto_April23__1___14[[#This Row],[Education]]+All_India_Index_Upto_April23__1___14[[#This Row],[Recreation and amusement]]</f>
        <v>435.1</v>
      </c>
      <c r="AL2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2860.6709677419358</v>
      </c>
    </row>
    <row r="30" spans="1:38" hidden="1" x14ac:dyDescent="0.3">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s="12">
        <f>AVERAGE(All_India_Index_Upto_April23__1___14[[#This Row],[Cereals and products]:[Pan, tobacco and intoxicants]])</f>
        <v>116.47857142857141</v>
      </c>
      <c r="AF30" s="12">
        <f>AVERAGE(All_India_Index_Upto_April23__1___14[[#This Row],[Household goods and services]],All_India_Index_Upto_April23__1___14[[#This Row],[Housing]])</f>
        <v>110.35</v>
      </c>
      <c r="AG30" s="12">
        <f>AVERAGE(All_India_Index_Upto_April23__1___14[[#This Row],[Miscellaneous]],All_India_Index_Upto_April23__1___14[[#This Row],[Personal care and effects]],All_India_Index_Upto_April23__1___14[[#This Row],[Education]],All_India_Index_Upto_April23__1___14[[#This Row],[Recreation and amusement]])</f>
        <v>109</v>
      </c>
      <c r="AH30" s="12">
        <f>SUM(All_India_Index_Upto_April23__1___14[[#This Row],[Cereals and products]:[Pan, tobacco and intoxicants]])</f>
        <v>1630.6999999999998</v>
      </c>
      <c r="AI30" s="12">
        <f>SUM(All_India_Index_Upto_April23__1___14[[#This Row],[Household goods and services]],All_India_Index_Upto_April23__1___14[[#This Row],[Housing]])</f>
        <v>220.7</v>
      </c>
      <c r="AJ30" s="12">
        <f>All_India_Index_Upto_April23__1___14[[#This Row],[Clothing]]+All_India_Index_Upto_April23__1___14[[#This Row],[Footwear]]</f>
        <v>222.2</v>
      </c>
      <c r="AK30" s="12">
        <f>All_India_Index_Upto_April23__1___14[[#This Row],[Miscellaneous]]+All_India_Index_Upto_April23__1___14[[#This Row],[Personal care and effects]]+All_India_Index_Upto_April23__1___14[[#This Row],[Education]]+All_India_Index_Upto_April23__1___14[[#This Row],[Recreation and amusement]]</f>
        <v>436</v>
      </c>
      <c r="AL3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2837.1999999999994</v>
      </c>
    </row>
    <row r="31" spans="1:38" hidden="1" x14ac:dyDescent="0.3">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s="12">
        <f>AVERAGE(All_India_Index_Upto_April23__1___14[[#This Row],[Cereals and products]:[Pan, tobacco and intoxicants]])</f>
        <v>115.90714285714287</v>
      </c>
      <c r="AF31" s="12">
        <f>AVERAGE(All_India_Index_Upto_April23__1___14[[#This Row],[Household goods and services]],All_India_Index_Upto_April23__1___14[[#This Row],[Housing]])</f>
        <v>110.4</v>
      </c>
      <c r="AG31" s="12">
        <f>AVERAGE(All_India_Index_Upto_April23__1___14[[#This Row],[Miscellaneous]],All_India_Index_Upto_April23__1___14[[#This Row],[Personal care and effects]],All_India_Index_Upto_April23__1___14[[#This Row],[Education]],All_India_Index_Upto_April23__1___14[[#This Row],[Recreation and amusement]])</f>
        <v>108.875</v>
      </c>
      <c r="AH31" s="12">
        <f>SUM(All_India_Index_Upto_April23__1___14[[#This Row],[Cereals and products]:[Pan, tobacco and intoxicants]])</f>
        <v>1622.7000000000003</v>
      </c>
      <c r="AI31" s="12">
        <f>SUM(All_India_Index_Upto_April23__1___14[[#This Row],[Household goods and services]],All_India_Index_Upto_April23__1___14[[#This Row],[Housing]])</f>
        <v>220.8</v>
      </c>
      <c r="AJ31" s="12">
        <f>All_India_Index_Upto_April23__1___14[[#This Row],[Clothing]]+All_India_Index_Upto_April23__1___14[[#This Row],[Footwear]]</f>
        <v>224.4</v>
      </c>
      <c r="AK31" s="12">
        <f>All_India_Index_Upto_April23__1___14[[#This Row],[Miscellaneous]]+All_India_Index_Upto_April23__1___14[[#This Row],[Personal care and effects]]+All_India_Index_Upto_April23__1___14[[#This Row],[Education]]+All_India_Index_Upto_April23__1___14[[#This Row],[Recreation and amusement]]</f>
        <v>435.5</v>
      </c>
      <c r="AL3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2832.4000000000005</v>
      </c>
    </row>
    <row r="32" spans="1:38" hidden="1" x14ac:dyDescent="0.3">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s="12">
        <f>'Handle Missing Value Sheet only'!$F$5</f>
        <v>139.27096774193564</v>
      </c>
      <c r="V32">
        <v>112.6</v>
      </c>
      <c r="W32">
        <v>111.3</v>
      </c>
      <c r="X32">
        <v>109.7</v>
      </c>
      <c r="Y32">
        <v>109.6</v>
      </c>
      <c r="Z32">
        <v>108.7</v>
      </c>
      <c r="AA32">
        <v>111</v>
      </c>
      <c r="AB32">
        <v>108.2</v>
      </c>
      <c r="AC32">
        <v>109.8</v>
      </c>
      <c r="AD32">
        <v>117.4</v>
      </c>
      <c r="AE32" s="12">
        <f>AVERAGE(All_India_Index_Upto_April23__1___14[[#This Row],[Cereals and products]:[Pan, tobacco and intoxicants]])</f>
        <v>117.82857142857142</v>
      </c>
      <c r="AF32" s="12">
        <f>AVERAGE(All_India_Index_Upto_April23__1___14[[#This Row],[Household goods and services]],All_India_Index_Upto_April23__1___14[[#This Row],[Housing]])</f>
        <v>125.28548387096782</v>
      </c>
      <c r="AG32" s="12">
        <f>AVERAGE(All_India_Index_Upto_April23__1___14[[#This Row],[Miscellaneous]],All_India_Index_Upto_April23__1___14[[#This Row],[Personal care and effects]],All_India_Index_Upto_April23__1___14[[#This Row],[Education]],All_India_Index_Upto_April23__1___14[[#This Row],[Recreation and amusement]])</f>
        <v>109.425</v>
      </c>
      <c r="AH32" s="12">
        <f>SUM(All_India_Index_Upto_April23__1___14[[#This Row],[Cereals and products]:[Pan, tobacco and intoxicants]])</f>
        <v>1649.6</v>
      </c>
      <c r="AI32" s="12">
        <f>SUM(All_India_Index_Upto_April23__1___14[[#This Row],[Household goods and services]],All_India_Index_Upto_April23__1___14[[#This Row],[Housing]])</f>
        <v>250.57096774193565</v>
      </c>
      <c r="AJ32" s="12">
        <f>All_India_Index_Upto_April23__1___14[[#This Row],[Clothing]]+All_India_Index_Upto_April23__1___14[[#This Row],[Footwear]]</f>
        <v>227.7</v>
      </c>
      <c r="AK32" s="12">
        <f>All_India_Index_Upto_April23__1___14[[#This Row],[Miscellaneous]]+All_India_Index_Upto_April23__1___14[[#This Row],[Personal care and effects]]+All_India_Index_Upto_April23__1___14[[#This Row],[Education]]+All_India_Index_Upto_April23__1___14[[#This Row],[Recreation and amusement]]</f>
        <v>437.7</v>
      </c>
      <c r="AL3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2897.4709677419351</v>
      </c>
    </row>
    <row r="33" spans="1:38" hidden="1" x14ac:dyDescent="0.3">
      <c r="A33" t="s">
        <v>32</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s="12">
        <f>AVERAGE(All_India_Index_Upto_April23__1___14[[#This Row],[Cereals and products]:[Pan, tobacco and intoxicants]])</f>
        <v>118.47857142857141</v>
      </c>
      <c r="AF33" s="12">
        <f>AVERAGE(All_India_Index_Upto_April23__1___14[[#This Row],[Household goods and services]],All_India_Index_Upto_April23__1___14[[#This Row],[Housing]])</f>
        <v>111</v>
      </c>
      <c r="AG33" s="12">
        <f>AVERAGE(All_India_Index_Upto_April23__1___14[[#This Row],[Miscellaneous]],All_India_Index_Upto_April23__1___14[[#This Row],[Personal care and effects]],All_India_Index_Upto_April23__1___14[[#This Row],[Education]],All_India_Index_Upto_April23__1___14[[#This Row],[Recreation and amusement]])</f>
        <v>109.325</v>
      </c>
      <c r="AH33" s="12">
        <f>SUM(All_India_Index_Upto_April23__1___14[[#This Row],[Cereals and products]:[Pan, tobacco and intoxicants]])</f>
        <v>1658.6999999999998</v>
      </c>
      <c r="AI33" s="12">
        <f>SUM(All_India_Index_Upto_April23__1___14[[#This Row],[Household goods and services]],All_India_Index_Upto_April23__1___14[[#This Row],[Housing]])</f>
        <v>222</v>
      </c>
      <c r="AJ33" s="12">
        <f>All_India_Index_Upto_April23__1___14[[#This Row],[Clothing]]+All_India_Index_Upto_April23__1___14[[#This Row],[Footwear]]</f>
        <v>223.8</v>
      </c>
      <c r="AK33" s="12">
        <f>All_India_Index_Upto_April23__1___14[[#This Row],[Miscellaneous]]+All_India_Index_Upto_April23__1___14[[#This Row],[Personal care and effects]]+All_India_Index_Upto_April23__1___14[[#This Row],[Education]]+All_India_Index_Upto_April23__1___14[[#This Row],[Recreation and amusement]]</f>
        <v>437.3</v>
      </c>
      <c r="AL3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2869.8999999999996</v>
      </c>
    </row>
    <row r="34" spans="1:38" hidden="1" x14ac:dyDescent="0.3">
      <c r="A34" t="s">
        <v>33</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s="12">
        <f>AVERAGE(All_India_Index_Upto_April23__1___14[[#This Row],[Cereals and products]:[Pan, tobacco and intoxicants]])</f>
        <v>117.99285714285713</v>
      </c>
      <c r="AF34" s="12">
        <f>AVERAGE(All_India_Index_Upto_April23__1___14[[#This Row],[Household goods and services]],All_India_Index_Upto_April23__1___14[[#This Row],[Housing]])</f>
        <v>111.1</v>
      </c>
      <c r="AG34" s="12">
        <f>AVERAGE(All_India_Index_Upto_April23__1___14[[#This Row],[Miscellaneous]],All_India_Index_Upto_April23__1___14[[#This Row],[Personal care and effects]],All_India_Index_Upto_April23__1___14[[#This Row],[Education]],All_India_Index_Upto_April23__1___14[[#This Row],[Recreation and amusement]])</f>
        <v>109.4</v>
      </c>
      <c r="AH34" s="12">
        <f>SUM(All_India_Index_Upto_April23__1___14[[#This Row],[Cereals and products]:[Pan, tobacco and intoxicants]])</f>
        <v>1651.8999999999999</v>
      </c>
      <c r="AI34" s="12">
        <f>SUM(All_India_Index_Upto_April23__1___14[[#This Row],[Household goods and services]],All_India_Index_Upto_April23__1___14[[#This Row],[Housing]])</f>
        <v>222.2</v>
      </c>
      <c r="AJ34" s="12">
        <f>All_India_Index_Upto_April23__1___14[[#This Row],[Clothing]]+All_India_Index_Upto_April23__1___14[[#This Row],[Footwear]]</f>
        <v>226.10000000000002</v>
      </c>
      <c r="AK34" s="12">
        <f>All_India_Index_Upto_April23__1___14[[#This Row],[Miscellaneous]]+All_India_Index_Upto_April23__1___14[[#This Row],[Personal care and effects]]+All_India_Index_Upto_April23__1___14[[#This Row],[Education]]+All_India_Index_Upto_April23__1___14[[#This Row],[Recreation and amusement]]</f>
        <v>437.6</v>
      </c>
      <c r="AL3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2868.2000000000003</v>
      </c>
    </row>
    <row r="35" spans="1:38" hidden="1"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s="12">
        <f>'Handle Missing Value Sheet only'!$F$5</f>
        <v>139.27096774193564</v>
      </c>
      <c r="V35">
        <v>112.8</v>
      </c>
      <c r="W35">
        <v>112.1</v>
      </c>
      <c r="X35">
        <v>110.1</v>
      </c>
      <c r="Y35">
        <v>109.9</v>
      </c>
      <c r="Z35">
        <v>109.2</v>
      </c>
      <c r="AA35">
        <v>111.6</v>
      </c>
      <c r="AB35">
        <v>108.1</v>
      </c>
      <c r="AC35">
        <v>110.1</v>
      </c>
      <c r="AD35">
        <v>115.5</v>
      </c>
      <c r="AE35" s="12">
        <f>AVERAGE(All_India_Index_Upto_April23__1___14[[#This Row],[Cereals and products]:[Pan, tobacco and intoxicants]])</f>
        <v>115.89999999999999</v>
      </c>
      <c r="AF35" s="12">
        <f>AVERAGE(All_India_Index_Upto_April23__1___14[[#This Row],[Household goods and services]],All_India_Index_Upto_April23__1___14[[#This Row],[Housing]])</f>
        <v>125.68548387096781</v>
      </c>
      <c r="AG35" s="12">
        <f>AVERAGE(All_India_Index_Upto_April23__1___14[[#This Row],[Miscellaneous]],All_India_Index_Upto_April23__1___14[[#This Row],[Personal care and effects]],All_India_Index_Upto_April23__1___14[[#This Row],[Education]],All_India_Index_Upto_April23__1___14[[#This Row],[Recreation and amusement]])</f>
        <v>109.74999999999999</v>
      </c>
      <c r="AH35" s="12">
        <f>SUM(All_India_Index_Upto_April23__1___14[[#This Row],[Cereals and products]:[Pan, tobacco and intoxicants]])</f>
        <v>1622.6</v>
      </c>
      <c r="AI35" s="12">
        <f>SUM(All_India_Index_Upto_April23__1___14[[#This Row],[Household goods and services]],All_India_Index_Upto_April23__1___14[[#This Row],[Housing]])</f>
        <v>251.37096774193563</v>
      </c>
      <c r="AJ35" s="12">
        <f>All_India_Index_Upto_April23__1___14[[#This Row],[Clothing]]+All_India_Index_Upto_April23__1___14[[#This Row],[Footwear]]</f>
        <v>229.8</v>
      </c>
      <c r="AK35" s="12">
        <f>All_India_Index_Upto_April23__1___14[[#This Row],[Miscellaneous]]+All_India_Index_Upto_April23__1___14[[#This Row],[Personal care and effects]]+All_India_Index_Upto_April23__1___14[[#This Row],[Education]]+All_India_Index_Upto_April23__1___14[[#This Row],[Recreation and amusement]]</f>
        <v>438.99999999999994</v>
      </c>
      <c r="AL3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2875.5709677419354</v>
      </c>
    </row>
    <row r="36" spans="1:38" hidden="1" x14ac:dyDescent="0.3">
      <c r="A36" t="s">
        <v>32</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s="12">
        <f>AVERAGE(All_India_Index_Upto_April23__1___14[[#This Row],[Cereals and products]:[Pan, tobacco and intoxicants]])</f>
        <v>115.67142857142858</v>
      </c>
      <c r="AF36" s="12">
        <f>AVERAGE(All_India_Index_Upto_April23__1___14[[#This Row],[Household goods and services]],All_India_Index_Upto_April23__1___14[[#This Row],[Housing]])</f>
        <v>111</v>
      </c>
      <c r="AG36" s="12">
        <f>AVERAGE(All_India_Index_Upto_April23__1___14[[#This Row],[Miscellaneous]],All_India_Index_Upto_April23__1___14[[#This Row],[Personal care and effects]],All_India_Index_Upto_April23__1___14[[#This Row],[Education]],All_India_Index_Upto_April23__1___14[[#This Row],[Recreation and amusement]])</f>
        <v>109.44999999999999</v>
      </c>
      <c r="AH36" s="12">
        <f>SUM(All_India_Index_Upto_April23__1___14[[#This Row],[Cereals and products]:[Pan, tobacco and intoxicants]])</f>
        <v>1619.4</v>
      </c>
      <c r="AI36" s="12">
        <f>SUM(All_India_Index_Upto_April23__1___14[[#This Row],[Household goods and services]],All_India_Index_Upto_April23__1___14[[#This Row],[Housing]])</f>
        <v>222</v>
      </c>
      <c r="AJ36" s="12">
        <f>All_India_Index_Upto_April23__1___14[[#This Row],[Clothing]]+All_India_Index_Upto_April23__1___14[[#This Row],[Footwear]]</f>
        <v>225.10000000000002</v>
      </c>
      <c r="AK36" s="12">
        <f>All_India_Index_Upto_April23__1___14[[#This Row],[Miscellaneous]]+All_India_Index_Upto_April23__1___14[[#This Row],[Personal care and effects]]+All_India_Index_Upto_April23__1___14[[#This Row],[Education]]+All_India_Index_Upto_April23__1___14[[#This Row],[Recreation and amusement]]</f>
        <v>437.79999999999995</v>
      </c>
      <c r="AL3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2833.4</v>
      </c>
    </row>
    <row r="37" spans="1:38" hidden="1" x14ac:dyDescent="0.3">
      <c r="A37" t="s">
        <v>33</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s="12">
        <f>AVERAGE(All_India_Index_Upto_April23__1___14[[#This Row],[Cereals and products]:[Pan, tobacco and intoxicants]])</f>
        <v>115.80714285714286</v>
      </c>
      <c r="AF37" s="12">
        <f>AVERAGE(All_India_Index_Upto_April23__1___14[[#This Row],[Household goods and services]],All_India_Index_Upto_April23__1___14[[#This Row],[Housing]])</f>
        <v>111.2</v>
      </c>
      <c r="AG37" s="12">
        <f>AVERAGE(All_India_Index_Upto_April23__1___14[[#This Row],[Miscellaneous]],All_India_Index_Upto_April23__1___14[[#This Row],[Personal care and effects]],All_India_Index_Upto_April23__1___14[[#This Row],[Education]],All_India_Index_Upto_April23__1___14[[#This Row],[Recreation and amusement]])</f>
        <v>109.6</v>
      </c>
      <c r="AH37" s="12">
        <f>SUM(All_India_Index_Upto_April23__1___14[[#This Row],[Cereals and products]:[Pan, tobacco and intoxicants]])</f>
        <v>1621.3000000000002</v>
      </c>
      <c r="AI37" s="12">
        <f>SUM(All_India_Index_Upto_April23__1___14[[#This Row],[Household goods and services]],All_India_Index_Upto_April23__1___14[[#This Row],[Housing]])</f>
        <v>222.4</v>
      </c>
      <c r="AJ37" s="12">
        <f>All_India_Index_Upto_April23__1___14[[#This Row],[Clothing]]+All_India_Index_Upto_April23__1___14[[#This Row],[Footwear]]</f>
        <v>227.9</v>
      </c>
      <c r="AK37" s="12">
        <f>All_India_Index_Upto_April23__1___14[[#This Row],[Miscellaneous]]+All_India_Index_Upto_April23__1___14[[#This Row],[Personal care and effects]]+All_India_Index_Upto_April23__1___14[[#This Row],[Education]]+All_India_Index_Upto_April23__1___14[[#This Row],[Recreation and amusement]]</f>
        <v>438.4</v>
      </c>
      <c r="AL3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2841.4</v>
      </c>
    </row>
    <row r="38" spans="1:38"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s="12">
        <f>'Handle Missing Value Sheet only'!$F$5</f>
        <v>139.27096774193564</v>
      </c>
      <c r="V38">
        <v>113</v>
      </c>
      <c r="W38">
        <v>112.6</v>
      </c>
      <c r="X38">
        <v>110.6</v>
      </c>
      <c r="Y38">
        <v>110.5</v>
      </c>
      <c r="Z38">
        <v>109.6</v>
      </c>
      <c r="AA38">
        <v>111.8</v>
      </c>
      <c r="AB38">
        <v>108.3</v>
      </c>
      <c r="AC38">
        <v>110.6</v>
      </c>
      <c r="AD38">
        <v>114.2</v>
      </c>
      <c r="AE38" s="12">
        <f>AVERAGE(All_India_Index_Upto_April23__1___14[[#This Row],[Cereals and products]:[Pan, tobacco and intoxicants]])</f>
        <v>114.32857142857144</v>
      </c>
      <c r="AF38" s="12">
        <f>AVERAGE(All_India_Index_Upto_April23__1___14[[#This Row],[Household goods and services]],All_India_Index_Upto_April23__1___14[[#This Row],[Housing]])</f>
        <v>125.93548387096781</v>
      </c>
      <c r="AG38" s="12">
        <f>AVERAGE(All_India_Index_Upto_April23__1___14[[#This Row],[Miscellaneous]],All_India_Index_Upto_April23__1___14[[#This Row],[Personal care and effects]],All_India_Index_Upto_April23__1___14[[#This Row],[Education]],All_India_Index_Upto_April23__1___14[[#This Row],[Recreation and amusement]])</f>
        <v>110.07499999999999</v>
      </c>
      <c r="AH38" s="12">
        <f>SUM(All_India_Index_Upto_April23__1___14[[#This Row],[Cereals and products]:[Pan, tobacco and intoxicants]])</f>
        <v>1600.6000000000001</v>
      </c>
      <c r="AI38" s="12">
        <f>SUM(All_India_Index_Upto_April23__1___14[[#This Row],[Household goods and services]],All_India_Index_Upto_April23__1___14[[#This Row],[Housing]])</f>
        <v>251.87096774193563</v>
      </c>
      <c r="AJ38" s="12">
        <f>All_India_Index_Upto_April23__1___14[[#This Row],[Clothing]]+All_India_Index_Upto_April23__1___14[[#This Row],[Footwear]]</f>
        <v>231</v>
      </c>
      <c r="AK38" s="12">
        <f>All_India_Index_Upto_April23__1___14[[#This Row],[Miscellaneous]]+All_India_Index_Upto_April23__1___14[[#This Row],[Personal care and effects]]+All_India_Index_Upto_April23__1___14[[#This Row],[Education]]+All_India_Index_Upto_April23__1___14[[#This Row],[Recreation and amusement]]</f>
        <v>440.29999999999995</v>
      </c>
      <c r="AL3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2857.8709677419356</v>
      </c>
    </row>
    <row r="39" spans="1:38" hidden="1" x14ac:dyDescent="0.3">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s="12">
        <f>AVERAGE(All_India_Index_Upto_April23__1___14[[#This Row],[Cereals and products]:[Pan, tobacco and intoxicants]])</f>
        <v>114.28571428571429</v>
      </c>
      <c r="AF39" s="12">
        <f>AVERAGE(All_India_Index_Upto_April23__1___14[[#This Row],[Household goods and services]],All_India_Index_Upto_April23__1___14[[#This Row],[Housing]])</f>
        <v>111.75</v>
      </c>
      <c r="AG39" s="12">
        <f>AVERAGE(All_India_Index_Upto_April23__1___14[[#This Row],[Miscellaneous]],All_India_Index_Upto_April23__1___14[[#This Row],[Personal care and effects]],All_India_Index_Upto_April23__1___14[[#This Row],[Education]],All_India_Index_Upto_April23__1___14[[#This Row],[Recreation and amusement]])</f>
        <v>109.95</v>
      </c>
      <c r="AH39" s="12">
        <f>SUM(All_India_Index_Upto_April23__1___14[[#This Row],[Cereals and products]:[Pan, tobacco and intoxicants]])</f>
        <v>1600</v>
      </c>
      <c r="AI39" s="12">
        <f>SUM(All_India_Index_Upto_April23__1___14[[#This Row],[Household goods and services]],All_India_Index_Upto_April23__1___14[[#This Row],[Housing]])</f>
        <v>223.5</v>
      </c>
      <c r="AJ39" s="12">
        <f>All_India_Index_Upto_April23__1___14[[#This Row],[Clothing]]+All_India_Index_Upto_April23__1___14[[#This Row],[Footwear]]</f>
        <v>226.1</v>
      </c>
      <c r="AK39" s="12">
        <f>All_India_Index_Upto_April23__1___14[[#This Row],[Miscellaneous]]+All_India_Index_Upto_April23__1___14[[#This Row],[Personal care and effects]]+All_India_Index_Upto_April23__1___14[[#This Row],[Education]]+All_India_Index_Upto_April23__1___14[[#This Row],[Recreation and amusement]]</f>
        <v>439.8</v>
      </c>
      <c r="AL3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2820.9</v>
      </c>
    </row>
    <row r="40" spans="1:38" hidden="1" x14ac:dyDescent="0.3">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s="12">
        <f>AVERAGE(All_India_Index_Upto_April23__1___14[[#This Row],[Cereals and products]:[Pan, tobacco and intoxicants]])</f>
        <v>114.30714285714284</v>
      </c>
      <c r="AF40" s="12">
        <f>AVERAGE(All_India_Index_Upto_April23__1___14[[#This Row],[Household goods and services]],All_India_Index_Upto_April23__1___14[[#This Row],[Housing]])</f>
        <v>111.94999999999999</v>
      </c>
      <c r="AG40" s="12">
        <f>AVERAGE(All_India_Index_Upto_April23__1___14[[#This Row],[Miscellaneous]],All_India_Index_Upto_April23__1___14[[#This Row],[Personal care and effects]],All_India_Index_Upto_April23__1___14[[#This Row],[Education]],All_India_Index_Upto_April23__1___14[[#This Row],[Recreation and amusement]])</f>
        <v>110.02499999999999</v>
      </c>
      <c r="AH40" s="12">
        <f>SUM(All_India_Index_Upto_April23__1___14[[#This Row],[Cereals and products]:[Pan, tobacco and intoxicants]])</f>
        <v>1600.2999999999997</v>
      </c>
      <c r="AI40" s="12">
        <f>SUM(All_India_Index_Upto_April23__1___14[[#This Row],[Household goods and services]],All_India_Index_Upto_April23__1___14[[#This Row],[Housing]])</f>
        <v>223.89999999999998</v>
      </c>
      <c r="AJ40" s="12">
        <f>All_India_Index_Upto_April23__1___14[[#This Row],[Clothing]]+All_India_Index_Upto_April23__1___14[[#This Row],[Footwear]]</f>
        <v>229</v>
      </c>
      <c r="AK40" s="12">
        <f>All_India_Index_Upto_April23__1___14[[#This Row],[Miscellaneous]]+All_India_Index_Upto_April23__1___14[[#This Row],[Personal care and effects]]+All_India_Index_Upto_April23__1___14[[#This Row],[Education]]+All_India_Index_Upto_April23__1___14[[#This Row],[Recreation and amusement]]</f>
        <v>440.09999999999997</v>
      </c>
      <c r="AL4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2826.4999999999995</v>
      </c>
    </row>
    <row r="41" spans="1:38" hidden="1" x14ac:dyDescent="0.3">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s="12">
        <f>'Handle Missing Value Sheet only'!$F$5</f>
        <v>139.27096774193564</v>
      </c>
      <c r="V41">
        <v>113.2</v>
      </c>
      <c r="W41">
        <v>112.9</v>
      </c>
      <c r="X41">
        <v>110.9</v>
      </c>
      <c r="Y41">
        <v>110.8</v>
      </c>
      <c r="Z41">
        <v>109.9</v>
      </c>
      <c r="AA41">
        <v>112</v>
      </c>
      <c r="AB41">
        <v>108.7</v>
      </c>
      <c r="AC41">
        <v>110.9</v>
      </c>
      <c r="AD41">
        <v>114</v>
      </c>
      <c r="AE41" s="12">
        <f>AVERAGE(All_India_Index_Upto_April23__1___14[[#This Row],[Cereals and products]:[Pan, tobacco and intoxicants]])</f>
        <v>114.02857142857144</v>
      </c>
      <c r="AF41" s="12">
        <f>AVERAGE(All_India_Index_Upto_April23__1___14[[#This Row],[Household goods and services]],All_India_Index_Upto_April23__1___14[[#This Row],[Housing]])</f>
        <v>126.08548387096782</v>
      </c>
      <c r="AG41" s="12">
        <f>AVERAGE(All_India_Index_Upto_April23__1___14[[#This Row],[Miscellaneous]],All_India_Index_Upto_April23__1___14[[#This Row],[Personal care and effects]],All_India_Index_Upto_April23__1___14[[#This Row],[Education]],All_India_Index_Upto_April23__1___14[[#This Row],[Recreation and amusement]])</f>
        <v>110.375</v>
      </c>
      <c r="AH41" s="12">
        <f>SUM(All_India_Index_Upto_April23__1___14[[#This Row],[Cereals and products]:[Pan, tobacco and intoxicants]])</f>
        <v>1596.4</v>
      </c>
      <c r="AI41" s="12">
        <f>SUM(All_India_Index_Upto_April23__1___14[[#This Row],[Household goods and services]],All_India_Index_Upto_April23__1___14[[#This Row],[Housing]])</f>
        <v>252.17096774193564</v>
      </c>
      <c r="AJ41" s="12">
        <f>All_India_Index_Upto_April23__1___14[[#This Row],[Clothing]]+All_India_Index_Upto_April23__1___14[[#This Row],[Footwear]]</f>
        <v>231.6</v>
      </c>
      <c r="AK41" s="12">
        <f>All_India_Index_Upto_April23__1___14[[#This Row],[Miscellaneous]]+All_India_Index_Upto_April23__1___14[[#This Row],[Personal care and effects]]+All_India_Index_Upto_April23__1___14[[#This Row],[Education]]+All_India_Index_Upto_April23__1___14[[#This Row],[Recreation and amusement]]</f>
        <v>441.5</v>
      </c>
      <c r="AL4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2856.5709677419359</v>
      </c>
    </row>
    <row r="42" spans="1:38" hidden="1" x14ac:dyDescent="0.3">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s="12">
        <f>AVERAGE(All_India_Index_Upto_April23__1___14[[#This Row],[Cereals and products]:[Pan, tobacco and intoxicants]])</f>
        <v>113.72857142857143</v>
      </c>
      <c r="AF42" s="12">
        <f>AVERAGE(All_India_Index_Upto_April23__1___14[[#This Row],[Household goods and services]],All_India_Index_Upto_April23__1___14[[#This Row],[Housing]])</f>
        <v>112.55</v>
      </c>
      <c r="AG42" s="12">
        <f>AVERAGE(All_India_Index_Upto_April23__1___14[[#This Row],[Miscellaneous]],All_India_Index_Upto_April23__1___14[[#This Row],[Personal care and effects]],All_India_Index_Upto_April23__1___14[[#This Row],[Education]],All_India_Index_Upto_April23__1___14[[#This Row],[Recreation and amusement]])</f>
        <v>110.39999999999999</v>
      </c>
      <c r="AH42" s="12">
        <f>SUM(All_India_Index_Upto_April23__1___14[[#This Row],[Cereals and products]:[Pan, tobacco and intoxicants]])</f>
        <v>1592.2</v>
      </c>
      <c r="AI42" s="12">
        <f>SUM(All_India_Index_Upto_April23__1___14[[#This Row],[Household goods and services]],All_India_Index_Upto_April23__1___14[[#This Row],[Housing]])</f>
        <v>225.1</v>
      </c>
      <c r="AJ42" s="12">
        <f>All_India_Index_Upto_April23__1___14[[#This Row],[Clothing]]+All_India_Index_Upto_April23__1___14[[#This Row],[Footwear]]</f>
        <v>227</v>
      </c>
      <c r="AK42" s="12">
        <f>All_India_Index_Upto_April23__1___14[[#This Row],[Miscellaneous]]+All_India_Index_Upto_April23__1___14[[#This Row],[Personal care and effects]]+All_India_Index_Upto_April23__1___14[[#This Row],[Education]]+All_India_Index_Upto_April23__1___14[[#This Row],[Recreation and amusement]]</f>
        <v>441.59999999999997</v>
      </c>
      <c r="AL4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2818.7000000000003</v>
      </c>
    </row>
    <row r="43" spans="1:38" hidden="1" x14ac:dyDescent="0.3">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s="12">
        <f>AVERAGE(All_India_Index_Upto_April23__1___14[[#This Row],[Cereals and products]:[Pan, tobacco and intoxicants]])</f>
        <v>113.91428571428571</v>
      </c>
      <c r="AF43" s="12">
        <f>AVERAGE(All_India_Index_Upto_April23__1___14[[#This Row],[Household goods and services]],All_India_Index_Upto_April23__1___14[[#This Row],[Housing]])</f>
        <v>112.65</v>
      </c>
      <c r="AG43" s="12">
        <f>AVERAGE(All_India_Index_Upto_April23__1___14[[#This Row],[Miscellaneous]],All_India_Index_Upto_April23__1___14[[#This Row],[Personal care and effects]],All_India_Index_Upto_April23__1___14[[#This Row],[Education]],All_India_Index_Upto_April23__1___14[[#This Row],[Recreation and amusement]])</f>
        <v>110.375</v>
      </c>
      <c r="AH43" s="12">
        <f>SUM(All_India_Index_Upto_April23__1___14[[#This Row],[Cereals and products]:[Pan, tobacco and intoxicants]])</f>
        <v>1594.8</v>
      </c>
      <c r="AI43" s="12">
        <f>SUM(All_India_Index_Upto_April23__1___14[[#This Row],[Household goods and services]],All_India_Index_Upto_April23__1___14[[#This Row],[Housing]])</f>
        <v>225.3</v>
      </c>
      <c r="AJ43" s="12">
        <f>All_India_Index_Upto_April23__1___14[[#This Row],[Clothing]]+All_India_Index_Upto_April23__1___14[[#This Row],[Footwear]]</f>
        <v>229.7</v>
      </c>
      <c r="AK43" s="12">
        <f>All_India_Index_Upto_April23__1___14[[#This Row],[Miscellaneous]]+All_India_Index_Upto_April23__1___14[[#This Row],[Personal care and effects]]+All_India_Index_Upto_April23__1___14[[#This Row],[Education]]+All_India_Index_Upto_April23__1___14[[#This Row],[Recreation and amusement]]</f>
        <v>441.5</v>
      </c>
      <c r="AL4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2825.5</v>
      </c>
    </row>
    <row r="44" spans="1:38" hidden="1" x14ac:dyDescent="0.3">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s="12">
        <f>'Handle Missing Value Sheet only'!$F$5</f>
        <v>139.27096774193564</v>
      </c>
      <c r="V44">
        <v>113.4</v>
      </c>
      <c r="W44">
        <v>113.4</v>
      </c>
      <c r="X44">
        <v>111.4</v>
      </c>
      <c r="Y44">
        <v>111.2</v>
      </c>
      <c r="Z44">
        <v>110.2</v>
      </c>
      <c r="AA44">
        <v>112.4</v>
      </c>
      <c r="AB44">
        <v>108.9</v>
      </c>
      <c r="AC44">
        <v>111.3</v>
      </c>
      <c r="AD44">
        <v>114.6</v>
      </c>
      <c r="AE44" s="12">
        <f>AVERAGE(All_India_Index_Upto_April23__1___14[[#This Row],[Cereals and products]:[Pan, tobacco and intoxicants]])</f>
        <v>114.71428571428571</v>
      </c>
      <c r="AF44" s="12">
        <f>AVERAGE(All_India_Index_Upto_April23__1___14[[#This Row],[Household goods and services]],All_India_Index_Upto_April23__1___14[[#This Row],[Housing]])</f>
        <v>126.33548387096782</v>
      </c>
      <c r="AG44" s="12">
        <f>AVERAGE(All_India_Index_Upto_April23__1___14[[#This Row],[Miscellaneous]],All_India_Index_Upto_April23__1___14[[#This Row],[Personal care and effects]],All_India_Index_Upto_April23__1___14[[#This Row],[Education]],All_India_Index_Upto_April23__1___14[[#This Row],[Recreation and amusement]])</f>
        <v>110.7</v>
      </c>
      <c r="AH44" s="12">
        <f>SUM(All_India_Index_Upto_April23__1___14[[#This Row],[Cereals and products]:[Pan, tobacco and intoxicants]])</f>
        <v>1606</v>
      </c>
      <c r="AI44" s="12">
        <f>SUM(All_India_Index_Upto_April23__1___14[[#This Row],[Household goods and services]],All_India_Index_Upto_April23__1___14[[#This Row],[Housing]])</f>
        <v>252.67096774193564</v>
      </c>
      <c r="AJ44" s="12">
        <f>All_India_Index_Upto_April23__1___14[[#This Row],[Clothing]]+All_India_Index_Upto_April23__1___14[[#This Row],[Footwear]]</f>
        <v>232.4</v>
      </c>
      <c r="AK44" s="12">
        <f>All_India_Index_Upto_April23__1___14[[#This Row],[Miscellaneous]]+All_India_Index_Upto_April23__1___14[[#This Row],[Personal care and effects]]+All_India_Index_Upto_April23__1___14[[#This Row],[Education]]+All_India_Index_Upto_April23__1___14[[#This Row],[Recreation and amusement]]</f>
        <v>442.8</v>
      </c>
      <c r="AL4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2869.8709677419356</v>
      </c>
    </row>
    <row r="45" spans="1:38" hidden="1" x14ac:dyDescent="0.3">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s="12">
        <f>AVERAGE(All_India_Index_Upto_April23__1___14[[#This Row],[Cereals and products]:[Pan, tobacco and intoxicants]])</f>
        <v>114.26428571428572</v>
      </c>
      <c r="AF45" s="12">
        <f>AVERAGE(All_India_Index_Upto_April23__1___14[[#This Row],[Household goods and services]],All_India_Index_Upto_April23__1___14[[#This Row],[Housing]])</f>
        <v>113.1</v>
      </c>
      <c r="AG45" s="12">
        <f>AVERAGE(All_India_Index_Upto_April23__1___14[[#This Row],[Miscellaneous]],All_India_Index_Upto_April23__1___14[[#This Row],[Personal care and effects]],All_India_Index_Upto_April23__1___14[[#This Row],[Education]],All_India_Index_Upto_April23__1___14[[#This Row],[Recreation and amusement]])</f>
        <v>110.82500000000002</v>
      </c>
      <c r="AH45" s="12">
        <f>SUM(All_India_Index_Upto_April23__1___14[[#This Row],[Cereals and products]:[Pan, tobacco and intoxicants]])</f>
        <v>1599.7</v>
      </c>
      <c r="AI45" s="12">
        <f>SUM(All_India_Index_Upto_April23__1___14[[#This Row],[Household goods and services]],All_India_Index_Upto_April23__1___14[[#This Row],[Housing]])</f>
        <v>226.2</v>
      </c>
      <c r="AJ45" s="12">
        <f>All_India_Index_Upto_April23__1___14[[#This Row],[Clothing]]+All_India_Index_Upto_April23__1___14[[#This Row],[Footwear]]</f>
        <v>227.89999999999998</v>
      </c>
      <c r="AK45" s="12">
        <f>All_India_Index_Upto_April23__1___14[[#This Row],[Miscellaneous]]+All_India_Index_Upto_April23__1___14[[#This Row],[Personal care and effects]]+All_India_Index_Upto_April23__1___14[[#This Row],[Education]]+All_India_Index_Upto_April23__1___14[[#This Row],[Recreation and amusement]]</f>
        <v>443.30000000000007</v>
      </c>
      <c r="AL4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2830.4000000000005</v>
      </c>
    </row>
    <row r="46" spans="1:38" hidden="1" x14ac:dyDescent="0.3">
      <c r="A46" t="s">
        <v>33</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s="12">
        <f>AVERAGE(All_India_Index_Upto_April23__1___14[[#This Row],[Cereals and products]:[Pan, tobacco and intoxicants]])</f>
        <v>114.53571428571426</v>
      </c>
      <c r="AF46" s="12">
        <f>AVERAGE(All_India_Index_Upto_April23__1___14[[#This Row],[Household goods and services]],All_India_Index_Upto_April23__1___14[[#This Row],[Housing]])</f>
        <v>113.2</v>
      </c>
      <c r="AG46" s="12">
        <f>AVERAGE(All_India_Index_Upto_April23__1___14[[#This Row],[Miscellaneous]],All_India_Index_Upto_April23__1___14[[#This Row],[Personal care and effects]],All_India_Index_Upto_April23__1___14[[#This Row],[Education]],All_India_Index_Upto_April23__1___14[[#This Row],[Recreation and amusement]])</f>
        <v>110.72499999999999</v>
      </c>
      <c r="AH46" s="12">
        <f>SUM(All_India_Index_Upto_April23__1___14[[#This Row],[Cereals and products]:[Pan, tobacco and intoxicants]])</f>
        <v>1603.4999999999998</v>
      </c>
      <c r="AI46" s="12">
        <f>SUM(All_India_Index_Upto_April23__1___14[[#This Row],[Household goods and services]],All_India_Index_Upto_April23__1___14[[#This Row],[Housing]])</f>
        <v>226.4</v>
      </c>
      <c r="AJ46" s="12">
        <f>All_India_Index_Upto_April23__1___14[[#This Row],[Clothing]]+All_India_Index_Upto_April23__1___14[[#This Row],[Footwear]]</f>
        <v>230.5</v>
      </c>
      <c r="AK46" s="12">
        <f>All_India_Index_Upto_April23__1___14[[#This Row],[Miscellaneous]]+All_India_Index_Upto_April23__1___14[[#This Row],[Personal care and effects]]+All_India_Index_Upto_April23__1___14[[#This Row],[Education]]+All_India_Index_Upto_April23__1___14[[#This Row],[Recreation and amusement]]</f>
        <v>442.9</v>
      </c>
      <c r="AL4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2838.3999999999996</v>
      </c>
    </row>
    <row r="47" spans="1:38" hidden="1" x14ac:dyDescent="0.3">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s="12">
        <f>'Handle Missing Value Sheet only'!$F$5</f>
        <v>139.27096774193564</v>
      </c>
      <c r="V47">
        <v>113.4</v>
      </c>
      <c r="W47">
        <v>113.7</v>
      </c>
      <c r="X47">
        <v>111.8</v>
      </c>
      <c r="Y47">
        <v>111.2</v>
      </c>
      <c r="Z47">
        <v>110.5</v>
      </c>
      <c r="AA47">
        <v>113</v>
      </c>
      <c r="AB47">
        <v>108.9</v>
      </c>
      <c r="AC47">
        <v>111.5</v>
      </c>
      <c r="AD47">
        <v>115.4</v>
      </c>
      <c r="AE47" s="12">
        <f>AVERAGE(All_India_Index_Upto_April23__1___14[[#This Row],[Cereals and products]:[Pan, tobacco and intoxicants]])</f>
        <v>115.67857142857144</v>
      </c>
      <c r="AF47" s="12">
        <f>AVERAGE(All_India_Index_Upto_April23__1___14[[#This Row],[Household goods and services]],All_India_Index_Upto_April23__1___14[[#This Row],[Housing]])</f>
        <v>126.48548387096781</v>
      </c>
      <c r="AG47" s="12">
        <f>AVERAGE(All_India_Index_Upto_April23__1___14[[#This Row],[Miscellaneous]],All_India_Index_Upto_April23__1___14[[#This Row],[Personal care and effects]],All_India_Index_Upto_April23__1___14[[#This Row],[Education]],All_India_Index_Upto_April23__1___14[[#This Row],[Recreation and amusement]])</f>
        <v>110.97499999999999</v>
      </c>
      <c r="AH47" s="12">
        <f>SUM(All_India_Index_Upto_April23__1___14[[#This Row],[Cereals and products]:[Pan, tobacco and intoxicants]])</f>
        <v>1619.5000000000002</v>
      </c>
      <c r="AI47" s="12">
        <f>SUM(All_India_Index_Upto_April23__1___14[[#This Row],[Household goods and services]],All_India_Index_Upto_April23__1___14[[#This Row],[Housing]])</f>
        <v>252.97096774193562</v>
      </c>
      <c r="AJ47" s="12">
        <f>All_India_Index_Upto_April23__1___14[[#This Row],[Clothing]]+All_India_Index_Upto_April23__1___14[[#This Row],[Footwear]]</f>
        <v>234.2</v>
      </c>
      <c r="AK47" s="12">
        <f>All_India_Index_Upto_April23__1___14[[#This Row],[Miscellaneous]]+All_India_Index_Upto_April23__1___14[[#This Row],[Personal care and effects]]+All_India_Index_Upto_April23__1___14[[#This Row],[Education]]+All_India_Index_Upto_April23__1___14[[#This Row],[Recreation and amusement]]</f>
        <v>443.9</v>
      </c>
      <c r="AL4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2886.970967741936</v>
      </c>
    </row>
    <row r="48" spans="1:38" hidden="1" x14ac:dyDescent="0.3">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s="12">
        <f>AVERAGE(All_India_Index_Upto_April23__1___14[[#This Row],[Cereals and products]:[Pan, tobacco and intoxicants]])</f>
        <v>115.82857142857144</v>
      </c>
      <c r="AF48" s="12">
        <f>AVERAGE(All_India_Index_Upto_April23__1___14[[#This Row],[Household goods and services]],All_India_Index_Upto_April23__1___14[[#This Row],[Housing]])</f>
        <v>113.65</v>
      </c>
      <c r="AG48" s="12">
        <f>AVERAGE(All_India_Index_Upto_April23__1___14[[#This Row],[Miscellaneous]],All_India_Index_Upto_April23__1___14[[#This Row],[Personal care and effects]],All_India_Index_Upto_April23__1___14[[#This Row],[Education]],All_India_Index_Upto_April23__1___14[[#This Row],[Recreation and amusement]])</f>
        <v>111.05</v>
      </c>
      <c r="AH48" s="12">
        <f>SUM(All_India_Index_Upto_April23__1___14[[#This Row],[Cereals and products]:[Pan, tobacco and intoxicants]])</f>
        <v>1621.6000000000001</v>
      </c>
      <c r="AI48" s="12">
        <f>SUM(All_India_Index_Upto_April23__1___14[[#This Row],[Household goods and services]],All_India_Index_Upto_April23__1___14[[#This Row],[Housing]])</f>
        <v>227.3</v>
      </c>
      <c r="AJ48" s="12">
        <f>All_India_Index_Upto_April23__1___14[[#This Row],[Clothing]]+All_India_Index_Upto_April23__1___14[[#This Row],[Footwear]]</f>
        <v>228.8</v>
      </c>
      <c r="AK48" s="12">
        <f>All_India_Index_Upto_April23__1___14[[#This Row],[Miscellaneous]]+All_India_Index_Upto_April23__1___14[[#This Row],[Personal care and effects]]+All_India_Index_Upto_April23__1___14[[#This Row],[Education]]+All_India_Index_Upto_April23__1___14[[#This Row],[Recreation and amusement]]</f>
        <v>444.2</v>
      </c>
      <c r="AL4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2855</v>
      </c>
    </row>
    <row r="49" spans="1:38" hidden="1" x14ac:dyDescent="0.3">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s="12">
        <f>AVERAGE(All_India_Index_Upto_April23__1___14[[#This Row],[Cereals and products]:[Pan, tobacco and intoxicants]])</f>
        <v>115.72142857142856</v>
      </c>
      <c r="AF49" s="12">
        <f>AVERAGE(All_India_Index_Upto_April23__1___14[[#This Row],[Household goods and services]],All_India_Index_Upto_April23__1___14[[#This Row],[Housing]])</f>
        <v>113.75</v>
      </c>
      <c r="AG49" s="12">
        <f>AVERAGE(All_India_Index_Upto_April23__1___14[[#This Row],[Miscellaneous]],All_India_Index_Upto_April23__1___14[[#This Row],[Personal care and effects]],All_India_Index_Upto_April23__1___14[[#This Row],[Education]],All_India_Index_Upto_April23__1___14[[#This Row],[Recreation and amusement]])</f>
        <v>111.02500000000001</v>
      </c>
      <c r="AH49" s="12">
        <f>SUM(All_India_Index_Upto_April23__1___14[[#This Row],[Cereals and products]:[Pan, tobacco and intoxicants]])</f>
        <v>1620.1</v>
      </c>
      <c r="AI49" s="12">
        <f>SUM(All_India_Index_Upto_April23__1___14[[#This Row],[Household goods and services]],All_India_Index_Upto_April23__1___14[[#This Row],[Housing]])</f>
        <v>227.5</v>
      </c>
      <c r="AJ49" s="12">
        <f>All_India_Index_Upto_April23__1___14[[#This Row],[Clothing]]+All_India_Index_Upto_April23__1___14[[#This Row],[Footwear]]</f>
        <v>232</v>
      </c>
      <c r="AK49" s="12">
        <f>All_India_Index_Upto_April23__1___14[[#This Row],[Miscellaneous]]+All_India_Index_Upto_April23__1___14[[#This Row],[Personal care and effects]]+All_India_Index_Upto_April23__1___14[[#This Row],[Education]]+All_India_Index_Upto_April23__1___14[[#This Row],[Recreation and amusement]]</f>
        <v>444.1</v>
      </c>
      <c r="AL4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2858.8999999999996</v>
      </c>
    </row>
    <row r="50" spans="1:38" hidden="1" x14ac:dyDescent="0.3">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s="12">
        <f>'Handle Missing Value Sheet only'!$F$5</f>
        <v>139.27096774193564</v>
      </c>
      <c r="V50">
        <v>113.4</v>
      </c>
      <c r="W50">
        <v>114.1</v>
      </c>
      <c r="X50">
        <v>112.1</v>
      </c>
      <c r="Y50">
        <v>111.4</v>
      </c>
      <c r="Z50">
        <v>110.9</v>
      </c>
      <c r="AA50">
        <v>113.1</v>
      </c>
      <c r="AB50">
        <v>108.9</v>
      </c>
      <c r="AC50">
        <v>111.8</v>
      </c>
      <c r="AD50">
        <v>116</v>
      </c>
      <c r="AE50" s="12">
        <f>AVERAGE(All_India_Index_Upto_April23__1___14[[#This Row],[Cereals and products]:[Pan, tobacco and intoxicants]])</f>
        <v>116.44285714285714</v>
      </c>
      <c r="AF50" s="12">
        <f>AVERAGE(All_India_Index_Upto_April23__1___14[[#This Row],[Household goods and services]],All_India_Index_Upto_April23__1___14[[#This Row],[Housing]])</f>
        <v>126.68548387096781</v>
      </c>
      <c r="AG50" s="12">
        <f>AVERAGE(All_India_Index_Upto_April23__1___14[[#This Row],[Miscellaneous]],All_India_Index_Upto_April23__1___14[[#This Row],[Personal care and effects]],All_India_Index_Upto_April23__1___14[[#This Row],[Education]],All_India_Index_Upto_April23__1___14[[#This Row],[Recreation and amusement]])</f>
        <v>111.17499999999998</v>
      </c>
      <c r="AH50" s="12">
        <f>SUM(All_India_Index_Upto_April23__1___14[[#This Row],[Cereals and products]:[Pan, tobacco and intoxicants]])</f>
        <v>1630.1999999999998</v>
      </c>
      <c r="AI50" s="12">
        <f>SUM(All_India_Index_Upto_April23__1___14[[#This Row],[Household goods and services]],All_India_Index_Upto_April23__1___14[[#This Row],[Housing]])</f>
        <v>253.37096774193563</v>
      </c>
      <c r="AJ50" s="12">
        <f>All_India_Index_Upto_April23__1___14[[#This Row],[Clothing]]+All_India_Index_Upto_April23__1___14[[#This Row],[Footwear]]</f>
        <v>235.5</v>
      </c>
      <c r="AK50" s="12">
        <f>All_India_Index_Upto_April23__1___14[[#This Row],[Miscellaneous]]+All_India_Index_Upto_April23__1___14[[#This Row],[Personal care and effects]]+All_India_Index_Upto_April23__1___14[[#This Row],[Education]]+All_India_Index_Upto_April23__1___14[[#This Row],[Recreation and amusement]]</f>
        <v>444.69999999999993</v>
      </c>
      <c r="AL5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2900.6709677419353</v>
      </c>
    </row>
    <row r="51" spans="1:38" hidden="1" x14ac:dyDescent="0.3">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s="12">
        <f>AVERAGE(All_India_Index_Upto_April23__1___14[[#This Row],[Cereals and products]:[Pan, tobacco and intoxicants]])</f>
        <v>117.4</v>
      </c>
      <c r="AF51" s="12">
        <f>AVERAGE(All_India_Index_Upto_April23__1___14[[#This Row],[Household goods and services]],All_India_Index_Upto_April23__1___14[[#This Row],[Housing]])</f>
        <v>114.19999999999999</v>
      </c>
      <c r="AG51" s="12">
        <f>AVERAGE(All_India_Index_Upto_April23__1___14[[#This Row],[Miscellaneous]],All_India_Index_Upto_April23__1___14[[#This Row],[Personal care and effects]],All_India_Index_Upto_April23__1___14[[#This Row],[Education]],All_India_Index_Upto_April23__1___14[[#This Row],[Recreation and amusement]])</f>
        <v>111.35</v>
      </c>
      <c r="AH51" s="12">
        <f>SUM(All_India_Index_Upto_April23__1___14[[#This Row],[Cereals and products]:[Pan, tobacco and intoxicants]])</f>
        <v>1643.6000000000001</v>
      </c>
      <c r="AI51" s="12">
        <f>SUM(All_India_Index_Upto_April23__1___14[[#This Row],[Household goods and services]],All_India_Index_Upto_April23__1___14[[#This Row],[Housing]])</f>
        <v>228.39999999999998</v>
      </c>
      <c r="AJ51" s="12">
        <f>All_India_Index_Upto_April23__1___14[[#This Row],[Clothing]]+All_India_Index_Upto_April23__1___14[[#This Row],[Footwear]]</f>
        <v>229.7</v>
      </c>
      <c r="AK51" s="12">
        <f>All_India_Index_Upto_April23__1___14[[#This Row],[Miscellaneous]]+All_India_Index_Upto_April23__1___14[[#This Row],[Personal care and effects]]+All_India_Index_Upto_April23__1___14[[#This Row],[Education]]+All_India_Index_Upto_April23__1___14[[#This Row],[Recreation and amusement]]</f>
        <v>445.4</v>
      </c>
      <c r="AL5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2880.7</v>
      </c>
    </row>
    <row r="52" spans="1:38" hidden="1" x14ac:dyDescent="0.3">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s="12">
        <f>AVERAGE(All_India_Index_Upto_April23__1___14[[#This Row],[Cereals and products]:[Pan, tobacco and intoxicants]])</f>
        <v>116.80714285714289</v>
      </c>
      <c r="AF52" s="12">
        <f>AVERAGE(All_India_Index_Upto_April23__1___14[[#This Row],[Household goods and services]],All_India_Index_Upto_April23__1___14[[#This Row],[Housing]])</f>
        <v>114.19999999999999</v>
      </c>
      <c r="AG52" s="12">
        <f>AVERAGE(All_India_Index_Upto_April23__1___14[[#This Row],[Miscellaneous]],All_India_Index_Upto_April23__1___14[[#This Row],[Personal care and effects]],All_India_Index_Upto_April23__1___14[[#This Row],[Education]],All_India_Index_Upto_April23__1___14[[#This Row],[Recreation and amusement]])</f>
        <v>111.27499999999999</v>
      </c>
      <c r="AH52" s="12">
        <f>SUM(All_India_Index_Upto_April23__1___14[[#This Row],[Cereals and products]:[Pan, tobacco and intoxicants]])</f>
        <v>1635.3000000000004</v>
      </c>
      <c r="AI52" s="12">
        <f>SUM(All_India_Index_Upto_April23__1___14[[#This Row],[Household goods and services]],All_India_Index_Upto_April23__1___14[[#This Row],[Housing]])</f>
        <v>228.39999999999998</v>
      </c>
      <c r="AJ52" s="12">
        <f>All_India_Index_Upto_April23__1___14[[#This Row],[Clothing]]+All_India_Index_Upto_April23__1___14[[#This Row],[Footwear]]</f>
        <v>233.2</v>
      </c>
      <c r="AK52" s="12">
        <f>All_India_Index_Upto_April23__1___14[[#This Row],[Miscellaneous]]+All_India_Index_Upto_April23__1___14[[#This Row],[Personal care and effects]]+All_India_Index_Upto_April23__1___14[[#This Row],[Education]]+All_India_Index_Upto_April23__1___14[[#This Row],[Recreation and amusement]]</f>
        <v>445.09999999999997</v>
      </c>
      <c r="AL5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2877.6000000000008</v>
      </c>
    </row>
    <row r="53" spans="1:38" hidden="1" x14ac:dyDescent="0.3">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s="12">
        <f>'Handle Missing Value Sheet only'!$F$5</f>
        <v>139.27096774193564</v>
      </c>
      <c r="V53">
        <v>114.4</v>
      </c>
      <c r="W53">
        <v>114.9</v>
      </c>
      <c r="X53">
        <v>112.8</v>
      </c>
      <c r="Y53">
        <v>112.2</v>
      </c>
      <c r="Z53">
        <v>111.4</v>
      </c>
      <c r="AA53">
        <v>114.3</v>
      </c>
      <c r="AB53">
        <v>108</v>
      </c>
      <c r="AC53">
        <v>112.3</v>
      </c>
      <c r="AD53">
        <v>117</v>
      </c>
      <c r="AE53" s="12">
        <f>AVERAGE(All_India_Index_Upto_April23__1___14[[#This Row],[Cereals and products]:[Pan, tobacco and intoxicants]])</f>
        <v>117.35714285714285</v>
      </c>
      <c r="AF53" s="12">
        <f>AVERAGE(All_India_Index_Upto_April23__1___14[[#This Row],[Household goods and services]],All_India_Index_Upto_April23__1___14[[#This Row],[Housing]])</f>
        <v>127.08548387096782</v>
      </c>
      <c r="AG53" s="12">
        <f>AVERAGE(All_India_Index_Upto_April23__1___14[[#This Row],[Miscellaneous]],All_India_Index_Upto_April23__1___14[[#This Row],[Personal care and effects]],All_India_Index_Upto_April23__1___14[[#This Row],[Education]],All_India_Index_Upto_April23__1___14[[#This Row],[Recreation and amusement]])</f>
        <v>111.5</v>
      </c>
      <c r="AH53" s="12">
        <f>SUM(All_India_Index_Upto_April23__1___14[[#This Row],[Cereals and products]:[Pan, tobacco and intoxicants]])</f>
        <v>1642.9999999999998</v>
      </c>
      <c r="AI53" s="12">
        <f>SUM(All_India_Index_Upto_April23__1___14[[#This Row],[Household goods and services]],All_India_Index_Upto_April23__1___14[[#This Row],[Housing]])</f>
        <v>254.17096774193564</v>
      </c>
      <c r="AJ53" s="12">
        <f>All_India_Index_Upto_April23__1___14[[#This Row],[Clothing]]+All_India_Index_Upto_April23__1___14[[#This Row],[Footwear]]</f>
        <v>237</v>
      </c>
      <c r="AK53" s="12">
        <f>All_India_Index_Upto_April23__1___14[[#This Row],[Miscellaneous]]+All_India_Index_Upto_April23__1___14[[#This Row],[Personal care and effects]]+All_India_Index_Upto_April23__1___14[[#This Row],[Education]]+All_India_Index_Upto_April23__1___14[[#This Row],[Recreation and amusement]]</f>
        <v>446</v>
      </c>
      <c r="AL5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2919.5709677419354</v>
      </c>
    </row>
    <row r="54" spans="1:38" hidden="1" x14ac:dyDescent="0.3">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s="12">
        <f>AVERAGE(All_India_Index_Upto_April23__1___14[[#This Row],[Cereals and products]:[Pan, tobacco and intoxicants]])</f>
        <v>119</v>
      </c>
      <c r="AF54" s="12">
        <f>AVERAGE(All_India_Index_Upto_April23__1___14[[#This Row],[Household goods and services]],All_India_Index_Upto_April23__1___14[[#This Row],[Housing]])</f>
        <v>114.1</v>
      </c>
      <c r="AG54" s="12">
        <f>AVERAGE(All_India_Index_Upto_April23__1___14[[#This Row],[Miscellaneous]],All_India_Index_Upto_April23__1___14[[#This Row],[Personal care and effects]],All_India_Index_Upto_April23__1___14[[#This Row],[Education]],All_India_Index_Upto_April23__1___14[[#This Row],[Recreation and amusement]])</f>
        <v>111.95</v>
      </c>
      <c r="AH54" s="12">
        <f>SUM(All_India_Index_Upto_April23__1___14[[#This Row],[Cereals and products]:[Pan, tobacco and intoxicants]])</f>
        <v>1666</v>
      </c>
      <c r="AI54" s="12">
        <f>SUM(All_India_Index_Upto_April23__1___14[[#This Row],[Household goods and services]],All_India_Index_Upto_April23__1___14[[#This Row],[Housing]])</f>
        <v>228.2</v>
      </c>
      <c r="AJ54" s="12">
        <f>All_India_Index_Upto_April23__1___14[[#This Row],[Clothing]]+All_India_Index_Upto_April23__1___14[[#This Row],[Footwear]]</f>
        <v>230.60000000000002</v>
      </c>
      <c r="AK54" s="12">
        <f>All_India_Index_Upto_April23__1___14[[#This Row],[Miscellaneous]]+All_India_Index_Upto_April23__1___14[[#This Row],[Personal care and effects]]+All_India_Index_Upto_April23__1___14[[#This Row],[Education]]+All_India_Index_Upto_April23__1___14[[#This Row],[Recreation and amusement]]</f>
        <v>447.8</v>
      </c>
      <c r="AL5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2906.7000000000003</v>
      </c>
    </row>
    <row r="55" spans="1:38" hidden="1" x14ac:dyDescent="0.3">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s="12">
        <f>AVERAGE(All_India_Index_Upto_April23__1___14[[#This Row],[Cereals and products]:[Pan, tobacco and intoxicants]])</f>
        <v>117.96428571428574</v>
      </c>
      <c r="AF55" s="12">
        <f>AVERAGE(All_India_Index_Upto_April23__1___14[[#This Row],[Household goods and services]],All_India_Index_Upto_April23__1___14[[#This Row],[Housing]])</f>
        <v>114.25</v>
      </c>
      <c r="AG55" s="12">
        <f>AVERAGE(All_India_Index_Upto_April23__1___14[[#This Row],[Miscellaneous]],All_India_Index_Upto_April23__1___14[[#This Row],[Personal care and effects]],All_India_Index_Upto_April23__1___14[[#This Row],[Education]],All_India_Index_Upto_April23__1___14[[#This Row],[Recreation and amusement]])</f>
        <v>111.75</v>
      </c>
      <c r="AH55" s="12">
        <f>SUM(All_India_Index_Upto_April23__1___14[[#This Row],[Cereals and products]:[Pan, tobacco and intoxicants]])</f>
        <v>1651.5000000000002</v>
      </c>
      <c r="AI55" s="12">
        <f>SUM(All_India_Index_Upto_April23__1___14[[#This Row],[Household goods and services]],All_India_Index_Upto_April23__1___14[[#This Row],[Housing]])</f>
        <v>228.5</v>
      </c>
      <c r="AJ55" s="12">
        <f>All_India_Index_Upto_April23__1___14[[#This Row],[Clothing]]+All_India_Index_Upto_April23__1___14[[#This Row],[Footwear]]</f>
        <v>234.39999999999998</v>
      </c>
      <c r="AK55" s="12">
        <f>All_India_Index_Upto_April23__1___14[[#This Row],[Miscellaneous]]+All_India_Index_Upto_April23__1___14[[#This Row],[Personal care and effects]]+All_India_Index_Upto_April23__1___14[[#This Row],[Education]]+All_India_Index_Upto_April23__1___14[[#This Row],[Recreation and amusement]]</f>
        <v>447</v>
      </c>
      <c r="AL5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2898.7000000000003</v>
      </c>
    </row>
    <row r="56" spans="1:38" hidden="1" x14ac:dyDescent="0.3">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s="12">
        <f>'Handle Missing Value Sheet only'!$F$5</f>
        <v>139.27096774193564</v>
      </c>
      <c r="V56">
        <v>115.3</v>
      </c>
      <c r="W56">
        <v>115.4</v>
      </c>
      <c r="X56">
        <v>113.4</v>
      </c>
      <c r="Y56">
        <v>113.2</v>
      </c>
      <c r="Z56">
        <v>111.8</v>
      </c>
      <c r="AA56">
        <v>115.5</v>
      </c>
      <c r="AB56">
        <v>108.8</v>
      </c>
      <c r="AC56">
        <v>113.1</v>
      </c>
      <c r="AD56">
        <v>119.5</v>
      </c>
      <c r="AE56" s="12">
        <f>AVERAGE(All_India_Index_Upto_April23__1___14[[#This Row],[Cereals and products]:[Pan, tobacco and intoxicants]])</f>
        <v>120.08571428571429</v>
      </c>
      <c r="AF56" s="12">
        <f>AVERAGE(All_India_Index_Upto_April23__1___14[[#This Row],[Household goods and services]],All_India_Index_Upto_April23__1___14[[#This Row],[Housing]])</f>
        <v>127.33548387096782</v>
      </c>
      <c r="AG56" s="12">
        <f>AVERAGE(All_India_Index_Upto_April23__1___14[[#This Row],[Miscellaneous]],All_India_Index_Upto_April23__1___14[[#This Row],[Personal care and effects]],All_India_Index_Upto_April23__1___14[[#This Row],[Education]],All_India_Index_Upto_April23__1___14[[#This Row],[Recreation and amusement]])</f>
        <v>112.3</v>
      </c>
      <c r="AH56" s="12">
        <f>SUM(All_India_Index_Upto_April23__1___14[[#This Row],[Cereals and products]:[Pan, tobacco and intoxicants]])</f>
        <v>1681.2</v>
      </c>
      <c r="AI56" s="12">
        <f>SUM(All_India_Index_Upto_April23__1___14[[#This Row],[Household goods and services]],All_India_Index_Upto_April23__1___14[[#This Row],[Housing]])</f>
        <v>254.67096774193564</v>
      </c>
      <c r="AJ56" s="12">
        <f>All_India_Index_Upto_April23__1___14[[#This Row],[Clothing]]+All_India_Index_Upto_April23__1___14[[#This Row],[Footwear]]</f>
        <v>239</v>
      </c>
      <c r="AK56" s="12">
        <f>All_India_Index_Upto_April23__1___14[[#This Row],[Miscellaneous]]+All_India_Index_Upto_April23__1___14[[#This Row],[Personal care and effects]]+All_India_Index_Upto_April23__1___14[[#This Row],[Education]]+All_India_Index_Upto_April23__1___14[[#This Row],[Recreation and amusement]]</f>
        <v>449.2</v>
      </c>
      <c r="AL5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2965.970967741936</v>
      </c>
    </row>
    <row r="57" spans="1:38" hidden="1" x14ac:dyDescent="0.3">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s="12">
        <f>AVERAGE(All_India_Index_Upto_April23__1___14[[#This Row],[Cereals and products]:[Pan, tobacco and intoxicants]])</f>
        <v>122.89285714285714</v>
      </c>
      <c r="AF57" s="12">
        <f>AVERAGE(All_India_Index_Upto_April23__1___14[[#This Row],[Household goods and services]],All_India_Index_Upto_April23__1___14[[#This Row],[Housing]])</f>
        <v>114.85</v>
      </c>
      <c r="AG57" s="12">
        <f>AVERAGE(All_India_Index_Upto_April23__1___14[[#This Row],[Miscellaneous]],All_India_Index_Upto_April23__1___14[[#This Row],[Personal care and effects]],All_India_Index_Upto_April23__1___14[[#This Row],[Education]],All_India_Index_Upto_April23__1___14[[#This Row],[Recreation and amusement]])</f>
        <v>113.35</v>
      </c>
      <c r="AH57" s="12">
        <f>SUM(All_India_Index_Upto_April23__1___14[[#This Row],[Cereals and products]:[Pan, tobacco and intoxicants]])</f>
        <v>1720.5</v>
      </c>
      <c r="AI57" s="12">
        <f>SUM(All_India_Index_Upto_April23__1___14[[#This Row],[Household goods and services]],All_India_Index_Upto_April23__1___14[[#This Row],[Housing]])</f>
        <v>229.7</v>
      </c>
      <c r="AJ57" s="12">
        <f>All_India_Index_Upto_April23__1___14[[#This Row],[Clothing]]+All_India_Index_Upto_April23__1___14[[#This Row],[Footwear]]</f>
        <v>231.6</v>
      </c>
      <c r="AK57" s="12">
        <f>All_India_Index_Upto_April23__1___14[[#This Row],[Miscellaneous]]+All_India_Index_Upto_April23__1___14[[#This Row],[Personal care and effects]]+All_India_Index_Upto_April23__1___14[[#This Row],[Education]]+All_India_Index_Upto_April23__1___14[[#This Row],[Recreation and amusement]]</f>
        <v>453.4</v>
      </c>
      <c r="AL5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2971.2999999999997</v>
      </c>
    </row>
    <row r="58" spans="1:38" hidden="1" x14ac:dyDescent="0.3">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s="12">
        <f>AVERAGE(All_India_Index_Upto_April23__1___14[[#This Row],[Cereals and products]:[Pan, tobacco and intoxicants]])</f>
        <v>121.07857142857142</v>
      </c>
      <c r="AF58" s="12">
        <f>AVERAGE(All_India_Index_Upto_April23__1___14[[#This Row],[Household goods and services]],All_India_Index_Upto_April23__1___14[[#This Row],[Housing]])</f>
        <v>115</v>
      </c>
      <c r="AG58" s="12">
        <f>AVERAGE(All_India_Index_Upto_April23__1___14[[#This Row],[Miscellaneous]],All_India_Index_Upto_April23__1___14[[#This Row],[Personal care and effects]],All_India_Index_Upto_April23__1___14[[#This Row],[Education]],All_India_Index_Upto_April23__1___14[[#This Row],[Recreation and amusement]])</f>
        <v>112.85</v>
      </c>
      <c r="AH58" s="12">
        <f>SUM(All_India_Index_Upto_April23__1___14[[#This Row],[Cereals and products]:[Pan, tobacco and intoxicants]])</f>
        <v>1695.1</v>
      </c>
      <c r="AI58" s="12">
        <f>SUM(All_India_Index_Upto_April23__1___14[[#This Row],[Household goods and services]],All_India_Index_Upto_April23__1___14[[#This Row],[Housing]])</f>
        <v>230</v>
      </c>
      <c r="AJ58" s="12">
        <f>All_India_Index_Upto_April23__1___14[[#This Row],[Clothing]]+All_India_Index_Upto_April23__1___14[[#This Row],[Footwear]]</f>
        <v>235.89999999999998</v>
      </c>
      <c r="AK58" s="12">
        <f>All_India_Index_Upto_April23__1___14[[#This Row],[Miscellaneous]]+All_India_Index_Upto_April23__1___14[[#This Row],[Personal care and effects]]+All_India_Index_Upto_April23__1___14[[#This Row],[Education]]+All_India_Index_Upto_April23__1___14[[#This Row],[Recreation and amusement]]</f>
        <v>451.4</v>
      </c>
      <c r="AL5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2952.0999999999995</v>
      </c>
    </row>
    <row r="59" spans="1:38" hidden="1" x14ac:dyDescent="0.3">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s="12">
        <f>'Handle Missing Value Sheet only'!$F$5</f>
        <v>139.27096774193564</v>
      </c>
      <c r="V59">
        <v>115.4</v>
      </c>
      <c r="W59">
        <v>115.9</v>
      </c>
      <c r="X59">
        <v>114</v>
      </c>
      <c r="Y59">
        <v>113.2</v>
      </c>
      <c r="Z59">
        <v>112.2</v>
      </c>
      <c r="AA59">
        <v>116.2</v>
      </c>
      <c r="AB59">
        <v>109.4</v>
      </c>
      <c r="AC59">
        <v>113.5</v>
      </c>
      <c r="AD59">
        <v>120.7</v>
      </c>
      <c r="AE59" s="12">
        <f>AVERAGE(All_India_Index_Upto_April23__1___14[[#This Row],[Cereals and products]:[Pan, tobacco and intoxicants]])</f>
        <v>121.50714285714284</v>
      </c>
      <c r="AF59" s="12">
        <f>AVERAGE(All_India_Index_Upto_April23__1___14[[#This Row],[Household goods and services]],All_India_Index_Upto_April23__1___14[[#This Row],[Housing]])</f>
        <v>127.58548387096782</v>
      </c>
      <c r="AG59" s="12">
        <f>AVERAGE(All_India_Index_Upto_April23__1___14[[#This Row],[Miscellaneous]],All_India_Index_Upto_April23__1___14[[#This Row],[Personal care and effects]],All_India_Index_Upto_April23__1___14[[#This Row],[Education]],All_India_Index_Upto_April23__1___14[[#This Row],[Recreation and amusement]])</f>
        <v>112.825</v>
      </c>
      <c r="AH59" s="12">
        <f>SUM(All_India_Index_Upto_April23__1___14[[#This Row],[Cereals and products]:[Pan, tobacco and intoxicants]])</f>
        <v>1701.0999999999997</v>
      </c>
      <c r="AI59" s="12">
        <f>SUM(All_India_Index_Upto_April23__1___14[[#This Row],[Household goods and services]],All_India_Index_Upto_April23__1___14[[#This Row],[Housing]])</f>
        <v>255.17096774193564</v>
      </c>
      <c r="AJ59" s="12">
        <f>All_India_Index_Upto_April23__1___14[[#This Row],[Clothing]]+All_India_Index_Upto_April23__1___14[[#This Row],[Footwear]]</f>
        <v>239.7</v>
      </c>
      <c r="AK59" s="12">
        <f>All_India_Index_Upto_April23__1___14[[#This Row],[Miscellaneous]]+All_India_Index_Upto_April23__1___14[[#This Row],[Personal care and effects]]+All_India_Index_Upto_April23__1___14[[#This Row],[Education]]+All_India_Index_Upto_April23__1___14[[#This Row],[Recreation and amusement]]</f>
        <v>451.3</v>
      </c>
      <c r="AL5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2989.8709677419351</v>
      </c>
    </row>
    <row r="60" spans="1:38" hidden="1" x14ac:dyDescent="0.3">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s="12">
        <f>AVERAGE(All_India_Index_Upto_April23__1___14[[#This Row],[Cereals and products]:[Pan, tobacco and intoxicants]])</f>
        <v>124.28571428571429</v>
      </c>
      <c r="AF60" s="12">
        <f>AVERAGE(All_India_Index_Upto_April23__1___14[[#This Row],[Household goods and services]],All_India_Index_Upto_April23__1___14[[#This Row],[Housing]])</f>
        <v>115.4</v>
      </c>
      <c r="AG60" s="12">
        <f>AVERAGE(All_India_Index_Upto_April23__1___14[[#This Row],[Miscellaneous]],All_India_Index_Upto_April23__1___14[[#This Row],[Personal care and effects]],All_India_Index_Upto_April23__1___14[[#This Row],[Education]],All_India_Index_Upto_April23__1___14[[#This Row],[Recreation and amusement]])</f>
        <v>114.125</v>
      </c>
      <c r="AH60" s="12">
        <f>SUM(All_India_Index_Upto_April23__1___14[[#This Row],[Cereals and products]:[Pan, tobacco and intoxicants]])</f>
        <v>1740</v>
      </c>
      <c r="AI60" s="12">
        <f>SUM(All_India_Index_Upto_April23__1___14[[#This Row],[Household goods and services]],All_India_Index_Upto_April23__1___14[[#This Row],[Housing]])</f>
        <v>230.8</v>
      </c>
      <c r="AJ60" s="12">
        <f>All_India_Index_Upto_April23__1___14[[#This Row],[Clothing]]+All_India_Index_Upto_April23__1___14[[#This Row],[Footwear]]</f>
        <v>232.7</v>
      </c>
      <c r="AK60" s="12">
        <f>All_India_Index_Upto_April23__1___14[[#This Row],[Miscellaneous]]+All_India_Index_Upto_April23__1___14[[#This Row],[Personal care and effects]]+All_India_Index_Upto_April23__1___14[[#This Row],[Education]]+All_India_Index_Upto_April23__1___14[[#This Row],[Recreation and amusement]]</f>
        <v>456.5</v>
      </c>
      <c r="AL6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2996.5</v>
      </c>
    </row>
    <row r="61" spans="1:38" hidden="1" x14ac:dyDescent="0.3">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s="12">
        <f>AVERAGE(All_India_Index_Upto_April23__1___14[[#This Row],[Cereals and products]:[Pan, tobacco and intoxicants]])</f>
        <v>122.45714285714284</v>
      </c>
      <c r="AF61" s="12">
        <f>AVERAGE(All_India_Index_Upto_April23__1___14[[#This Row],[Household goods and services]],All_India_Index_Upto_April23__1___14[[#This Row],[Housing]])</f>
        <v>115.55</v>
      </c>
      <c r="AG61" s="12">
        <f>AVERAGE(All_India_Index_Upto_April23__1___14[[#This Row],[Miscellaneous]],All_India_Index_Upto_April23__1___14[[#This Row],[Personal care and effects]],All_India_Index_Upto_April23__1___14[[#This Row],[Education]],All_India_Index_Upto_April23__1___14[[#This Row],[Recreation and amusement]])</f>
        <v>113.55000000000001</v>
      </c>
      <c r="AH61" s="12">
        <f>SUM(All_India_Index_Upto_April23__1___14[[#This Row],[Cereals and products]:[Pan, tobacco and intoxicants]])</f>
        <v>1714.3999999999999</v>
      </c>
      <c r="AI61" s="12">
        <f>SUM(All_India_Index_Upto_April23__1___14[[#This Row],[Household goods and services]],All_India_Index_Upto_April23__1___14[[#This Row],[Housing]])</f>
        <v>231.1</v>
      </c>
      <c r="AJ61" s="12">
        <f>All_India_Index_Upto_April23__1___14[[#This Row],[Clothing]]+All_India_Index_Upto_April23__1___14[[#This Row],[Footwear]]</f>
        <v>236.8</v>
      </c>
      <c r="AK61" s="12">
        <f>All_India_Index_Upto_April23__1___14[[#This Row],[Miscellaneous]]+All_India_Index_Upto_April23__1___14[[#This Row],[Personal care and effects]]+All_India_Index_Upto_April23__1___14[[#This Row],[Education]]+All_India_Index_Upto_April23__1___14[[#This Row],[Recreation and amusement]]</f>
        <v>454.20000000000005</v>
      </c>
      <c r="AL6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2976.6000000000004</v>
      </c>
    </row>
    <row r="62" spans="1:38" hidden="1" x14ac:dyDescent="0.3">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s="12">
        <f>'Handle Missing Value Sheet only'!$F$5</f>
        <v>139.27096774193564</v>
      </c>
      <c r="V62">
        <v>115.8</v>
      </c>
      <c r="W62">
        <v>116.7</v>
      </c>
      <c r="X62">
        <v>114.5</v>
      </c>
      <c r="Y62">
        <v>112.8</v>
      </c>
      <c r="Z62">
        <v>112.6</v>
      </c>
      <c r="AA62">
        <v>116.6</v>
      </c>
      <c r="AB62">
        <v>109.1</v>
      </c>
      <c r="AC62">
        <v>113.7</v>
      </c>
      <c r="AD62">
        <v>120.9</v>
      </c>
      <c r="AE62" s="12">
        <f>AVERAGE(All_India_Index_Upto_April23__1___14[[#This Row],[Cereals and products]:[Pan, tobacco and intoxicants]])</f>
        <v>121.62142857142858</v>
      </c>
      <c r="AF62" s="12">
        <f>AVERAGE(All_India_Index_Upto_April23__1___14[[#This Row],[Household goods and services]],All_India_Index_Upto_April23__1___14[[#This Row],[Housing]])</f>
        <v>127.98548387096781</v>
      </c>
      <c r="AG62" s="12">
        <f>AVERAGE(All_India_Index_Upto_April23__1___14[[#This Row],[Miscellaneous]],All_India_Index_Upto_April23__1___14[[#This Row],[Personal care and effects]],All_India_Index_Upto_April23__1___14[[#This Row],[Education]],All_India_Index_Upto_April23__1___14[[#This Row],[Recreation and amusement]])</f>
        <v>113</v>
      </c>
      <c r="AH62" s="12">
        <f>SUM(All_India_Index_Upto_April23__1___14[[#This Row],[Cereals and products]:[Pan, tobacco and intoxicants]])</f>
        <v>1702.7</v>
      </c>
      <c r="AI62" s="12">
        <f>SUM(All_India_Index_Upto_April23__1___14[[#This Row],[Household goods and services]],All_India_Index_Upto_April23__1___14[[#This Row],[Housing]])</f>
        <v>255.97096774193562</v>
      </c>
      <c r="AJ62" s="12">
        <f>All_India_Index_Upto_April23__1___14[[#This Row],[Clothing]]+All_India_Index_Upto_April23__1___14[[#This Row],[Footwear]]</f>
        <v>240.9</v>
      </c>
      <c r="AK62" s="12">
        <f>All_India_Index_Upto_April23__1___14[[#This Row],[Miscellaneous]]+All_India_Index_Upto_April23__1___14[[#This Row],[Personal care and effects]]+All_India_Index_Upto_April23__1___14[[#This Row],[Education]]+All_India_Index_Upto_April23__1___14[[#This Row],[Recreation and amusement]]</f>
        <v>452</v>
      </c>
      <c r="AL6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2994.6709677419358</v>
      </c>
    </row>
    <row r="63" spans="1:38" hidden="1" x14ac:dyDescent="0.3">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s="12">
        <f>AVERAGE(All_India_Index_Upto_April23__1___14[[#This Row],[Cereals and products]:[Pan, tobacco and intoxicants]])</f>
        <v>122.71428571428574</v>
      </c>
      <c r="AF63" s="12">
        <f>AVERAGE(All_India_Index_Upto_April23__1___14[[#This Row],[Household goods and services]],All_India_Index_Upto_April23__1___14[[#This Row],[Housing]])</f>
        <v>115.8</v>
      </c>
      <c r="AG63" s="12">
        <f>AVERAGE(All_India_Index_Upto_April23__1___14[[#This Row],[Miscellaneous]],All_India_Index_Upto_April23__1___14[[#This Row],[Personal care and effects]],All_India_Index_Upto_April23__1___14[[#This Row],[Education]],All_India_Index_Upto_April23__1___14[[#This Row],[Recreation and amusement]])</f>
        <v>114.25</v>
      </c>
      <c r="AH63" s="12">
        <f>SUM(All_India_Index_Upto_April23__1___14[[#This Row],[Cereals and products]:[Pan, tobacco and intoxicants]])</f>
        <v>1718.0000000000002</v>
      </c>
      <c r="AI63" s="12">
        <f>SUM(All_India_Index_Upto_April23__1___14[[#This Row],[Household goods and services]],All_India_Index_Upto_April23__1___14[[#This Row],[Housing]])</f>
        <v>231.6</v>
      </c>
      <c r="AJ63" s="12">
        <f>All_India_Index_Upto_April23__1___14[[#This Row],[Clothing]]+All_India_Index_Upto_April23__1___14[[#This Row],[Footwear]]</f>
        <v>233.7</v>
      </c>
      <c r="AK63" s="12">
        <f>All_India_Index_Upto_April23__1___14[[#This Row],[Miscellaneous]]+All_India_Index_Upto_April23__1___14[[#This Row],[Personal care and effects]]+All_India_Index_Upto_April23__1___14[[#This Row],[Education]]+All_India_Index_Upto_April23__1___14[[#This Row],[Recreation and amusement]]</f>
        <v>457</v>
      </c>
      <c r="AL6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2975.6000000000004</v>
      </c>
    </row>
    <row r="64" spans="1:38" hidden="1" x14ac:dyDescent="0.3">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s="12">
        <f>AVERAGE(All_India_Index_Upto_April23__1___14[[#This Row],[Cereals and products]:[Pan, tobacco and intoxicants]])</f>
        <v>121.92142857142855</v>
      </c>
      <c r="AF64" s="12">
        <f>AVERAGE(All_India_Index_Upto_April23__1___14[[#This Row],[Household goods and services]],All_India_Index_Upto_April23__1___14[[#This Row],[Housing]])</f>
        <v>116.1</v>
      </c>
      <c r="AG64" s="12">
        <f>AVERAGE(All_India_Index_Upto_April23__1___14[[#This Row],[Miscellaneous]],All_India_Index_Upto_April23__1___14[[#This Row],[Personal care and effects]],All_India_Index_Upto_April23__1___14[[#This Row],[Education]],All_India_Index_Upto_April23__1___14[[#This Row],[Recreation and amusement]])</f>
        <v>113.72499999999999</v>
      </c>
      <c r="AH64" s="12">
        <f>SUM(All_India_Index_Upto_April23__1___14[[#This Row],[Cereals and products]:[Pan, tobacco and intoxicants]])</f>
        <v>1706.8999999999996</v>
      </c>
      <c r="AI64" s="12">
        <f>SUM(All_India_Index_Upto_April23__1___14[[#This Row],[Household goods and services]],All_India_Index_Upto_April23__1___14[[#This Row],[Housing]])</f>
        <v>232.2</v>
      </c>
      <c r="AJ64" s="12">
        <f>All_India_Index_Upto_April23__1___14[[#This Row],[Clothing]]+All_India_Index_Upto_April23__1___14[[#This Row],[Footwear]]</f>
        <v>237.9</v>
      </c>
      <c r="AK64" s="12">
        <f>All_India_Index_Upto_April23__1___14[[#This Row],[Miscellaneous]]+All_India_Index_Upto_April23__1___14[[#This Row],[Personal care and effects]]+All_India_Index_Upto_April23__1___14[[#This Row],[Education]]+All_India_Index_Upto_April23__1___14[[#This Row],[Recreation and amusement]]</f>
        <v>454.9</v>
      </c>
      <c r="AL6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2971.8999999999996</v>
      </c>
    </row>
    <row r="65" spans="1:38" hidden="1" x14ac:dyDescent="0.3">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s="12">
        <f>'Handle Missing Value Sheet only'!$F$5</f>
        <v>139.27096774193564</v>
      </c>
      <c r="V65">
        <v>116.4</v>
      </c>
      <c r="W65">
        <v>117.5</v>
      </c>
      <c r="X65">
        <v>115.3</v>
      </c>
      <c r="Y65">
        <v>112.6</v>
      </c>
      <c r="Z65">
        <v>113</v>
      </c>
      <c r="AA65">
        <v>116.9</v>
      </c>
      <c r="AB65">
        <v>109.3</v>
      </c>
      <c r="AC65">
        <v>114</v>
      </c>
      <c r="AD65">
        <v>121</v>
      </c>
      <c r="AE65" s="12">
        <f>AVERAGE(All_India_Index_Upto_April23__1___14[[#This Row],[Cereals and products]:[Pan, tobacco and intoxicants]])</f>
        <v>121.51428571428571</v>
      </c>
      <c r="AF65" s="12">
        <f>AVERAGE(All_India_Index_Upto_April23__1___14[[#This Row],[Household goods and services]],All_India_Index_Upto_April23__1___14[[#This Row],[Housing]])</f>
        <v>128.38548387096782</v>
      </c>
      <c r="AG65" s="12">
        <f>AVERAGE(All_India_Index_Upto_April23__1___14[[#This Row],[Miscellaneous]],All_India_Index_Upto_April23__1___14[[#This Row],[Personal care and effects]],All_India_Index_Upto_April23__1___14[[#This Row],[Education]],All_India_Index_Upto_April23__1___14[[#This Row],[Recreation and amusement]])</f>
        <v>113.30000000000001</v>
      </c>
      <c r="AH65" s="12">
        <f>SUM(All_India_Index_Upto_April23__1___14[[#This Row],[Cereals and products]:[Pan, tobacco and intoxicants]])</f>
        <v>1701.1999999999998</v>
      </c>
      <c r="AI65" s="12">
        <f>SUM(All_India_Index_Upto_April23__1___14[[#This Row],[Household goods and services]],All_India_Index_Upto_April23__1___14[[#This Row],[Housing]])</f>
        <v>256.77096774193564</v>
      </c>
      <c r="AJ65" s="12">
        <f>All_India_Index_Upto_April23__1___14[[#This Row],[Clothing]]+All_India_Index_Upto_April23__1___14[[#This Row],[Footwear]]</f>
        <v>243</v>
      </c>
      <c r="AK65" s="12">
        <f>All_India_Index_Upto_April23__1___14[[#This Row],[Miscellaneous]]+All_India_Index_Upto_April23__1___14[[#This Row],[Personal care and effects]]+All_India_Index_Upto_April23__1___14[[#This Row],[Education]]+All_India_Index_Upto_April23__1___14[[#This Row],[Recreation and amusement]]</f>
        <v>453.20000000000005</v>
      </c>
      <c r="AL6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2998.470967741936</v>
      </c>
    </row>
    <row r="66" spans="1:38" hidden="1" x14ac:dyDescent="0.3">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s="12">
        <f>AVERAGE(All_India_Index_Upto_April23__1___14[[#This Row],[Cereals and products]:[Pan, tobacco and intoxicants]])</f>
        <v>122.27142857142857</v>
      </c>
      <c r="AF66" s="12">
        <f>AVERAGE(All_India_Index_Upto_April23__1___14[[#This Row],[Household goods and services]],All_India_Index_Upto_April23__1___14[[#This Row],[Housing]])</f>
        <v>116.25</v>
      </c>
      <c r="AG66" s="12">
        <f>AVERAGE(All_India_Index_Upto_April23__1___14[[#This Row],[Miscellaneous]],All_India_Index_Upto_April23__1___14[[#This Row],[Personal care and effects]],All_India_Index_Upto_April23__1___14[[#This Row],[Education]],All_India_Index_Upto_April23__1___14[[#This Row],[Recreation and amusement]])</f>
        <v>114.4</v>
      </c>
      <c r="AH66" s="12">
        <f>SUM(All_India_Index_Upto_April23__1___14[[#This Row],[Cereals and products]:[Pan, tobacco and intoxicants]])</f>
        <v>1711.8</v>
      </c>
      <c r="AI66" s="12">
        <f>SUM(All_India_Index_Upto_April23__1___14[[#This Row],[Household goods and services]],All_India_Index_Upto_April23__1___14[[#This Row],[Housing]])</f>
        <v>232.5</v>
      </c>
      <c r="AJ66" s="12">
        <f>All_India_Index_Upto_April23__1___14[[#This Row],[Clothing]]+All_India_Index_Upto_April23__1___14[[#This Row],[Footwear]]</f>
        <v>234.5</v>
      </c>
      <c r="AK66" s="12">
        <f>All_India_Index_Upto_April23__1___14[[#This Row],[Miscellaneous]]+All_India_Index_Upto_April23__1___14[[#This Row],[Personal care and effects]]+All_India_Index_Upto_April23__1___14[[#This Row],[Education]]+All_India_Index_Upto_April23__1___14[[#This Row],[Recreation and amusement]]</f>
        <v>457.6</v>
      </c>
      <c r="AL6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2972</v>
      </c>
    </row>
    <row r="67" spans="1:38" hidden="1" x14ac:dyDescent="0.3">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s="12">
        <f>AVERAGE(All_India_Index_Upto_April23__1___14[[#This Row],[Cereals and products]:[Pan, tobacco and intoxicants]])</f>
        <v>121.7</v>
      </c>
      <c r="AF67" s="12">
        <f>AVERAGE(All_India_Index_Upto_April23__1___14[[#This Row],[Household goods and services]],All_India_Index_Upto_April23__1___14[[#This Row],[Housing]])</f>
        <v>116.7</v>
      </c>
      <c r="AG67" s="12">
        <f>AVERAGE(All_India_Index_Upto_April23__1___14[[#This Row],[Miscellaneous]],All_India_Index_Upto_April23__1___14[[#This Row],[Personal care and effects]],All_India_Index_Upto_April23__1___14[[#This Row],[Education]],All_India_Index_Upto_April23__1___14[[#This Row],[Recreation and amusement]])</f>
        <v>113.9</v>
      </c>
      <c r="AH67" s="12">
        <f>SUM(All_India_Index_Upto_April23__1___14[[#This Row],[Cereals and products]:[Pan, tobacco and intoxicants]])</f>
        <v>1703.8</v>
      </c>
      <c r="AI67" s="12">
        <f>SUM(All_India_Index_Upto_April23__1___14[[#This Row],[Household goods and services]],All_India_Index_Upto_April23__1___14[[#This Row],[Housing]])</f>
        <v>233.4</v>
      </c>
      <c r="AJ67" s="12">
        <f>All_India_Index_Upto_April23__1___14[[#This Row],[Clothing]]+All_India_Index_Upto_April23__1___14[[#This Row],[Footwear]]</f>
        <v>239.6</v>
      </c>
      <c r="AK67" s="12">
        <f>All_India_Index_Upto_April23__1___14[[#This Row],[Miscellaneous]]+All_India_Index_Upto_April23__1___14[[#This Row],[Personal care and effects]]+All_India_Index_Upto_April23__1___14[[#This Row],[Education]]+All_India_Index_Upto_April23__1___14[[#This Row],[Recreation and amusement]]</f>
        <v>455.6</v>
      </c>
      <c r="AL6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2973.2000000000003</v>
      </c>
    </row>
    <row r="68" spans="1:38" hidden="1"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s="12">
        <f>'Handle Missing Value Sheet only'!$F$5</f>
        <v>139.27096774193564</v>
      </c>
      <c r="V68">
        <v>117.3</v>
      </c>
      <c r="W68">
        <v>118.1</v>
      </c>
      <c r="X68">
        <v>115.9</v>
      </c>
      <c r="Y68">
        <v>112</v>
      </c>
      <c r="Z68">
        <v>113.3</v>
      </c>
      <c r="AA68">
        <v>117.2</v>
      </c>
      <c r="AB68">
        <v>108.8</v>
      </c>
      <c r="AC68">
        <v>114.1</v>
      </c>
      <c r="AD68">
        <v>121.1</v>
      </c>
      <c r="AE68" s="12">
        <f>AVERAGE(All_India_Index_Upto_April23__1___14[[#This Row],[Cereals and products]:[Pan, tobacco and intoxicants]])</f>
        <v>121.62857142857142</v>
      </c>
      <c r="AF68" s="12">
        <f>AVERAGE(All_India_Index_Upto_April23__1___14[[#This Row],[Household goods and services]],All_India_Index_Upto_April23__1___14[[#This Row],[Housing]])</f>
        <v>128.6854838709678</v>
      </c>
      <c r="AG68" s="12">
        <f>AVERAGE(All_India_Index_Upto_April23__1___14[[#This Row],[Miscellaneous]],All_India_Index_Upto_April23__1___14[[#This Row],[Personal care and effects]],All_India_Index_Upto_April23__1___14[[#This Row],[Education]],All_India_Index_Upto_April23__1___14[[#This Row],[Recreation and amusement]])</f>
        <v>113.35</v>
      </c>
      <c r="AH68" s="12">
        <f>SUM(All_India_Index_Upto_April23__1___14[[#This Row],[Cereals and products]:[Pan, tobacco and intoxicants]])</f>
        <v>1702.8</v>
      </c>
      <c r="AI68" s="12">
        <f>SUM(All_India_Index_Upto_April23__1___14[[#This Row],[Household goods and services]],All_India_Index_Upto_April23__1___14[[#This Row],[Housing]])</f>
        <v>257.3709677419356</v>
      </c>
      <c r="AJ68" s="12">
        <f>All_India_Index_Upto_April23__1___14[[#This Row],[Clothing]]+All_India_Index_Upto_April23__1___14[[#This Row],[Footwear]]</f>
        <v>243.8</v>
      </c>
      <c r="AK68" s="12">
        <f>All_India_Index_Upto_April23__1___14[[#This Row],[Miscellaneous]]+All_India_Index_Upto_April23__1___14[[#This Row],[Personal care and effects]]+All_India_Index_Upto_April23__1___14[[#This Row],[Education]]+All_India_Index_Upto_April23__1___14[[#This Row],[Recreation and amusement]]</f>
        <v>453.4</v>
      </c>
      <c r="AL6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3002.5709677419359</v>
      </c>
    </row>
    <row r="69" spans="1:38" hidden="1" x14ac:dyDescent="0.3">
      <c r="A69" t="s">
        <v>32</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s="12">
        <f>AVERAGE(All_India_Index_Upto_April23__1___14[[#This Row],[Cereals and products]:[Pan, tobacco and intoxicants]])</f>
        <v>122.39999999999999</v>
      </c>
      <c r="AF69" s="12">
        <f>AVERAGE(All_India_Index_Upto_April23__1___14[[#This Row],[Household goods and services]],All_India_Index_Upto_April23__1___14[[#This Row],[Housing]])</f>
        <v>116.75</v>
      </c>
      <c r="AG69" s="12">
        <f>AVERAGE(All_India_Index_Upto_April23__1___14[[#This Row],[Miscellaneous]],All_India_Index_Upto_April23__1___14[[#This Row],[Personal care and effects]],All_India_Index_Upto_April23__1___14[[#This Row],[Education]],All_India_Index_Upto_April23__1___14[[#This Row],[Recreation and amusement]])</f>
        <v>114.325</v>
      </c>
      <c r="AH69" s="12">
        <f>SUM(All_India_Index_Upto_April23__1___14[[#This Row],[Cereals and products]:[Pan, tobacco and intoxicants]])</f>
        <v>1713.6</v>
      </c>
      <c r="AI69" s="12">
        <f>SUM(All_India_Index_Upto_April23__1___14[[#This Row],[Household goods and services]],All_India_Index_Upto_April23__1___14[[#This Row],[Housing]])</f>
        <v>233.5</v>
      </c>
      <c r="AJ69" s="12">
        <f>All_India_Index_Upto_April23__1___14[[#This Row],[Clothing]]+All_India_Index_Upto_April23__1___14[[#This Row],[Footwear]]</f>
        <v>235.7</v>
      </c>
      <c r="AK69" s="12">
        <f>All_India_Index_Upto_April23__1___14[[#This Row],[Miscellaneous]]+All_India_Index_Upto_April23__1___14[[#This Row],[Personal care and effects]]+All_India_Index_Upto_April23__1___14[[#This Row],[Education]]+All_India_Index_Upto_April23__1___14[[#This Row],[Recreation and amusement]]</f>
        <v>457.3</v>
      </c>
      <c r="AL6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2975.3999999999996</v>
      </c>
    </row>
    <row r="70" spans="1:38" hidden="1" x14ac:dyDescent="0.3">
      <c r="A70" t="s">
        <v>33</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s="12">
        <f>AVERAGE(All_India_Index_Upto_April23__1___14[[#This Row],[Cereals and products]:[Pan, tobacco and intoxicants]])</f>
        <v>121.80714285714285</v>
      </c>
      <c r="AF70" s="12">
        <f>AVERAGE(All_India_Index_Upto_April23__1___14[[#This Row],[Household goods and services]],All_India_Index_Upto_April23__1___14[[#This Row],[Housing]])</f>
        <v>117.19999999999999</v>
      </c>
      <c r="AG70" s="12">
        <f>AVERAGE(All_India_Index_Upto_April23__1___14[[#This Row],[Miscellaneous]],All_India_Index_Upto_April23__1___14[[#This Row],[Personal care and effects]],All_India_Index_Upto_April23__1___14[[#This Row],[Education]],All_India_Index_Upto_April23__1___14[[#This Row],[Recreation and amusement]])</f>
        <v>113.89999999999999</v>
      </c>
      <c r="AH70" s="12">
        <f>SUM(All_India_Index_Upto_April23__1___14[[#This Row],[Cereals and products]:[Pan, tobacco and intoxicants]])</f>
        <v>1705.3</v>
      </c>
      <c r="AI70" s="12">
        <f>SUM(All_India_Index_Upto_April23__1___14[[#This Row],[Household goods and services]],All_India_Index_Upto_April23__1___14[[#This Row],[Housing]])</f>
        <v>234.39999999999998</v>
      </c>
      <c r="AJ70" s="12">
        <f>All_India_Index_Upto_April23__1___14[[#This Row],[Clothing]]+All_India_Index_Upto_April23__1___14[[#This Row],[Footwear]]</f>
        <v>240.5</v>
      </c>
      <c r="AK70" s="12">
        <f>All_India_Index_Upto_April23__1___14[[#This Row],[Miscellaneous]]+All_India_Index_Upto_April23__1___14[[#This Row],[Personal care and effects]]+All_India_Index_Upto_April23__1___14[[#This Row],[Education]]+All_India_Index_Upto_April23__1___14[[#This Row],[Recreation and amusement]]</f>
        <v>455.59999999999997</v>
      </c>
      <c r="AL7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2976.9</v>
      </c>
    </row>
    <row r="71" spans="1:38" hidden="1"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s="12">
        <f>'Handle Missing Value Sheet only'!$F$5</f>
        <v>139.27096774193564</v>
      </c>
      <c r="V71">
        <v>117.4</v>
      </c>
      <c r="W71">
        <v>118.2</v>
      </c>
      <c r="X71">
        <v>116.2</v>
      </c>
      <c r="Y71">
        <v>111.5</v>
      </c>
      <c r="Z71">
        <v>113.3</v>
      </c>
      <c r="AA71">
        <v>117.7</v>
      </c>
      <c r="AB71">
        <v>109.4</v>
      </c>
      <c r="AC71">
        <v>114.2</v>
      </c>
      <c r="AD71">
        <v>120.3</v>
      </c>
      <c r="AE71" s="12">
        <f>AVERAGE(All_India_Index_Upto_April23__1___14[[#This Row],[Cereals and products]:[Pan, tobacco and intoxicants]])</f>
        <v>120.80714285714285</v>
      </c>
      <c r="AF71" s="12">
        <f>AVERAGE(All_India_Index_Upto_April23__1___14[[#This Row],[Household goods and services]],All_India_Index_Upto_April23__1___14[[#This Row],[Housing]])</f>
        <v>128.73548387096781</v>
      </c>
      <c r="AG71" s="12">
        <f>AVERAGE(All_India_Index_Upto_April23__1___14[[#This Row],[Miscellaneous]],All_India_Index_Upto_April23__1___14[[#This Row],[Personal care and effects]],All_India_Index_Upto_April23__1___14[[#This Row],[Education]],All_India_Index_Upto_April23__1___14[[#This Row],[Recreation and amusement]])</f>
        <v>113.65</v>
      </c>
      <c r="AH71" s="12">
        <f>SUM(All_India_Index_Upto_April23__1___14[[#This Row],[Cereals and products]:[Pan, tobacco and intoxicants]])</f>
        <v>1691.3</v>
      </c>
      <c r="AI71" s="12">
        <f>SUM(All_India_Index_Upto_April23__1___14[[#This Row],[Household goods and services]],All_India_Index_Upto_April23__1___14[[#This Row],[Housing]])</f>
        <v>257.47096774193562</v>
      </c>
      <c r="AJ71" s="12">
        <f>All_India_Index_Upto_April23__1___14[[#This Row],[Clothing]]+All_India_Index_Upto_April23__1___14[[#This Row],[Footwear]]</f>
        <v>244.39999999999998</v>
      </c>
      <c r="AK71" s="12">
        <f>All_India_Index_Upto_April23__1___14[[#This Row],[Miscellaneous]]+All_India_Index_Upto_April23__1___14[[#This Row],[Personal care and effects]]+All_India_Index_Upto_April23__1___14[[#This Row],[Education]]+All_India_Index_Upto_April23__1___14[[#This Row],[Recreation and amusement]]</f>
        <v>454.6</v>
      </c>
      <c r="AL7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2992.8709677419356</v>
      </c>
    </row>
    <row r="72" spans="1:38" hidden="1" x14ac:dyDescent="0.3">
      <c r="A72" t="s">
        <v>32</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s="12">
        <f>AVERAGE(All_India_Index_Upto_April23__1___14[[#This Row],[Cereals and products]:[Pan, tobacco and intoxicants]])</f>
        <v>121.68571428571428</v>
      </c>
      <c r="AF72" s="12">
        <f>AVERAGE(All_India_Index_Upto_April23__1___14[[#This Row],[Household goods and services]],All_India_Index_Upto_April23__1___14[[#This Row],[Housing]])</f>
        <v>116.65</v>
      </c>
      <c r="AG72" s="12">
        <f>AVERAGE(All_India_Index_Upto_April23__1___14[[#This Row],[Miscellaneous]],All_India_Index_Upto_April23__1___14[[#This Row],[Personal care and effects]],All_India_Index_Upto_April23__1___14[[#This Row],[Education]],All_India_Index_Upto_April23__1___14[[#This Row],[Recreation and amusement]])</f>
        <v>114.7</v>
      </c>
      <c r="AH72" s="12">
        <f>SUM(All_India_Index_Upto_April23__1___14[[#This Row],[Cereals and products]:[Pan, tobacco and intoxicants]])</f>
        <v>1703.6</v>
      </c>
      <c r="AI72" s="12">
        <f>SUM(All_India_Index_Upto_April23__1___14[[#This Row],[Household goods and services]],All_India_Index_Upto_April23__1___14[[#This Row],[Housing]])</f>
        <v>233.3</v>
      </c>
      <c r="AJ72" s="12">
        <f>All_India_Index_Upto_April23__1___14[[#This Row],[Clothing]]+All_India_Index_Upto_April23__1___14[[#This Row],[Footwear]]</f>
        <v>236.5</v>
      </c>
      <c r="AK72" s="12">
        <f>All_India_Index_Upto_April23__1___14[[#This Row],[Miscellaneous]]+All_India_Index_Upto_April23__1___14[[#This Row],[Personal care and effects]]+All_India_Index_Upto_April23__1___14[[#This Row],[Education]]+All_India_Index_Upto_April23__1___14[[#This Row],[Recreation and amusement]]</f>
        <v>458.8</v>
      </c>
      <c r="AL7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2967.2</v>
      </c>
    </row>
    <row r="73" spans="1:38" hidden="1" x14ac:dyDescent="0.3">
      <c r="A73" t="s">
        <v>33</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s="12">
        <f>AVERAGE(All_India_Index_Upto_April23__1___14[[#This Row],[Cereals and products]:[Pan, tobacco and intoxicants]])</f>
        <v>121.04999999999998</v>
      </c>
      <c r="AF73" s="12">
        <f>AVERAGE(All_India_Index_Upto_April23__1___14[[#This Row],[Household goods and services]],All_India_Index_Upto_April23__1___14[[#This Row],[Housing]])</f>
        <v>117</v>
      </c>
      <c r="AG73" s="12">
        <f>AVERAGE(All_India_Index_Upto_April23__1___14[[#This Row],[Miscellaneous]],All_India_Index_Upto_April23__1___14[[#This Row],[Personal care and effects]],All_India_Index_Upto_April23__1___14[[#This Row],[Education]],All_India_Index_Upto_April23__1___14[[#This Row],[Recreation and amusement]])</f>
        <v>114.25</v>
      </c>
      <c r="AH73" s="12">
        <f>SUM(All_India_Index_Upto_April23__1___14[[#This Row],[Cereals and products]:[Pan, tobacco and intoxicants]])</f>
        <v>1694.6999999999998</v>
      </c>
      <c r="AI73" s="12">
        <f>SUM(All_India_Index_Upto_April23__1___14[[#This Row],[Household goods and services]],All_India_Index_Upto_April23__1___14[[#This Row],[Housing]])</f>
        <v>234</v>
      </c>
      <c r="AJ73" s="12">
        <f>All_India_Index_Upto_April23__1___14[[#This Row],[Clothing]]+All_India_Index_Upto_April23__1___14[[#This Row],[Footwear]]</f>
        <v>241.2</v>
      </c>
      <c r="AK73" s="12">
        <f>All_India_Index_Upto_April23__1___14[[#This Row],[Miscellaneous]]+All_India_Index_Upto_April23__1___14[[#This Row],[Personal care and effects]]+All_India_Index_Upto_April23__1___14[[#This Row],[Education]]+All_India_Index_Upto_April23__1___14[[#This Row],[Recreation and amusement]]</f>
        <v>457</v>
      </c>
      <c r="AL7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2967.7999999999993</v>
      </c>
    </row>
    <row r="74" spans="1:38"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s="12">
        <f>'Handle Missing Value Sheet only'!$F$5</f>
        <v>139.27096774193564</v>
      </c>
      <c r="V74">
        <v>118.4</v>
      </c>
      <c r="W74">
        <v>118.9</v>
      </c>
      <c r="X74">
        <v>116.6</v>
      </c>
      <c r="Y74">
        <v>111</v>
      </c>
      <c r="Z74">
        <v>114</v>
      </c>
      <c r="AA74">
        <v>118.2</v>
      </c>
      <c r="AB74">
        <v>110.2</v>
      </c>
      <c r="AC74">
        <v>114.5</v>
      </c>
      <c r="AD74">
        <v>120.3</v>
      </c>
      <c r="AE74" s="12">
        <f>AVERAGE(All_India_Index_Upto_April23__1___14[[#This Row],[Cereals and products]:[Pan, tobacco and intoxicants]])</f>
        <v>120.77142857142857</v>
      </c>
      <c r="AF74" s="12">
        <f>AVERAGE(All_India_Index_Upto_April23__1___14[[#This Row],[Household goods and services]],All_India_Index_Upto_April23__1___14[[#This Row],[Housing]])</f>
        <v>129.08548387096783</v>
      </c>
      <c r="AG74" s="12">
        <f>AVERAGE(All_India_Index_Upto_April23__1___14[[#This Row],[Miscellaneous]],All_India_Index_Upto_April23__1___14[[#This Row],[Personal care and effects]],All_India_Index_Upto_April23__1___14[[#This Row],[Education]],All_India_Index_Upto_April23__1___14[[#This Row],[Recreation and amusement]])</f>
        <v>114.22499999999999</v>
      </c>
      <c r="AH74" s="12">
        <f>SUM(All_India_Index_Upto_April23__1___14[[#This Row],[Cereals and products]:[Pan, tobacco and intoxicants]])</f>
        <v>1690.8</v>
      </c>
      <c r="AI74" s="12">
        <f>SUM(All_India_Index_Upto_April23__1___14[[#This Row],[Household goods and services]],All_India_Index_Upto_April23__1___14[[#This Row],[Housing]])</f>
        <v>258.17096774193567</v>
      </c>
      <c r="AJ74" s="12">
        <f>All_India_Index_Upto_April23__1___14[[#This Row],[Clothing]]+All_India_Index_Upto_April23__1___14[[#This Row],[Footwear]]</f>
        <v>246</v>
      </c>
      <c r="AK74" s="12">
        <f>All_India_Index_Upto_April23__1___14[[#This Row],[Miscellaneous]]+All_India_Index_Upto_April23__1___14[[#This Row],[Personal care and effects]]+All_India_Index_Upto_April23__1___14[[#This Row],[Education]]+All_India_Index_Upto_April23__1___14[[#This Row],[Recreation and amusement]]</f>
        <v>456.9</v>
      </c>
      <c r="AL7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2997.8709677419356</v>
      </c>
    </row>
    <row r="75" spans="1:38" hidden="1" x14ac:dyDescent="0.3">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s="12">
        <f>AVERAGE(All_India_Index_Upto_April23__1___14[[#This Row],[Cereals and products]:[Pan, tobacco and intoxicants]])</f>
        <v>121.59285714285714</v>
      </c>
      <c r="AF75" s="12">
        <f>AVERAGE(All_India_Index_Upto_April23__1___14[[#This Row],[Household goods and services]],All_India_Index_Upto_April23__1___14[[#This Row],[Housing]])</f>
        <v>117.25</v>
      </c>
      <c r="AG75" s="12">
        <f>AVERAGE(All_India_Index_Upto_April23__1___14[[#This Row],[Miscellaneous]],All_India_Index_Upto_April23__1___14[[#This Row],[Personal care and effects]],All_India_Index_Upto_April23__1___14[[#This Row],[Education]],All_India_Index_Upto_April23__1___14[[#This Row],[Recreation and amusement]])</f>
        <v>115.05000000000001</v>
      </c>
      <c r="AH75" s="12">
        <f>SUM(All_India_Index_Upto_April23__1___14[[#This Row],[Cereals and products]:[Pan, tobacco and intoxicants]])</f>
        <v>1702.3</v>
      </c>
      <c r="AI75" s="12">
        <f>SUM(All_India_Index_Upto_April23__1___14[[#This Row],[Household goods and services]],All_India_Index_Upto_April23__1___14[[#This Row],[Housing]])</f>
        <v>234.5</v>
      </c>
      <c r="AJ75" s="12">
        <f>All_India_Index_Upto_April23__1___14[[#This Row],[Clothing]]+All_India_Index_Upto_April23__1___14[[#This Row],[Footwear]]</f>
        <v>237.1</v>
      </c>
      <c r="AK75" s="12">
        <f>All_India_Index_Upto_April23__1___14[[#This Row],[Miscellaneous]]+All_India_Index_Upto_April23__1___14[[#This Row],[Personal care and effects]]+All_India_Index_Upto_April23__1___14[[#This Row],[Education]]+All_India_Index_Upto_April23__1___14[[#This Row],[Recreation and amusement]]</f>
        <v>460.20000000000005</v>
      </c>
      <c r="AL7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2969.1</v>
      </c>
    </row>
    <row r="76" spans="1:38" hidden="1" x14ac:dyDescent="0.3">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s="12">
        <f>AVERAGE(All_India_Index_Upto_April23__1___14[[#This Row],[Cereals and products]:[Pan, tobacco and intoxicants]])</f>
        <v>120.95</v>
      </c>
      <c r="AF76" s="12">
        <f>AVERAGE(All_India_Index_Upto_April23__1___14[[#This Row],[Household goods and services]],All_India_Index_Upto_April23__1___14[[#This Row],[Housing]])</f>
        <v>117.69999999999999</v>
      </c>
      <c r="AG76" s="12">
        <f>AVERAGE(All_India_Index_Upto_April23__1___14[[#This Row],[Miscellaneous]],All_India_Index_Upto_April23__1___14[[#This Row],[Personal care and effects]],All_India_Index_Upto_April23__1___14[[#This Row],[Education]],All_India_Index_Upto_April23__1___14[[#This Row],[Recreation and amusement]])</f>
        <v>114.675</v>
      </c>
      <c r="AH76" s="12">
        <f>SUM(All_India_Index_Upto_April23__1___14[[#This Row],[Cereals and products]:[Pan, tobacco and intoxicants]])</f>
        <v>1693.3</v>
      </c>
      <c r="AI76" s="12">
        <f>SUM(All_India_Index_Upto_April23__1___14[[#This Row],[Household goods and services]],All_India_Index_Upto_April23__1___14[[#This Row],[Housing]])</f>
        <v>235.39999999999998</v>
      </c>
      <c r="AJ76" s="12">
        <f>All_India_Index_Upto_April23__1___14[[#This Row],[Clothing]]+All_India_Index_Upto_April23__1___14[[#This Row],[Footwear]]</f>
        <v>242.39999999999998</v>
      </c>
      <c r="AK76" s="12">
        <f>All_India_Index_Upto_April23__1___14[[#This Row],[Miscellaneous]]+All_India_Index_Upto_April23__1___14[[#This Row],[Personal care and effects]]+All_India_Index_Upto_April23__1___14[[#This Row],[Education]]+All_India_Index_Upto_April23__1___14[[#This Row],[Recreation and amusement]]</f>
        <v>458.7</v>
      </c>
      <c r="AL7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2971.2</v>
      </c>
    </row>
    <row r="77" spans="1:38" hidden="1" x14ac:dyDescent="0.3">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s="12">
        <f>'Handle Missing Value Sheet only'!$F$5</f>
        <v>139.27096774193564</v>
      </c>
      <c r="V77">
        <v>120</v>
      </c>
      <c r="W77">
        <v>119.6</v>
      </c>
      <c r="X77">
        <v>117.7</v>
      </c>
      <c r="Y77">
        <v>110.9</v>
      </c>
      <c r="Z77">
        <v>114.8</v>
      </c>
      <c r="AA77">
        <v>118.7</v>
      </c>
      <c r="AB77">
        <v>110.8</v>
      </c>
      <c r="AC77">
        <v>115</v>
      </c>
      <c r="AD77">
        <v>120.6</v>
      </c>
      <c r="AE77" s="12">
        <f>AVERAGE(All_India_Index_Upto_April23__1___14[[#This Row],[Cereals and products]:[Pan, tobacco and intoxicants]])</f>
        <v>121.05714285714284</v>
      </c>
      <c r="AF77" s="12">
        <f>AVERAGE(All_India_Index_Upto_April23__1___14[[#This Row],[Household goods and services]],All_India_Index_Upto_April23__1___14[[#This Row],[Housing]])</f>
        <v>129.4354838709678</v>
      </c>
      <c r="AG77" s="12">
        <f>AVERAGE(All_India_Index_Upto_April23__1___14[[#This Row],[Miscellaneous]],All_India_Index_Upto_April23__1___14[[#This Row],[Personal care and effects]],All_India_Index_Upto_April23__1___14[[#This Row],[Education]],All_India_Index_Upto_April23__1___14[[#This Row],[Recreation and amusement]])</f>
        <v>114.825</v>
      </c>
      <c r="AH77" s="12">
        <f>SUM(All_India_Index_Upto_April23__1___14[[#This Row],[Cereals and products]:[Pan, tobacco and intoxicants]])</f>
        <v>1694.7999999999997</v>
      </c>
      <c r="AI77" s="12">
        <f>SUM(All_India_Index_Upto_April23__1___14[[#This Row],[Household goods and services]],All_India_Index_Upto_April23__1___14[[#This Row],[Housing]])</f>
        <v>258.8709677419356</v>
      </c>
      <c r="AJ77" s="12">
        <f>All_India_Index_Upto_April23__1___14[[#This Row],[Clothing]]+All_India_Index_Upto_April23__1___14[[#This Row],[Footwear]]</f>
        <v>248.10000000000002</v>
      </c>
      <c r="AK77" s="12">
        <f>All_India_Index_Upto_April23__1___14[[#This Row],[Miscellaneous]]+All_India_Index_Upto_April23__1___14[[#This Row],[Personal care and effects]]+All_India_Index_Upto_April23__1___14[[#This Row],[Education]]+All_India_Index_Upto_April23__1___14[[#This Row],[Recreation and amusement]]</f>
        <v>459.3</v>
      </c>
      <c r="AL7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3009.6709677419353</v>
      </c>
    </row>
    <row r="78" spans="1:38" hidden="1" x14ac:dyDescent="0.3">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s="12">
        <f>AVERAGE(All_India_Index_Upto_April23__1___14[[#This Row],[Cereals and products]:[Pan, tobacco and intoxicants]])</f>
        <v>121.37142857142858</v>
      </c>
      <c r="AF78" s="12">
        <f>AVERAGE(All_India_Index_Upto_April23__1___14[[#This Row],[Household goods and services]],All_India_Index_Upto_April23__1___14[[#This Row],[Housing]])</f>
        <v>117.9</v>
      </c>
      <c r="AG78" s="12">
        <f>AVERAGE(All_India_Index_Upto_April23__1___14[[#This Row],[Miscellaneous]],All_India_Index_Upto_April23__1___14[[#This Row],[Personal care and effects]],All_India_Index_Upto_April23__1___14[[#This Row],[Education]],All_India_Index_Upto_April23__1___14[[#This Row],[Recreation and amusement]])</f>
        <v>115.05000000000001</v>
      </c>
      <c r="AH78" s="12">
        <f>SUM(All_India_Index_Upto_April23__1___14[[#This Row],[Cereals and products]:[Pan, tobacco and intoxicants]])</f>
        <v>1699.2</v>
      </c>
      <c r="AI78" s="12">
        <f>SUM(All_India_Index_Upto_April23__1___14[[#This Row],[Household goods and services]],All_India_Index_Upto_April23__1___14[[#This Row],[Housing]])</f>
        <v>235.8</v>
      </c>
      <c r="AJ78" s="12">
        <f>All_India_Index_Upto_April23__1___14[[#This Row],[Clothing]]+All_India_Index_Upto_April23__1___14[[#This Row],[Footwear]]</f>
        <v>237.8</v>
      </c>
      <c r="AK78" s="12">
        <f>All_India_Index_Upto_April23__1___14[[#This Row],[Miscellaneous]]+All_India_Index_Upto_April23__1___14[[#This Row],[Personal care and effects]]+All_India_Index_Upto_April23__1___14[[#This Row],[Education]]+All_India_Index_Upto_April23__1___14[[#This Row],[Recreation and amusement]]</f>
        <v>460.20000000000005</v>
      </c>
      <c r="AL7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2967.9</v>
      </c>
    </row>
    <row r="79" spans="1:38" hidden="1" x14ac:dyDescent="0.3">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s="12">
        <f>AVERAGE(All_India_Index_Upto_April23__1___14[[#This Row],[Cereals and products]:[Pan, tobacco and intoxicants]])</f>
        <v>121.04285714285712</v>
      </c>
      <c r="AF79" s="12">
        <f>AVERAGE(All_India_Index_Upto_April23__1___14[[#This Row],[Household goods and services]],All_India_Index_Upto_April23__1___14[[#This Row],[Housing]])</f>
        <v>118.4</v>
      </c>
      <c r="AG79" s="12">
        <f>AVERAGE(All_India_Index_Upto_April23__1___14[[#This Row],[Miscellaneous]],All_India_Index_Upto_April23__1___14[[#This Row],[Personal care and effects]],All_India_Index_Upto_April23__1___14[[#This Row],[Education]],All_India_Index_Upto_April23__1___14[[#This Row],[Recreation and amusement]])</f>
        <v>114.97499999999999</v>
      </c>
      <c r="AH79" s="12">
        <f>SUM(All_India_Index_Upto_April23__1___14[[#This Row],[Cereals and products]:[Pan, tobacco and intoxicants]])</f>
        <v>1694.5999999999997</v>
      </c>
      <c r="AI79" s="12">
        <f>SUM(All_India_Index_Upto_April23__1___14[[#This Row],[Household goods and services]],All_India_Index_Upto_April23__1___14[[#This Row],[Housing]])</f>
        <v>236.8</v>
      </c>
      <c r="AJ79" s="12">
        <f>All_India_Index_Upto_April23__1___14[[#This Row],[Clothing]]+All_India_Index_Upto_April23__1___14[[#This Row],[Footwear]]</f>
        <v>243.89999999999998</v>
      </c>
      <c r="AK79" s="12">
        <f>All_India_Index_Upto_April23__1___14[[#This Row],[Miscellaneous]]+All_India_Index_Upto_April23__1___14[[#This Row],[Personal care and effects]]+All_India_Index_Upto_April23__1___14[[#This Row],[Education]]+All_India_Index_Upto_April23__1___14[[#This Row],[Recreation and amusement]]</f>
        <v>459.9</v>
      </c>
      <c r="AL7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2977.8999999999996</v>
      </c>
    </row>
    <row r="80" spans="1:38" hidden="1" x14ac:dyDescent="0.3">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s="12">
        <f>'Handle Missing Value Sheet only'!$F$5</f>
        <v>139.27096774193564</v>
      </c>
      <c r="V80">
        <v>120.6</v>
      </c>
      <c r="W80">
        <v>120.2</v>
      </c>
      <c r="X80">
        <v>118.2</v>
      </c>
      <c r="Y80">
        <v>111.6</v>
      </c>
      <c r="Z80">
        <v>115.5</v>
      </c>
      <c r="AA80">
        <v>119.4</v>
      </c>
      <c r="AB80">
        <v>110.8</v>
      </c>
      <c r="AC80">
        <v>115.5</v>
      </c>
      <c r="AD80">
        <v>121.1</v>
      </c>
      <c r="AE80" s="12">
        <f>AVERAGE(All_India_Index_Upto_April23__1___14[[#This Row],[Cereals and products]:[Pan, tobacco and intoxicants]])</f>
        <v>121.15714285714286</v>
      </c>
      <c r="AF80" s="12">
        <f>AVERAGE(All_India_Index_Upto_April23__1___14[[#This Row],[Household goods and services]],All_India_Index_Upto_April23__1___14[[#This Row],[Housing]])</f>
        <v>129.73548387096781</v>
      </c>
      <c r="AG80" s="12">
        <f>AVERAGE(All_India_Index_Upto_April23__1___14[[#This Row],[Miscellaneous]],All_India_Index_Upto_April23__1___14[[#This Row],[Personal care and effects]],All_India_Index_Upto_April23__1___14[[#This Row],[Education]],All_India_Index_Upto_April23__1___14[[#This Row],[Recreation and amusement]])</f>
        <v>115.30000000000001</v>
      </c>
      <c r="AH80" s="12">
        <f>SUM(All_India_Index_Upto_April23__1___14[[#This Row],[Cereals and products]:[Pan, tobacco and intoxicants]])</f>
        <v>1696.2</v>
      </c>
      <c r="AI80" s="12">
        <f>SUM(All_India_Index_Upto_April23__1___14[[#This Row],[Household goods and services]],All_India_Index_Upto_April23__1___14[[#This Row],[Housing]])</f>
        <v>259.47096774193562</v>
      </c>
      <c r="AJ80" s="12">
        <f>All_India_Index_Upto_April23__1___14[[#This Row],[Clothing]]+All_India_Index_Upto_April23__1___14[[#This Row],[Footwear]]</f>
        <v>248.9</v>
      </c>
      <c r="AK80" s="12">
        <f>All_India_Index_Upto_April23__1___14[[#This Row],[Miscellaneous]]+All_India_Index_Upto_April23__1___14[[#This Row],[Personal care and effects]]+All_India_Index_Upto_April23__1___14[[#This Row],[Education]]+All_India_Index_Upto_April23__1___14[[#This Row],[Recreation and amusement]]</f>
        <v>461.20000000000005</v>
      </c>
      <c r="AL8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3016.1709677419353</v>
      </c>
    </row>
    <row r="81" spans="1:38" hidden="1" x14ac:dyDescent="0.3">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s="12">
        <f>AVERAGE(All_India_Index_Upto_April23__1___14[[#This Row],[Cereals and products]:[Pan, tobacco and intoxicants]])</f>
        <v>121.20000000000002</v>
      </c>
      <c r="AF81" s="12">
        <f>AVERAGE(All_India_Index_Upto_April23__1___14[[#This Row],[Household goods and services]],All_India_Index_Upto_April23__1___14[[#This Row],[Housing]])</f>
        <v>118.3</v>
      </c>
      <c r="AG81" s="12">
        <f>AVERAGE(All_India_Index_Upto_April23__1___14[[#This Row],[Miscellaneous]],All_India_Index_Upto_April23__1___14[[#This Row],[Personal care and effects]],All_India_Index_Upto_April23__1___14[[#This Row],[Education]],All_India_Index_Upto_April23__1___14[[#This Row],[Recreation and amusement]])</f>
        <v>115.27500000000001</v>
      </c>
      <c r="AH81" s="12">
        <f>SUM(All_India_Index_Upto_April23__1___14[[#This Row],[Cereals and products]:[Pan, tobacco and intoxicants]])</f>
        <v>1696.8000000000002</v>
      </c>
      <c r="AI81" s="12">
        <f>SUM(All_India_Index_Upto_April23__1___14[[#This Row],[Household goods and services]],All_India_Index_Upto_April23__1___14[[#This Row],[Housing]])</f>
        <v>236.6</v>
      </c>
      <c r="AJ81" s="12">
        <f>All_India_Index_Upto_April23__1___14[[#This Row],[Clothing]]+All_India_Index_Upto_April23__1___14[[#This Row],[Footwear]]</f>
        <v>238.60000000000002</v>
      </c>
      <c r="AK81" s="12">
        <f>All_India_Index_Upto_April23__1___14[[#This Row],[Miscellaneous]]+All_India_Index_Upto_April23__1___14[[#This Row],[Personal care and effects]]+All_India_Index_Upto_April23__1___14[[#This Row],[Education]]+All_India_Index_Upto_April23__1___14[[#This Row],[Recreation and amusement]]</f>
        <v>461.1</v>
      </c>
      <c r="AL8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2970.2000000000007</v>
      </c>
    </row>
    <row r="82" spans="1:38" hidden="1" x14ac:dyDescent="0.3">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s="12">
        <f>AVERAGE(All_India_Index_Upto_April23__1___14[[#This Row],[Cereals and products]:[Pan, tobacco and intoxicants]])</f>
        <v>121.0642857142857</v>
      </c>
      <c r="AF82" s="12">
        <f>AVERAGE(All_India_Index_Upto_April23__1___14[[#This Row],[Household goods and services]],All_India_Index_Upto_April23__1___14[[#This Row],[Housing]])</f>
        <v>118.9</v>
      </c>
      <c r="AG82" s="12">
        <f>AVERAGE(All_India_Index_Upto_April23__1___14[[#This Row],[Miscellaneous]],All_India_Index_Upto_April23__1___14[[#This Row],[Personal care and effects]],All_India_Index_Upto_April23__1___14[[#This Row],[Education]],All_India_Index_Upto_April23__1___14[[#This Row],[Recreation and amusement]])</f>
        <v>115.29999999999998</v>
      </c>
      <c r="AH82" s="12">
        <f>SUM(All_India_Index_Upto_April23__1___14[[#This Row],[Cereals and products]:[Pan, tobacco and intoxicants]])</f>
        <v>1694.8999999999999</v>
      </c>
      <c r="AI82" s="12">
        <f>SUM(All_India_Index_Upto_April23__1___14[[#This Row],[Household goods and services]],All_India_Index_Upto_April23__1___14[[#This Row],[Housing]])</f>
        <v>237.8</v>
      </c>
      <c r="AJ82" s="12">
        <f>All_India_Index_Upto_April23__1___14[[#This Row],[Clothing]]+All_India_Index_Upto_April23__1___14[[#This Row],[Footwear]]</f>
        <v>244.7</v>
      </c>
      <c r="AK82" s="12">
        <f>All_India_Index_Upto_April23__1___14[[#This Row],[Miscellaneous]]+All_India_Index_Upto_April23__1___14[[#This Row],[Personal care and effects]]+All_India_Index_Upto_April23__1___14[[#This Row],[Education]]+All_India_Index_Upto_April23__1___14[[#This Row],[Recreation and amusement]]</f>
        <v>461.19999999999993</v>
      </c>
      <c r="AL8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2983.4999999999995</v>
      </c>
    </row>
    <row r="83" spans="1:38" hidden="1" x14ac:dyDescent="0.3">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s="12">
        <f>'Handle Missing Value Sheet only'!$F$5</f>
        <v>139.27096774193564</v>
      </c>
      <c r="V83">
        <v>121.2</v>
      </c>
      <c r="W83">
        <v>120.9</v>
      </c>
      <c r="X83">
        <v>118.6</v>
      </c>
      <c r="Y83">
        <v>111.9</v>
      </c>
      <c r="Z83">
        <v>116.2</v>
      </c>
      <c r="AA83">
        <v>119.9</v>
      </c>
      <c r="AB83">
        <v>111.6</v>
      </c>
      <c r="AC83">
        <v>116</v>
      </c>
      <c r="AD83">
        <v>121.5</v>
      </c>
      <c r="AE83" s="12">
        <f>AVERAGE(All_India_Index_Upto_April23__1___14[[#This Row],[Cereals and products]:[Pan, tobacco and intoxicants]])</f>
        <v>121.63571428571429</v>
      </c>
      <c r="AF83" s="12">
        <f>AVERAGE(All_India_Index_Upto_April23__1___14[[#This Row],[Household goods and services]],All_India_Index_Upto_April23__1___14[[#This Row],[Housing]])</f>
        <v>130.08548387096783</v>
      </c>
      <c r="AG83" s="12">
        <f>AVERAGE(All_India_Index_Upto_April23__1___14[[#This Row],[Miscellaneous]],All_India_Index_Upto_April23__1___14[[#This Row],[Personal care and effects]],All_India_Index_Upto_April23__1___14[[#This Row],[Education]],All_India_Index_Upto_April23__1___14[[#This Row],[Recreation and amusement]])</f>
        <v>115.925</v>
      </c>
      <c r="AH83" s="12">
        <f>SUM(All_India_Index_Upto_April23__1___14[[#This Row],[Cereals and products]:[Pan, tobacco and intoxicants]])</f>
        <v>1702.9</v>
      </c>
      <c r="AI83" s="12">
        <f>SUM(All_India_Index_Upto_April23__1___14[[#This Row],[Household goods and services]],All_India_Index_Upto_April23__1___14[[#This Row],[Housing]])</f>
        <v>260.17096774193567</v>
      </c>
      <c r="AJ83" s="12">
        <f>All_India_Index_Upto_April23__1___14[[#This Row],[Clothing]]+All_India_Index_Upto_April23__1___14[[#This Row],[Footwear]]</f>
        <v>249.7</v>
      </c>
      <c r="AK83" s="12">
        <f>All_India_Index_Upto_April23__1___14[[#This Row],[Miscellaneous]]+All_India_Index_Upto_April23__1___14[[#This Row],[Personal care and effects]]+All_India_Index_Upto_April23__1___14[[#This Row],[Education]]+All_India_Index_Upto_April23__1___14[[#This Row],[Recreation and amusement]]</f>
        <v>463.7</v>
      </c>
      <c r="AL8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3028.1709677419358</v>
      </c>
    </row>
    <row r="84" spans="1:38" hidden="1" x14ac:dyDescent="0.3">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s="12">
        <f>AVERAGE(All_India_Index_Upto_April23__1___14[[#This Row],[Cereals and products]:[Pan, tobacco and intoxicants]])</f>
        <v>121.87142857142855</v>
      </c>
      <c r="AF84" s="12">
        <f>AVERAGE(All_India_Index_Upto_April23__1___14[[#This Row],[Household goods and services]],All_India_Index_Upto_April23__1___14[[#This Row],[Housing]])</f>
        <v>118.80000000000001</v>
      </c>
      <c r="AG84" s="12">
        <f>AVERAGE(All_India_Index_Upto_April23__1___14[[#This Row],[Miscellaneous]],All_India_Index_Upto_April23__1___14[[#This Row],[Personal care and effects]],All_India_Index_Upto_April23__1___14[[#This Row],[Education]],All_India_Index_Upto_April23__1___14[[#This Row],[Recreation and amusement]])</f>
        <v>115.82499999999999</v>
      </c>
      <c r="AH84" s="12">
        <f>SUM(All_India_Index_Upto_April23__1___14[[#This Row],[Cereals and products]:[Pan, tobacco and intoxicants]])</f>
        <v>1706.1999999999998</v>
      </c>
      <c r="AI84" s="12">
        <f>SUM(All_India_Index_Upto_April23__1___14[[#This Row],[Household goods and services]],All_India_Index_Upto_April23__1___14[[#This Row],[Housing]])</f>
        <v>237.60000000000002</v>
      </c>
      <c r="AJ84" s="12">
        <f>All_India_Index_Upto_April23__1___14[[#This Row],[Clothing]]+All_India_Index_Upto_April23__1___14[[#This Row],[Footwear]]</f>
        <v>239.3</v>
      </c>
      <c r="AK84" s="12">
        <f>All_India_Index_Upto_April23__1___14[[#This Row],[Miscellaneous]]+All_India_Index_Upto_April23__1___14[[#This Row],[Personal care and effects]]+All_India_Index_Upto_April23__1___14[[#This Row],[Education]]+All_India_Index_Upto_April23__1___14[[#This Row],[Recreation and amusement]]</f>
        <v>463.29999999999995</v>
      </c>
      <c r="AL8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2984.0999999999995</v>
      </c>
    </row>
    <row r="85" spans="1:38" hidden="1" x14ac:dyDescent="0.3">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s="12">
        <f>AVERAGE(All_India_Index_Upto_April23__1___14[[#This Row],[Cereals and products]:[Pan, tobacco and intoxicants]])</f>
        <v>121.61428571428573</v>
      </c>
      <c r="AF85" s="12">
        <f>AVERAGE(All_India_Index_Upto_April23__1___14[[#This Row],[Household goods and services]],All_India_Index_Upto_April23__1___14[[#This Row],[Housing]])</f>
        <v>119.45</v>
      </c>
      <c r="AG85" s="12">
        <f>AVERAGE(All_India_Index_Upto_April23__1___14[[#This Row],[Miscellaneous]],All_India_Index_Upto_April23__1___14[[#This Row],[Personal care and effects]],All_India_Index_Upto_April23__1___14[[#This Row],[Education]],All_India_Index_Upto_April23__1___14[[#This Row],[Recreation and amusement]])</f>
        <v>115.92500000000001</v>
      </c>
      <c r="AH85" s="12">
        <f>SUM(All_India_Index_Upto_April23__1___14[[#This Row],[Cereals and products]:[Pan, tobacco and intoxicants]])</f>
        <v>1702.6000000000001</v>
      </c>
      <c r="AI85" s="12">
        <f>SUM(All_India_Index_Upto_April23__1___14[[#This Row],[Household goods and services]],All_India_Index_Upto_April23__1___14[[#This Row],[Housing]])</f>
        <v>238.9</v>
      </c>
      <c r="AJ85" s="12">
        <f>All_India_Index_Upto_April23__1___14[[#This Row],[Clothing]]+All_India_Index_Upto_April23__1___14[[#This Row],[Footwear]]</f>
        <v>245.5</v>
      </c>
      <c r="AK85" s="12">
        <f>All_India_Index_Upto_April23__1___14[[#This Row],[Miscellaneous]]+All_India_Index_Upto_April23__1___14[[#This Row],[Personal care and effects]]+All_India_Index_Upto_April23__1___14[[#This Row],[Education]]+All_India_Index_Upto_April23__1___14[[#This Row],[Recreation and amusement]]</f>
        <v>463.70000000000005</v>
      </c>
      <c r="AL8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2996.6</v>
      </c>
    </row>
    <row r="86" spans="1:38" hidden="1" x14ac:dyDescent="0.3">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s="12">
        <f>'Handle Missing Value Sheet only'!$F$5</f>
        <v>139.27096774193564</v>
      </c>
      <c r="V86">
        <v>121.9</v>
      </c>
      <c r="W86">
        <v>121.5</v>
      </c>
      <c r="X86">
        <v>119.4</v>
      </c>
      <c r="Y86">
        <v>113.3</v>
      </c>
      <c r="Z86">
        <v>116.7</v>
      </c>
      <c r="AA86">
        <v>120.5</v>
      </c>
      <c r="AB86">
        <v>112.3</v>
      </c>
      <c r="AC86">
        <v>116.9</v>
      </c>
      <c r="AD86">
        <v>122.4</v>
      </c>
      <c r="AE86" s="12">
        <f>AVERAGE(All_India_Index_Upto_April23__1___14[[#This Row],[Cereals and products]:[Pan, tobacco and intoxicants]])</f>
        <v>122.45714285714287</v>
      </c>
      <c r="AF86" s="12">
        <f>AVERAGE(All_India_Index_Upto_April23__1___14[[#This Row],[Household goods and services]],All_India_Index_Upto_April23__1___14[[#This Row],[Housing]])</f>
        <v>130.38548387096782</v>
      </c>
      <c r="AG86" s="12">
        <f>AVERAGE(All_India_Index_Upto_April23__1___14[[#This Row],[Miscellaneous]],All_India_Index_Upto_April23__1___14[[#This Row],[Personal care and effects]],All_India_Index_Upto_April23__1___14[[#This Row],[Education]],All_India_Index_Upto_April23__1___14[[#This Row],[Recreation and amusement]])</f>
        <v>116.6</v>
      </c>
      <c r="AH86" s="12">
        <f>SUM(All_India_Index_Upto_April23__1___14[[#This Row],[Cereals and products]:[Pan, tobacco and intoxicants]])</f>
        <v>1714.4</v>
      </c>
      <c r="AI86" s="12">
        <f>SUM(All_India_Index_Upto_April23__1___14[[#This Row],[Household goods and services]],All_India_Index_Upto_April23__1___14[[#This Row],[Housing]])</f>
        <v>260.77096774193564</v>
      </c>
      <c r="AJ86" s="12">
        <f>All_India_Index_Upto_April23__1___14[[#This Row],[Clothing]]+All_India_Index_Upto_April23__1___14[[#This Row],[Footwear]]</f>
        <v>251.39999999999998</v>
      </c>
      <c r="AK86" s="12">
        <f>All_India_Index_Upto_April23__1___14[[#This Row],[Miscellaneous]]+All_India_Index_Upto_April23__1___14[[#This Row],[Personal care and effects]]+All_India_Index_Upto_April23__1___14[[#This Row],[Education]]+All_India_Index_Upto_April23__1___14[[#This Row],[Recreation and amusement]]</f>
        <v>466.4</v>
      </c>
      <c r="AL8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3047.5709677419363</v>
      </c>
    </row>
    <row r="87" spans="1:38" hidden="1" x14ac:dyDescent="0.3">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s="12">
        <f>AVERAGE(All_India_Index_Upto_April23__1___14[[#This Row],[Cereals and products]:[Pan, tobacco and intoxicants]])</f>
        <v>123.58571428571429</v>
      </c>
      <c r="AF87" s="12">
        <f>AVERAGE(All_India_Index_Upto_April23__1___14[[#This Row],[Household goods and services]],All_India_Index_Upto_April23__1___14[[#This Row],[Housing]])</f>
        <v>119.15</v>
      </c>
      <c r="AG87" s="12">
        <f>AVERAGE(All_India_Index_Upto_April23__1___14[[#This Row],[Miscellaneous]],All_India_Index_Upto_April23__1___14[[#This Row],[Personal care and effects]],All_India_Index_Upto_April23__1___14[[#This Row],[Education]],All_India_Index_Upto_April23__1___14[[#This Row],[Recreation and amusement]])</f>
        <v>116.4</v>
      </c>
      <c r="AH87" s="12">
        <f>SUM(All_India_Index_Upto_April23__1___14[[#This Row],[Cereals and products]:[Pan, tobacco and intoxicants]])</f>
        <v>1730.2</v>
      </c>
      <c r="AI87" s="12">
        <f>SUM(All_India_Index_Upto_April23__1___14[[#This Row],[Household goods and services]],All_India_Index_Upto_April23__1___14[[#This Row],[Housing]])</f>
        <v>238.3</v>
      </c>
      <c r="AJ87" s="12">
        <f>All_India_Index_Upto_April23__1___14[[#This Row],[Clothing]]+All_India_Index_Upto_April23__1___14[[#This Row],[Footwear]]</f>
        <v>239.8</v>
      </c>
      <c r="AK87" s="12">
        <f>All_India_Index_Upto_April23__1___14[[#This Row],[Miscellaneous]]+All_India_Index_Upto_April23__1___14[[#This Row],[Personal care and effects]]+All_India_Index_Upto_April23__1___14[[#This Row],[Education]]+All_India_Index_Upto_April23__1___14[[#This Row],[Recreation and amusement]]</f>
        <v>465.6</v>
      </c>
      <c r="AL8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3014.5000000000005</v>
      </c>
    </row>
    <row r="88" spans="1:38" hidden="1" x14ac:dyDescent="0.3">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s="12">
        <f>AVERAGE(All_India_Index_Upto_April23__1___14[[#This Row],[Cereals and products]:[Pan, tobacco and intoxicants]])</f>
        <v>122.73571428571429</v>
      </c>
      <c r="AF88" s="12">
        <f>AVERAGE(All_India_Index_Upto_April23__1___14[[#This Row],[Household goods and services]],All_India_Index_Upto_April23__1___14[[#This Row],[Housing]])</f>
        <v>119.9</v>
      </c>
      <c r="AG88" s="12">
        <f>AVERAGE(All_India_Index_Upto_April23__1___14[[#This Row],[Miscellaneous]],All_India_Index_Upto_April23__1___14[[#This Row],[Personal care and effects]],All_India_Index_Upto_April23__1___14[[#This Row],[Education]],All_India_Index_Upto_April23__1___14[[#This Row],[Recreation and amusement]])</f>
        <v>116.52499999999999</v>
      </c>
      <c r="AH88" s="12">
        <f>SUM(All_India_Index_Upto_April23__1___14[[#This Row],[Cereals and products]:[Pan, tobacco and intoxicants]])</f>
        <v>1718.3000000000002</v>
      </c>
      <c r="AI88" s="12">
        <f>SUM(All_India_Index_Upto_April23__1___14[[#This Row],[Household goods and services]],All_India_Index_Upto_April23__1___14[[#This Row],[Housing]])</f>
        <v>239.8</v>
      </c>
      <c r="AJ88" s="12">
        <f>All_India_Index_Upto_April23__1___14[[#This Row],[Clothing]]+All_India_Index_Upto_April23__1___14[[#This Row],[Footwear]]</f>
        <v>246.7</v>
      </c>
      <c r="AK88" s="12">
        <f>All_India_Index_Upto_April23__1___14[[#This Row],[Miscellaneous]]+All_India_Index_Upto_April23__1___14[[#This Row],[Personal care and effects]]+All_India_Index_Upto_April23__1___14[[#This Row],[Education]]+All_India_Index_Upto_April23__1___14[[#This Row],[Recreation and amusement]]</f>
        <v>466.09999999999997</v>
      </c>
      <c r="AL8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3019.7999999999997</v>
      </c>
    </row>
    <row r="89" spans="1:38" hidden="1" x14ac:dyDescent="0.3">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s="12">
        <f>'Handle Missing Value Sheet only'!$F$5</f>
        <v>139.27096774193564</v>
      </c>
      <c r="V89">
        <v>122.6</v>
      </c>
      <c r="W89">
        <v>122.8</v>
      </c>
      <c r="X89">
        <v>120.4</v>
      </c>
      <c r="Y89">
        <v>114.2</v>
      </c>
      <c r="Z89">
        <v>117.9</v>
      </c>
      <c r="AA89">
        <v>122</v>
      </c>
      <c r="AB89">
        <v>113</v>
      </c>
      <c r="AC89">
        <v>117.9</v>
      </c>
      <c r="AD89">
        <v>124.1</v>
      </c>
      <c r="AE89" s="12">
        <f>AVERAGE(All_India_Index_Upto_April23__1___14[[#This Row],[Cereals and products]:[Pan, tobacco and intoxicants]])</f>
        <v>124.72142857142856</v>
      </c>
      <c r="AF89" s="12">
        <f>AVERAGE(All_India_Index_Upto_April23__1___14[[#This Row],[Household goods and services]],All_India_Index_Upto_April23__1___14[[#This Row],[Housing]])</f>
        <v>131.03548387096782</v>
      </c>
      <c r="AG89" s="12">
        <f>AVERAGE(All_India_Index_Upto_April23__1___14[[#This Row],[Miscellaneous]],All_India_Index_Upto_April23__1___14[[#This Row],[Personal care and effects]],All_India_Index_Upto_April23__1___14[[#This Row],[Education]],All_India_Index_Upto_April23__1___14[[#This Row],[Recreation and amusement]])</f>
        <v>117.69999999999999</v>
      </c>
      <c r="AH89" s="12">
        <f>SUM(All_India_Index_Upto_April23__1___14[[#This Row],[Cereals and products]:[Pan, tobacco and intoxicants]])</f>
        <v>1746.1</v>
      </c>
      <c r="AI89" s="12">
        <f>SUM(All_India_Index_Upto_April23__1___14[[#This Row],[Household goods and services]],All_India_Index_Upto_April23__1___14[[#This Row],[Housing]])</f>
        <v>262.07096774193565</v>
      </c>
      <c r="AJ89" s="12">
        <f>All_India_Index_Upto_April23__1___14[[#This Row],[Clothing]]+All_India_Index_Upto_April23__1___14[[#This Row],[Footwear]]</f>
        <v>253.5</v>
      </c>
      <c r="AK89" s="12">
        <f>All_India_Index_Upto_April23__1___14[[#This Row],[Miscellaneous]]+All_India_Index_Upto_April23__1___14[[#This Row],[Personal care and effects]]+All_India_Index_Upto_April23__1___14[[#This Row],[Education]]+All_India_Index_Upto_April23__1___14[[#This Row],[Recreation and amusement]]</f>
        <v>470.79999999999995</v>
      </c>
      <c r="AL8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3089.6709677419353</v>
      </c>
    </row>
    <row r="90" spans="1:38" hidden="1" x14ac:dyDescent="0.3">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s="12">
        <f>AVERAGE(All_India_Index_Upto_April23__1___14[[#This Row],[Cereals and products]:[Pan, tobacco and intoxicants]])</f>
        <v>126.33571428571427</v>
      </c>
      <c r="AF90" s="12">
        <f>AVERAGE(All_India_Index_Upto_April23__1___14[[#This Row],[Household goods and services]],All_India_Index_Upto_April23__1___14[[#This Row],[Housing]])</f>
        <v>119.1</v>
      </c>
      <c r="AG90" s="12">
        <f>AVERAGE(All_India_Index_Upto_April23__1___14[[#This Row],[Miscellaneous]],All_India_Index_Upto_April23__1___14[[#This Row],[Personal care and effects]],All_India_Index_Upto_April23__1___14[[#This Row],[Education]],All_India_Index_Upto_April23__1___14[[#This Row],[Recreation and amusement]])</f>
        <v>117.125</v>
      </c>
      <c r="AH90" s="12">
        <f>SUM(All_India_Index_Upto_April23__1___14[[#This Row],[Cereals and products]:[Pan, tobacco and intoxicants]])</f>
        <v>1768.6999999999998</v>
      </c>
      <c r="AI90" s="12">
        <f>SUM(All_India_Index_Upto_April23__1___14[[#This Row],[Household goods and services]],All_India_Index_Upto_April23__1___14[[#This Row],[Housing]])</f>
        <v>238.2</v>
      </c>
      <c r="AJ90" s="12">
        <f>All_India_Index_Upto_April23__1___14[[#This Row],[Clothing]]+All_India_Index_Upto_April23__1___14[[#This Row],[Footwear]]</f>
        <v>240.8</v>
      </c>
      <c r="AK90" s="12">
        <f>All_India_Index_Upto_April23__1___14[[#This Row],[Miscellaneous]]+All_India_Index_Upto_April23__1___14[[#This Row],[Personal care and effects]]+All_India_Index_Upto_April23__1___14[[#This Row],[Education]]+All_India_Index_Upto_April23__1___14[[#This Row],[Recreation and amusement]]</f>
        <v>468.5</v>
      </c>
      <c r="AL9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3058.3999999999996</v>
      </c>
    </row>
    <row r="91" spans="1:38" hidden="1" x14ac:dyDescent="0.3">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s="12">
        <f>AVERAGE(All_India_Index_Upto_April23__1___14[[#This Row],[Cereals and products]:[Pan, tobacco and intoxicants]])</f>
        <v>125.19285714285715</v>
      </c>
      <c r="AF91" s="12">
        <f>AVERAGE(All_India_Index_Upto_April23__1___14[[#This Row],[Household goods and services]],All_India_Index_Upto_April23__1___14[[#This Row],[Housing]])</f>
        <v>120.05</v>
      </c>
      <c r="AG91" s="12">
        <f>AVERAGE(All_India_Index_Upto_April23__1___14[[#This Row],[Miscellaneous]],All_India_Index_Upto_April23__1___14[[#This Row],[Personal care and effects]],All_India_Index_Upto_April23__1___14[[#This Row],[Education]],All_India_Index_Upto_April23__1___14[[#This Row],[Recreation and amusement]])</f>
        <v>117.44999999999999</v>
      </c>
      <c r="AH91" s="12">
        <f>SUM(All_India_Index_Upto_April23__1___14[[#This Row],[Cereals and products]:[Pan, tobacco and intoxicants]])</f>
        <v>1752.7</v>
      </c>
      <c r="AI91" s="12">
        <f>SUM(All_India_Index_Upto_April23__1___14[[#This Row],[Household goods and services]],All_India_Index_Upto_April23__1___14[[#This Row],[Housing]])</f>
        <v>240.1</v>
      </c>
      <c r="AJ91" s="12">
        <f>All_India_Index_Upto_April23__1___14[[#This Row],[Clothing]]+All_India_Index_Upto_April23__1___14[[#This Row],[Footwear]]</f>
        <v>248.4</v>
      </c>
      <c r="AK91" s="12">
        <f>All_India_Index_Upto_April23__1___14[[#This Row],[Miscellaneous]]+All_India_Index_Upto_April23__1___14[[#This Row],[Personal care and effects]]+All_India_Index_Upto_April23__1___14[[#This Row],[Education]]+All_India_Index_Upto_April23__1___14[[#This Row],[Recreation and amusement]]</f>
        <v>469.79999999999995</v>
      </c>
      <c r="AL9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3062.2000000000003</v>
      </c>
    </row>
    <row r="92" spans="1:38" hidden="1" x14ac:dyDescent="0.3">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s="12">
        <f>'Handle Missing Value Sheet only'!$F$5</f>
        <v>139.27096774193564</v>
      </c>
      <c r="V92">
        <v>123</v>
      </c>
      <c r="W92">
        <v>123</v>
      </c>
      <c r="X92">
        <v>120.8</v>
      </c>
      <c r="Y92">
        <v>114.1</v>
      </c>
      <c r="Z92">
        <v>118</v>
      </c>
      <c r="AA92">
        <v>122.9</v>
      </c>
      <c r="AB92">
        <v>112.7</v>
      </c>
      <c r="AC92">
        <v>118.1</v>
      </c>
      <c r="AD92">
        <v>124.7</v>
      </c>
      <c r="AE92" s="12">
        <f>AVERAGE(All_India_Index_Upto_April23__1___14[[#This Row],[Cereals and products]:[Pan, tobacco and intoxicants]])</f>
        <v>125.33571428571429</v>
      </c>
      <c r="AF92" s="12">
        <f>AVERAGE(All_India_Index_Upto_April23__1___14[[#This Row],[Household goods and services]],All_India_Index_Upto_April23__1___14[[#This Row],[Housing]])</f>
        <v>131.13548387096782</v>
      </c>
      <c r="AG92" s="12">
        <f>AVERAGE(All_India_Index_Upto_April23__1___14[[#This Row],[Miscellaneous]],All_India_Index_Upto_April23__1___14[[#This Row],[Personal care and effects]],All_India_Index_Upto_April23__1___14[[#This Row],[Education]],All_India_Index_Upto_April23__1___14[[#This Row],[Recreation and amusement]])</f>
        <v>117.92500000000001</v>
      </c>
      <c r="AH92" s="12">
        <f>SUM(All_India_Index_Upto_April23__1___14[[#This Row],[Cereals and products]:[Pan, tobacco and intoxicants]])</f>
        <v>1754.7</v>
      </c>
      <c r="AI92" s="12">
        <f>SUM(All_India_Index_Upto_April23__1___14[[#This Row],[Household goods and services]],All_India_Index_Upto_April23__1___14[[#This Row],[Housing]])</f>
        <v>262.27096774193564</v>
      </c>
      <c r="AJ92" s="12">
        <f>All_India_Index_Upto_April23__1___14[[#This Row],[Clothing]]+All_India_Index_Upto_April23__1___14[[#This Row],[Footwear]]</f>
        <v>254.3</v>
      </c>
      <c r="AK92" s="12">
        <f>All_India_Index_Upto_April23__1___14[[#This Row],[Miscellaneous]]+All_India_Index_Upto_April23__1___14[[#This Row],[Personal care and effects]]+All_India_Index_Upto_April23__1___14[[#This Row],[Education]]+All_India_Index_Upto_April23__1___14[[#This Row],[Recreation and amusement]]</f>
        <v>471.70000000000005</v>
      </c>
      <c r="AL9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3100.8709677419361</v>
      </c>
    </row>
    <row r="93" spans="1:38" hidden="1" x14ac:dyDescent="0.3">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s="12">
        <f>AVERAGE(All_India_Index_Upto_April23__1___14[[#This Row],[Cereals and products]:[Pan, tobacco and intoxicants]])</f>
        <v>126.85714285714285</v>
      </c>
      <c r="AF93" s="12">
        <f>AVERAGE(All_India_Index_Upto_April23__1___14[[#This Row],[Household goods and services]],All_India_Index_Upto_April23__1___14[[#This Row],[Housing]])</f>
        <v>119.7</v>
      </c>
      <c r="AG93" s="12">
        <f>AVERAGE(All_India_Index_Upto_April23__1___14[[#This Row],[Miscellaneous]],All_India_Index_Upto_April23__1___14[[#This Row],[Personal care and effects]],All_India_Index_Upto_April23__1___14[[#This Row],[Education]],All_India_Index_Upto_April23__1___14[[#This Row],[Recreation and amusement]])</f>
        <v>117.5</v>
      </c>
      <c r="AH93" s="12">
        <f>SUM(All_India_Index_Upto_April23__1___14[[#This Row],[Cereals and products]:[Pan, tobacco and intoxicants]])</f>
        <v>1775.9999999999998</v>
      </c>
      <c r="AI93" s="12">
        <f>SUM(All_India_Index_Upto_April23__1___14[[#This Row],[Household goods and services]],All_India_Index_Upto_April23__1___14[[#This Row],[Housing]])</f>
        <v>239.4</v>
      </c>
      <c r="AJ93" s="12">
        <f>All_India_Index_Upto_April23__1___14[[#This Row],[Clothing]]+All_India_Index_Upto_April23__1___14[[#This Row],[Footwear]]</f>
        <v>241.4</v>
      </c>
      <c r="AK93" s="12">
        <f>All_India_Index_Upto_April23__1___14[[#This Row],[Miscellaneous]]+All_India_Index_Upto_April23__1___14[[#This Row],[Personal care and effects]]+All_India_Index_Upto_April23__1___14[[#This Row],[Education]]+All_India_Index_Upto_April23__1___14[[#This Row],[Recreation and amusement]]</f>
        <v>470</v>
      </c>
      <c r="AL9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3069.6</v>
      </c>
    </row>
    <row r="94" spans="1:38" hidden="1" x14ac:dyDescent="0.3">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s="12">
        <f>AVERAGE(All_India_Index_Upto_April23__1___14[[#This Row],[Cereals and products]:[Pan, tobacco and intoxicants]])</f>
        <v>125.78571428571431</v>
      </c>
      <c r="AF94" s="12">
        <f>AVERAGE(All_India_Index_Upto_April23__1___14[[#This Row],[Household goods and services]],All_India_Index_Upto_April23__1___14[[#This Row],[Housing]])</f>
        <v>120.6</v>
      </c>
      <c r="AG94" s="12">
        <f>AVERAGE(All_India_Index_Upto_April23__1___14[[#This Row],[Miscellaneous]],All_India_Index_Upto_April23__1___14[[#This Row],[Personal care and effects]],All_India_Index_Upto_April23__1___14[[#This Row],[Education]],All_India_Index_Upto_April23__1___14[[#This Row],[Recreation and amusement]])</f>
        <v>117.77499999999999</v>
      </c>
      <c r="AH94" s="12">
        <f>SUM(All_India_Index_Upto_April23__1___14[[#This Row],[Cereals and products]:[Pan, tobacco and intoxicants]])</f>
        <v>1761.0000000000002</v>
      </c>
      <c r="AI94" s="12">
        <f>SUM(All_India_Index_Upto_April23__1___14[[#This Row],[Household goods and services]],All_India_Index_Upto_April23__1___14[[#This Row],[Housing]])</f>
        <v>241.2</v>
      </c>
      <c r="AJ94" s="12">
        <f>All_India_Index_Upto_April23__1___14[[#This Row],[Clothing]]+All_India_Index_Upto_April23__1___14[[#This Row],[Footwear]]</f>
        <v>249</v>
      </c>
      <c r="AK94" s="12">
        <f>All_India_Index_Upto_April23__1___14[[#This Row],[Miscellaneous]]+All_India_Index_Upto_April23__1___14[[#This Row],[Personal care and effects]]+All_India_Index_Upto_April23__1___14[[#This Row],[Education]]+All_India_Index_Upto_April23__1___14[[#This Row],[Recreation and amusement]]</f>
        <v>471.09999999999997</v>
      </c>
      <c r="AL9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3074.1</v>
      </c>
    </row>
    <row r="95" spans="1:38" hidden="1" x14ac:dyDescent="0.3">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s="12">
        <f>'Handle Missing Value Sheet only'!$F$5</f>
        <v>139.27096774193564</v>
      </c>
      <c r="V95">
        <v>123.8</v>
      </c>
      <c r="W95">
        <v>123.7</v>
      </c>
      <c r="X95">
        <v>121.1</v>
      </c>
      <c r="Y95">
        <v>113.6</v>
      </c>
      <c r="Z95">
        <v>118.5</v>
      </c>
      <c r="AA95">
        <v>123.6</v>
      </c>
      <c r="AB95">
        <v>112.5</v>
      </c>
      <c r="AC95">
        <v>118.2</v>
      </c>
      <c r="AD95">
        <v>126.1</v>
      </c>
      <c r="AE95" s="12">
        <f>AVERAGE(All_India_Index_Upto_April23__1___14[[#This Row],[Cereals and products]:[Pan, tobacco and intoxicants]])</f>
        <v>126.90714285714284</v>
      </c>
      <c r="AF95" s="12">
        <f>AVERAGE(All_India_Index_Upto_April23__1___14[[#This Row],[Household goods and services]],All_India_Index_Upto_April23__1___14[[#This Row],[Housing]])</f>
        <v>131.48548387096781</v>
      </c>
      <c r="AG95" s="12">
        <f>AVERAGE(All_India_Index_Upto_April23__1___14[[#This Row],[Miscellaneous]],All_India_Index_Upto_April23__1___14[[#This Row],[Personal care and effects]],All_India_Index_Upto_April23__1___14[[#This Row],[Education]],All_India_Index_Upto_April23__1___14[[#This Row],[Recreation and amusement]])</f>
        <v>118.19999999999999</v>
      </c>
      <c r="AH95" s="12">
        <f>SUM(All_India_Index_Upto_April23__1___14[[#This Row],[Cereals and products]:[Pan, tobacco and intoxicants]])</f>
        <v>1776.6999999999998</v>
      </c>
      <c r="AI95" s="12">
        <f>SUM(All_India_Index_Upto_April23__1___14[[#This Row],[Household goods and services]],All_India_Index_Upto_April23__1___14[[#This Row],[Housing]])</f>
        <v>262.97096774193562</v>
      </c>
      <c r="AJ95" s="12">
        <f>All_India_Index_Upto_April23__1___14[[#This Row],[Clothing]]+All_India_Index_Upto_April23__1___14[[#This Row],[Footwear]]</f>
        <v>255.8</v>
      </c>
      <c r="AK95" s="12">
        <f>All_India_Index_Upto_April23__1___14[[#This Row],[Miscellaneous]]+All_India_Index_Upto_April23__1___14[[#This Row],[Personal care and effects]]+All_India_Index_Upto_April23__1___14[[#This Row],[Education]]+All_India_Index_Upto_April23__1___14[[#This Row],[Recreation and amusement]]</f>
        <v>472.79999999999995</v>
      </c>
      <c r="AL9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3126.7709677419352</v>
      </c>
    </row>
    <row r="96" spans="1:38" hidden="1" x14ac:dyDescent="0.3">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s="12">
        <f>AVERAGE(All_India_Index_Upto_April23__1___14[[#This Row],[Cereals and products]:[Pan, tobacco and intoxicants]])</f>
        <v>128.07857142857142</v>
      </c>
      <c r="AF96" s="12">
        <f>AVERAGE(All_India_Index_Upto_April23__1___14[[#This Row],[Household goods and services]],All_India_Index_Upto_April23__1___14[[#This Row],[Housing]])</f>
        <v>120.45</v>
      </c>
      <c r="AG96" s="12">
        <f>AVERAGE(All_India_Index_Upto_April23__1___14[[#This Row],[Miscellaneous]],All_India_Index_Upto_April23__1___14[[#This Row],[Personal care and effects]],All_India_Index_Upto_April23__1___14[[#This Row],[Education]],All_India_Index_Upto_April23__1___14[[#This Row],[Recreation and amusement]])</f>
        <v>117.89999999999999</v>
      </c>
      <c r="AH96" s="12">
        <f>SUM(All_India_Index_Upto_April23__1___14[[#This Row],[Cereals and products]:[Pan, tobacco and intoxicants]])</f>
        <v>1793.1</v>
      </c>
      <c r="AI96" s="12">
        <f>SUM(All_India_Index_Upto_April23__1___14[[#This Row],[Household goods and services]],All_India_Index_Upto_April23__1___14[[#This Row],[Housing]])</f>
        <v>240.9</v>
      </c>
      <c r="AJ96" s="12">
        <f>All_India_Index_Upto_April23__1___14[[#This Row],[Clothing]]+All_India_Index_Upto_April23__1___14[[#This Row],[Footwear]]</f>
        <v>241.9</v>
      </c>
      <c r="AK96" s="12">
        <f>All_India_Index_Upto_April23__1___14[[#This Row],[Miscellaneous]]+All_India_Index_Upto_April23__1___14[[#This Row],[Personal care and effects]]+All_India_Index_Upto_April23__1___14[[#This Row],[Education]]+All_India_Index_Upto_April23__1___14[[#This Row],[Recreation and amusement]]</f>
        <v>471.59999999999997</v>
      </c>
      <c r="AL9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3089.3</v>
      </c>
    </row>
    <row r="97" spans="1:38" hidden="1" x14ac:dyDescent="0.3">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s="12">
        <f>AVERAGE(All_India_Index_Upto_April23__1___14[[#This Row],[Cereals and products]:[Pan, tobacco and intoxicants]])</f>
        <v>127.2</v>
      </c>
      <c r="AF97" s="12">
        <f>AVERAGE(All_India_Index_Upto_April23__1___14[[#This Row],[Household goods and services]],All_India_Index_Upto_April23__1___14[[#This Row],[Housing]])</f>
        <v>121.45</v>
      </c>
      <c r="AG97" s="12">
        <f>AVERAGE(All_India_Index_Upto_April23__1___14[[#This Row],[Miscellaneous]],All_India_Index_Upto_April23__1___14[[#This Row],[Personal care and effects]],All_India_Index_Upto_April23__1___14[[#This Row],[Education]],All_India_Index_Upto_April23__1___14[[#This Row],[Recreation and amusement]])</f>
        <v>118.10000000000001</v>
      </c>
      <c r="AH97" s="12">
        <f>SUM(All_India_Index_Upto_April23__1___14[[#This Row],[Cereals and products]:[Pan, tobacco and intoxicants]])</f>
        <v>1780.8</v>
      </c>
      <c r="AI97" s="12">
        <f>SUM(All_India_Index_Upto_April23__1___14[[#This Row],[Household goods and services]],All_India_Index_Upto_April23__1___14[[#This Row],[Housing]])</f>
        <v>242.9</v>
      </c>
      <c r="AJ97" s="12">
        <f>All_India_Index_Upto_April23__1___14[[#This Row],[Clothing]]+All_India_Index_Upto_April23__1___14[[#This Row],[Footwear]]</f>
        <v>250.10000000000002</v>
      </c>
      <c r="AK97" s="12">
        <f>All_India_Index_Upto_April23__1___14[[#This Row],[Miscellaneous]]+All_India_Index_Upto_April23__1___14[[#This Row],[Personal care and effects]]+All_India_Index_Upto_April23__1___14[[#This Row],[Education]]+All_India_Index_Upto_April23__1___14[[#This Row],[Recreation and amusement]]</f>
        <v>472.40000000000003</v>
      </c>
      <c r="AL9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3097.8999999999996</v>
      </c>
    </row>
    <row r="98" spans="1:38" hidden="1" x14ac:dyDescent="0.3">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s="12">
        <f>'Handle Missing Value Sheet only'!$F$5</f>
        <v>139.27096774193564</v>
      </c>
      <c r="V98">
        <v>123.7</v>
      </c>
      <c r="W98">
        <v>124.5</v>
      </c>
      <c r="X98">
        <v>121.4</v>
      </c>
      <c r="Y98">
        <v>113.8</v>
      </c>
      <c r="Z98">
        <v>119.6</v>
      </c>
      <c r="AA98">
        <v>124.5</v>
      </c>
      <c r="AB98">
        <v>113.7</v>
      </c>
      <c r="AC98">
        <v>118.8</v>
      </c>
      <c r="AD98">
        <v>127</v>
      </c>
      <c r="AE98" s="12">
        <f>AVERAGE(All_India_Index_Upto_April23__1___14[[#This Row],[Cereals and products]:[Pan, tobacco and intoxicants]])</f>
        <v>127.75714285714287</v>
      </c>
      <c r="AF98" s="12">
        <f>AVERAGE(All_India_Index_Upto_April23__1___14[[#This Row],[Household goods and services]],All_India_Index_Upto_April23__1___14[[#This Row],[Housing]])</f>
        <v>131.88548387096782</v>
      </c>
      <c r="AG98" s="12">
        <f>AVERAGE(All_India_Index_Upto_April23__1___14[[#This Row],[Miscellaneous]],All_India_Index_Upto_April23__1___14[[#This Row],[Personal care and effects]],All_India_Index_Upto_April23__1___14[[#This Row],[Education]],All_India_Index_Upto_April23__1___14[[#This Row],[Recreation and amusement]])</f>
        <v>119.15</v>
      </c>
      <c r="AH98" s="12">
        <f>SUM(All_India_Index_Upto_April23__1___14[[#This Row],[Cereals and products]:[Pan, tobacco and intoxicants]])</f>
        <v>1788.6000000000001</v>
      </c>
      <c r="AI98" s="12">
        <f>SUM(All_India_Index_Upto_April23__1___14[[#This Row],[Household goods and services]],All_India_Index_Upto_April23__1___14[[#This Row],[Housing]])</f>
        <v>263.77096774193564</v>
      </c>
      <c r="AJ98" s="12">
        <f>All_India_Index_Upto_April23__1___14[[#This Row],[Clothing]]+All_India_Index_Upto_April23__1___14[[#This Row],[Footwear]]</f>
        <v>257.2</v>
      </c>
      <c r="AK98" s="12">
        <f>All_India_Index_Upto_April23__1___14[[#This Row],[Miscellaneous]]+All_India_Index_Upto_April23__1___14[[#This Row],[Personal care and effects]]+All_India_Index_Upto_April23__1___14[[#This Row],[Education]]+All_India_Index_Upto_April23__1___14[[#This Row],[Recreation and amusement]]</f>
        <v>476.6</v>
      </c>
      <c r="AL9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3145.0709677419359</v>
      </c>
    </row>
    <row r="99" spans="1:38" hidden="1" x14ac:dyDescent="0.3">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s="12">
        <f>AVERAGE(All_India_Index_Upto_April23__1___14[[#This Row],[Cereals and products]:[Pan, tobacco and intoxicants]])</f>
        <v>128.53571428571428</v>
      </c>
      <c r="AF99" s="12">
        <f>AVERAGE(All_India_Index_Upto_April23__1___14[[#This Row],[Household goods and services]],All_India_Index_Upto_April23__1___14[[#This Row],[Housing]])</f>
        <v>121</v>
      </c>
      <c r="AG99" s="12">
        <f>AVERAGE(All_India_Index_Upto_April23__1___14[[#This Row],[Miscellaneous]],All_India_Index_Upto_April23__1___14[[#This Row],[Personal care and effects]],All_India_Index_Upto_April23__1___14[[#This Row],[Education]],All_India_Index_Upto_April23__1___14[[#This Row],[Recreation and amusement]])</f>
        <v>118.22500000000001</v>
      </c>
      <c r="AH99" s="12">
        <f>SUM(All_India_Index_Upto_April23__1___14[[#This Row],[Cereals and products]:[Pan, tobacco and intoxicants]])</f>
        <v>1799.5</v>
      </c>
      <c r="AI99" s="12">
        <f>SUM(All_India_Index_Upto_April23__1___14[[#This Row],[Household goods and services]],All_India_Index_Upto_April23__1___14[[#This Row],[Housing]])</f>
        <v>242</v>
      </c>
      <c r="AJ99" s="12">
        <f>All_India_Index_Upto_April23__1___14[[#This Row],[Clothing]]+All_India_Index_Upto_April23__1___14[[#This Row],[Footwear]]</f>
        <v>242.6</v>
      </c>
      <c r="AK99" s="12">
        <f>All_India_Index_Upto_April23__1___14[[#This Row],[Miscellaneous]]+All_India_Index_Upto_April23__1___14[[#This Row],[Personal care and effects]]+All_India_Index_Upto_April23__1___14[[#This Row],[Education]]+All_India_Index_Upto_April23__1___14[[#This Row],[Recreation and amusement]]</f>
        <v>472.90000000000003</v>
      </c>
      <c r="AL9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3098.2999999999997</v>
      </c>
    </row>
    <row r="100" spans="1:38" hidden="1" x14ac:dyDescent="0.3">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s="12">
        <f>AVERAGE(All_India_Index_Upto_April23__1___14[[#This Row],[Cereals and products]:[Pan, tobacco and intoxicants]])</f>
        <v>127.87857142857145</v>
      </c>
      <c r="AF100" s="12">
        <f>AVERAGE(All_India_Index_Upto_April23__1___14[[#This Row],[Household goods and services]],All_India_Index_Upto_April23__1___14[[#This Row],[Housing]])</f>
        <v>122.1</v>
      </c>
      <c r="AG100" s="12">
        <f>AVERAGE(All_India_Index_Upto_April23__1___14[[#This Row],[Miscellaneous]],All_India_Index_Upto_April23__1___14[[#This Row],[Personal care and effects]],All_India_Index_Upto_April23__1___14[[#This Row],[Education]],All_India_Index_Upto_April23__1___14[[#This Row],[Recreation and amusement]])</f>
        <v>118.72500000000001</v>
      </c>
      <c r="AH100" s="12">
        <f>SUM(All_India_Index_Upto_April23__1___14[[#This Row],[Cereals and products]:[Pan, tobacco and intoxicants]])</f>
        <v>1790.3000000000002</v>
      </c>
      <c r="AI100" s="12">
        <f>SUM(All_India_Index_Upto_April23__1___14[[#This Row],[Household goods and services]],All_India_Index_Upto_April23__1___14[[#This Row],[Housing]])</f>
        <v>244.2</v>
      </c>
      <c r="AJ100" s="12">
        <f>All_India_Index_Upto_April23__1___14[[#This Row],[Clothing]]+All_India_Index_Upto_April23__1___14[[#This Row],[Footwear]]</f>
        <v>251.3</v>
      </c>
      <c r="AK100" s="12">
        <f>All_India_Index_Upto_April23__1___14[[#This Row],[Miscellaneous]]+All_India_Index_Upto_April23__1___14[[#This Row],[Personal care and effects]]+All_India_Index_Upto_April23__1___14[[#This Row],[Education]]+All_India_Index_Upto_April23__1___14[[#This Row],[Recreation and amusement]]</f>
        <v>474.90000000000003</v>
      </c>
      <c r="AL10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3112.2000000000007</v>
      </c>
    </row>
    <row r="101" spans="1:38" hidden="1" x14ac:dyDescent="0.3">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s="12">
        <f>'Handle Missing Value Sheet only'!$F$5</f>
        <v>139.27096774193564</v>
      </c>
      <c r="V101">
        <v>124.4</v>
      </c>
      <c r="W101">
        <v>125.1</v>
      </c>
      <c r="X101">
        <v>122</v>
      </c>
      <c r="Y101">
        <v>113.8</v>
      </c>
      <c r="Z101">
        <v>120.1</v>
      </c>
      <c r="AA101">
        <v>125.1</v>
      </c>
      <c r="AB101">
        <v>114.2</v>
      </c>
      <c r="AC101">
        <v>119.2</v>
      </c>
      <c r="AD101">
        <v>127.7</v>
      </c>
      <c r="AE101" s="12">
        <f>AVERAGE(All_India_Index_Upto_April23__1___14[[#This Row],[Cereals and products]:[Pan, tobacco and intoxicants]])</f>
        <v>129.00714285714284</v>
      </c>
      <c r="AF101" s="12">
        <f>AVERAGE(All_India_Index_Upto_April23__1___14[[#This Row],[Household goods and services]],All_India_Index_Upto_April23__1___14[[#This Row],[Housing]])</f>
        <v>132.1854838709678</v>
      </c>
      <c r="AG101" s="12">
        <f>AVERAGE(All_India_Index_Upto_April23__1___14[[#This Row],[Miscellaneous]],All_India_Index_Upto_April23__1___14[[#This Row],[Personal care and effects]],All_India_Index_Upto_April23__1___14[[#This Row],[Education]],All_India_Index_Upto_April23__1___14[[#This Row],[Recreation and amusement]])</f>
        <v>119.65</v>
      </c>
      <c r="AH101" s="12">
        <f>SUM(All_India_Index_Upto_April23__1___14[[#This Row],[Cereals and products]:[Pan, tobacco and intoxicants]])</f>
        <v>1806.1</v>
      </c>
      <c r="AI101" s="12">
        <f>SUM(All_India_Index_Upto_April23__1___14[[#This Row],[Household goods and services]],All_India_Index_Upto_April23__1___14[[#This Row],[Housing]])</f>
        <v>264.3709677419356</v>
      </c>
      <c r="AJ101" s="12">
        <f>All_India_Index_Upto_April23__1___14[[#This Row],[Clothing]]+All_India_Index_Upto_April23__1___14[[#This Row],[Footwear]]</f>
        <v>258.39999999999998</v>
      </c>
      <c r="AK101" s="12">
        <f>All_India_Index_Upto_April23__1___14[[#This Row],[Miscellaneous]]+All_India_Index_Upto_April23__1___14[[#This Row],[Personal care and effects]]+All_India_Index_Upto_April23__1___14[[#This Row],[Education]]+All_India_Index_Upto_April23__1___14[[#This Row],[Recreation and amusement]]</f>
        <v>478.6</v>
      </c>
      <c r="AL10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3167.6709677419358</v>
      </c>
    </row>
    <row r="102" spans="1:38" hidden="1" x14ac:dyDescent="0.3">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s="12">
        <f>AVERAGE(All_India_Index_Upto_April23__1___14[[#This Row],[Cereals and products]:[Pan, tobacco and intoxicants]])</f>
        <v>130.57857142857145</v>
      </c>
      <c r="AF102" s="12">
        <f>AVERAGE(All_India_Index_Upto_April23__1___14[[#This Row],[Household goods and services]],All_India_Index_Upto_April23__1___14[[#This Row],[Housing]])</f>
        <v>121.55000000000001</v>
      </c>
      <c r="AG102" s="12">
        <f>AVERAGE(All_India_Index_Upto_April23__1___14[[#This Row],[Miscellaneous]],All_India_Index_Upto_April23__1___14[[#This Row],[Personal care and effects]],All_India_Index_Upto_April23__1___14[[#This Row],[Education]],All_India_Index_Upto_April23__1___14[[#This Row],[Recreation and amusement]])</f>
        <v>118.55</v>
      </c>
      <c r="AH102" s="12">
        <f>SUM(All_India_Index_Upto_April23__1___14[[#This Row],[Cereals and products]:[Pan, tobacco and intoxicants]])</f>
        <v>1828.1000000000001</v>
      </c>
      <c r="AI102" s="12">
        <f>SUM(All_India_Index_Upto_April23__1___14[[#This Row],[Household goods and services]],All_India_Index_Upto_April23__1___14[[#This Row],[Housing]])</f>
        <v>243.10000000000002</v>
      </c>
      <c r="AJ102" s="12">
        <f>All_India_Index_Upto_April23__1___14[[#This Row],[Clothing]]+All_India_Index_Upto_April23__1___14[[#This Row],[Footwear]]</f>
        <v>243.2</v>
      </c>
      <c r="AK102" s="12">
        <f>All_India_Index_Upto_April23__1___14[[#This Row],[Miscellaneous]]+All_India_Index_Upto_April23__1___14[[#This Row],[Personal care and effects]]+All_India_Index_Upto_April23__1___14[[#This Row],[Education]]+All_India_Index_Upto_April23__1___14[[#This Row],[Recreation and amusement]]</f>
        <v>474.2</v>
      </c>
      <c r="AL10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3130.5000000000005</v>
      </c>
    </row>
    <row r="103" spans="1:38" hidden="1" x14ac:dyDescent="0.3">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s="12">
        <f>AVERAGE(All_India_Index_Upto_April23__1___14[[#This Row],[Cereals and products]:[Pan, tobacco and intoxicants]])</f>
        <v>129.39285714285714</v>
      </c>
      <c r="AF103" s="12">
        <f>AVERAGE(All_India_Index_Upto_April23__1___14[[#This Row],[Household goods and services]],All_India_Index_Upto_April23__1___14[[#This Row],[Housing]])</f>
        <v>122.7</v>
      </c>
      <c r="AG103" s="12">
        <f>AVERAGE(All_India_Index_Upto_April23__1___14[[#This Row],[Miscellaneous]],All_India_Index_Upto_April23__1___14[[#This Row],[Personal care and effects]],All_India_Index_Upto_April23__1___14[[#This Row],[Education]],All_India_Index_Upto_April23__1___14[[#This Row],[Recreation and amusement]])</f>
        <v>119.10000000000001</v>
      </c>
      <c r="AH103" s="12">
        <f>SUM(All_India_Index_Upto_April23__1___14[[#This Row],[Cereals and products]:[Pan, tobacco and intoxicants]])</f>
        <v>1811.4999999999998</v>
      </c>
      <c r="AI103" s="12">
        <f>SUM(All_India_Index_Upto_April23__1___14[[#This Row],[Household goods and services]],All_India_Index_Upto_April23__1___14[[#This Row],[Housing]])</f>
        <v>245.4</v>
      </c>
      <c r="AJ103" s="12">
        <f>All_India_Index_Upto_April23__1___14[[#This Row],[Clothing]]+All_India_Index_Upto_April23__1___14[[#This Row],[Footwear]]</f>
        <v>252.3</v>
      </c>
      <c r="AK103" s="12">
        <f>All_India_Index_Upto_April23__1___14[[#This Row],[Miscellaneous]]+All_India_Index_Upto_April23__1___14[[#This Row],[Personal care and effects]]+All_India_Index_Upto_April23__1___14[[#This Row],[Education]]+All_India_Index_Upto_April23__1___14[[#This Row],[Recreation and amusement]]</f>
        <v>476.40000000000003</v>
      </c>
      <c r="AL10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3138.2000000000003</v>
      </c>
    </row>
    <row r="104" spans="1:38" hidden="1"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s="12">
        <f>'Handle Missing Value Sheet only'!$F$5</f>
        <v>139.27096774193564</v>
      </c>
      <c r="V104">
        <v>125.6</v>
      </c>
      <c r="W104">
        <v>125.6</v>
      </c>
      <c r="X104">
        <v>122.6</v>
      </c>
      <c r="Y104">
        <v>114</v>
      </c>
      <c r="Z104">
        <v>120.9</v>
      </c>
      <c r="AA104">
        <v>125.8</v>
      </c>
      <c r="AB104">
        <v>114.2</v>
      </c>
      <c r="AC104">
        <v>119.6</v>
      </c>
      <c r="AD104">
        <v>128.30000000000001</v>
      </c>
      <c r="AE104" s="12">
        <f>AVERAGE(All_India_Index_Upto_April23__1___14[[#This Row],[Cereals and products]:[Pan, tobacco and intoxicants]])</f>
        <v>129.89285714285714</v>
      </c>
      <c r="AF104" s="12">
        <f>AVERAGE(All_India_Index_Upto_April23__1___14[[#This Row],[Household goods and services]],All_India_Index_Upto_April23__1___14[[#This Row],[Housing]])</f>
        <v>132.4354838709678</v>
      </c>
      <c r="AG104" s="12">
        <f>AVERAGE(All_India_Index_Upto_April23__1___14[[#This Row],[Miscellaneous]],All_India_Index_Upto_April23__1___14[[#This Row],[Personal care and effects]],All_India_Index_Upto_April23__1___14[[#This Row],[Education]],All_India_Index_Upto_April23__1___14[[#This Row],[Recreation and amusement]])</f>
        <v>120.125</v>
      </c>
      <c r="AH104" s="12">
        <f>SUM(All_India_Index_Upto_April23__1___14[[#This Row],[Cereals and products]:[Pan, tobacco and intoxicants]])</f>
        <v>1818.5</v>
      </c>
      <c r="AI104" s="12">
        <f>SUM(All_India_Index_Upto_April23__1___14[[#This Row],[Household goods and services]],All_India_Index_Upto_April23__1___14[[#This Row],[Housing]])</f>
        <v>264.8709677419356</v>
      </c>
      <c r="AJ104" s="12">
        <f>All_India_Index_Upto_April23__1___14[[#This Row],[Clothing]]+All_India_Index_Upto_April23__1___14[[#This Row],[Footwear]]</f>
        <v>260.29999999999995</v>
      </c>
      <c r="AK104" s="12">
        <f>All_India_Index_Upto_April23__1___14[[#This Row],[Miscellaneous]]+All_India_Index_Upto_April23__1___14[[#This Row],[Personal care and effects]]+All_India_Index_Upto_April23__1___14[[#This Row],[Education]]+All_India_Index_Upto_April23__1___14[[#This Row],[Recreation and amusement]]</f>
        <v>480.5</v>
      </c>
      <c r="AL10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3186.3709677419356</v>
      </c>
    </row>
    <row r="105" spans="1:38" hidden="1" x14ac:dyDescent="0.3">
      <c r="A105" t="s">
        <v>32</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s="12">
        <f>AVERAGE(All_India_Index_Upto_April23__1___14[[#This Row],[Cereals and products]:[Pan, tobacco and intoxicants]])</f>
        <v>131.8642857142857</v>
      </c>
      <c r="AF105" s="12">
        <f>AVERAGE(All_India_Index_Upto_April23__1___14[[#This Row],[Household goods and services]],All_India_Index_Upto_April23__1___14[[#This Row],[Housing]])</f>
        <v>121.95</v>
      </c>
      <c r="AG105" s="12">
        <f>AVERAGE(All_India_Index_Upto_April23__1___14[[#This Row],[Miscellaneous]],All_India_Index_Upto_April23__1___14[[#This Row],[Personal care and effects]],All_India_Index_Upto_April23__1___14[[#This Row],[Education]],All_India_Index_Upto_April23__1___14[[#This Row],[Recreation and amusement]])</f>
        <v>118.6</v>
      </c>
      <c r="AH105" s="12">
        <f>SUM(All_India_Index_Upto_April23__1___14[[#This Row],[Cereals and products]:[Pan, tobacco and intoxicants]])</f>
        <v>1846.0999999999997</v>
      </c>
      <c r="AI105" s="12">
        <f>SUM(All_India_Index_Upto_April23__1___14[[#This Row],[Household goods and services]],All_India_Index_Upto_April23__1___14[[#This Row],[Housing]])</f>
        <v>243.9</v>
      </c>
      <c r="AJ105" s="12">
        <f>All_India_Index_Upto_April23__1___14[[#This Row],[Clothing]]+All_India_Index_Upto_April23__1___14[[#This Row],[Footwear]]</f>
        <v>244.3</v>
      </c>
      <c r="AK105" s="12">
        <f>All_India_Index_Upto_April23__1___14[[#This Row],[Miscellaneous]]+All_India_Index_Upto_April23__1___14[[#This Row],[Personal care and effects]]+All_India_Index_Upto_April23__1___14[[#This Row],[Education]]+All_India_Index_Upto_April23__1___14[[#This Row],[Recreation and amusement]]</f>
        <v>474.4</v>
      </c>
      <c r="AL10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3151.2</v>
      </c>
    </row>
    <row r="106" spans="1:38" hidden="1" x14ac:dyDescent="0.3">
      <c r="A106" t="s">
        <v>33</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s="12">
        <f>AVERAGE(All_India_Index_Upto_April23__1___14[[#This Row],[Cereals and products]:[Pan, tobacco and intoxicants]])</f>
        <v>130.40714285714284</v>
      </c>
      <c r="AF106" s="12">
        <f>AVERAGE(All_India_Index_Upto_April23__1___14[[#This Row],[Household goods and services]],All_India_Index_Upto_April23__1___14[[#This Row],[Housing]])</f>
        <v>123.15</v>
      </c>
      <c r="AG106" s="12">
        <f>AVERAGE(All_India_Index_Upto_April23__1___14[[#This Row],[Miscellaneous]],All_India_Index_Upto_April23__1___14[[#This Row],[Personal care and effects]],All_India_Index_Upto_April23__1___14[[#This Row],[Education]],All_India_Index_Upto_April23__1___14[[#This Row],[Recreation and amusement]])</f>
        <v>119.35</v>
      </c>
      <c r="AH106" s="12">
        <f>SUM(All_India_Index_Upto_April23__1___14[[#This Row],[Cereals and products]:[Pan, tobacco and intoxicants]])</f>
        <v>1825.6999999999998</v>
      </c>
      <c r="AI106" s="12">
        <f>SUM(All_India_Index_Upto_April23__1___14[[#This Row],[Household goods and services]],All_India_Index_Upto_April23__1___14[[#This Row],[Housing]])</f>
        <v>246.3</v>
      </c>
      <c r="AJ106" s="12">
        <f>All_India_Index_Upto_April23__1___14[[#This Row],[Clothing]]+All_India_Index_Upto_April23__1___14[[#This Row],[Footwear]]</f>
        <v>253.8</v>
      </c>
      <c r="AK106" s="12">
        <f>All_India_Index_Upto_April23__1___14[[#This Row],[Miscellaneous]]+All_India_Index_Upto_April23__1___14[[#This Row],[Personal care and effects]]+All_India_Index_Upto_April23__1___14[[#This Row],[Education]]+All_India_Index_Upto_April23__1___14[[#This Row],[Recreation and amusement]]</f>
        <v>477.4</v>
      </c>
      <c r="AL10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3157.2</v>
      </c>
    </row>
    <row r="107" spans="1:38" hidden="1"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s="12">
        <f>'Handle Missing Value Sheet only'!$F$5</f>
        <v>139.27096774193564</v>
      </c>
      <c r="V107">
        <v>125.7</v>
      </c>
      <c r="W107">
        <v>126</v>
      </c>
      <c r="X107">
        <v>123.1</v>
      </c>
      <c r="Y107">
        <v>114</v>
      </c>
      <c r="Z107">
        <v>121.6</v>
      </c>
      <c r="AA107">
        <v>125.6</v>
      </c>
      <c r="AB107">
        <v>114.1</v>
      </c>
      <c r="AC107">
        <v>119.8</v>
      </c>
      <c r="AD107">
        <v>127.9</v>
      </c>
      <c r="AE107" s="12">
        <f>AVERAGE(All_India_Index_Upto_April23__1___14[[#This Row],[Cereals and products]:[Pan, tobacco and intoxicants]])</f>
        <v>129.67142857142858</v>
      </c>
      <c r="AF107" s="12">
        <f>AVERAGE(All_India_Index_Upto_April23__1___14[[#This Row],[Household goods and services]],All_India_Index_Upto_April23__1___14[[#This Row],[Housing]])</f>
        <v>132.63548387096782</v>
      </c>
      <c r="AG107" s="12">
        <f>AVERAGE(All_India_Index_Upto_April23__1___14[[#This Row],[Miscellaneous]],All_India_Index_Upto_April23__1___14[[#This Row],[Personal care and effects]],All_India_Index_Upto_April23__1___14[[#This Row],[Education]],All_India_Index_Upto_April23__1___14[[#This Row],[Recreation and amusement]])</f>
        <v>120.27500000000001</v>
      </c>
      <c r="AH107" s="12">
        <f>SUM(All_India_Index_Upto_April23__1___14[[#This Row],[Cereals and products]:[Pan, tobacco and intoxicants]])</f>
        <v>1815.4</v>
      </c>
      <c r="AI107" s="12">
        <f>SUM(All_India_Index_Upto_April23__1___14[[#This Row],[Household goods and services]],All_India_Index_Upto_April23__1___14[[#This Row],[Housing]])</f>
        <v>265.27096774193564</v>
      </c>
      <c r="AJ107" s="12">
        <f>All_India_Index_Upto_April23__1___14[[#This Row],[Clothing]]+All_India_Index_Upto_April23__1___14[[#This Row],[Footwear]]</f>
        <v>261</v>
      </c>
      <c r="AK107" s="12">
        <f>All_India_Index_Upto_April23__1___14[[#This Row],[Miscellaneous]]+All_India_Index_Upto_April23__1___14[[#This Row],[Personal care and effects]]+All_India_Index_Upto_April23__1___14[[#This Row],[Education]]+All_India_Index_Upto_April23__1___14[[#This Row],[Recreation and amusement]]</f>
        <v>481.1</v>
      </c>
      <c r="AL10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3185.5709677419354</v>
      </c>
    </row>
    <row r="108" spans="1:38" hidden="1" x14ac:dyDescent="0.3">
      <c r="A108" t="s">
        <v>32</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s="12">
        <f>AVERAGE(All_India_Index_Upto_April23__1___14[[#This Row],[Cereals and products]:[Pan, tobacco and intoxicants]])</f>
        <v>131.21428571428572</v>
      </c>
      <c r="AF108" s="12">
        <f>AVERAGE(All_India_Index_Upto_April23__1___14[[#This Row],[Household goods and services]],All_India_Index_Upto_April23__1___14[[#This Row],[Housing]])</f>
        <v>121.7</v>
      </c>
      <c r="AG108" s="12">
        <f>AVERAGE(All_India_Index_Upto_April23__1___14[[#This Row],[Miscellaneous]],All_India_Index_Upto_April23__1___14[[#This Row],[Personal care and effects]],All_India_Index_Upto_April23__1___14[[#This Row],[Education]],All_India_Index_Upto_April23__1___14[[#This Row],[Recreation and amusement]])</f>
        <v>118.65</v>
      </c>
      <c r="AH108" s="12">
        <f>SUM(All_India_Index_Upto_April23__1___14[[#This Row],[Cereals and products]:[Pan, tobacco and intoxicants]])</f>
        <v>1837</v>
      </c>
      <c r="AI108" s="12">
        <f>SUM(All_India_Index_Upto_April23__1___14[[#This Row],[Household goods and services]],All_India_Index_Upto_April23__1___14[[#This Row],[Housing]])</f>
        <v>243.4</v>
      </c>
      <c r="AJ108" s="12">
        <f>All_India_Index_Upto_April23__1___14[[#This Row],[Clothing]]+All_India_Index_Upto_April23__1___14[[#This Row],[Footwear]]</f>
        <v>244.9</v>
      </c>
      <c r="AK108" s="12">
        <f>All_India_Index_Upto_April23__1___14[[#This Row],[Miscellaneous]]+All_India_Index_Upto_April23__1___14[[#This Row],[Personal care and effects]]+All_India_Index_Upto_April23__1___14[[#This Row],[Education]]+All_India_Index_Upto_April23__1___14[[#This Row],[Recreation and amusement]]</f>
        <v>474.6</v>
      </c>
      <c r="AL10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3143.8</v>
      </c>
    </row>
    <row r="109" spans="1:38" hidden="1" x14ac:dyDescent="0.3">
      <c r="A109" t="s">
        <v>33</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s="12">
        <f>AVERAGE(All_India_Index_Upto_April23__1___14[[#This Row],[Cereals and products]:[Pan, tobacco and intoxicants]])</f>
        <v>130.04285714285714</v>
      </c>
      <c r="AF109" s="12">
        <f>AVERAGE(All_India_Index_Upto_April23__1___14[[#This Row],[Household goods and services]],All_India_Index_Upto_April23__1___14[[#This Row],[Housing]])</f>
        <v>123</v>
      </c>
      <c r="AG109" s="12">
        <f>AVERAGE(All_India_Index_Upto_April23__1___14[[#This Row],[Miscellaneous]],All_India_Index_Upto_April23__1___14[[#This Row],[Personal care and effects]],All_India_Index_Upto_April23__1___14[[#This Row],[Education]],All_India_Index_Upto_April23__1___14[[#This Row],[Recreation and amusement]])</f>
        <v>119.44999999999999</v>
      </c>
      <c r="AH109" s="12">
        <f>SUM(All_India_Index_Upto_April23__1___14[[#This Row],[Cereals and products]:[Pan, tobacco and intoxicants]])</f>
        <v>1820.6000000000001</v>
      </c>
      <c r="AI109" s="12">
        <f>SUM(All_India_Index_Upto_April23__1___14[[#This Row],[Household goods and services]],All_India_Index_Upto_April23__1___14[[#This Row],[Housing]])</f>
        <v>246</v>
      </c>
      <c r="AJ109" s="12">
        <f>All_India_Index_Upto_April23__1___14[[#This Row],[Clothing]]+All_India_Index_Upto_April23__1___14[[#This Row],[Footwear]]</f>
        <v>254.5</v>
      </c>
      <c r="AK109" s="12">
        <f>All_India_Index_Upto_April23__1___14[[#This Row],[Miscellaneous]]+All_India_Index_Upto_April23__1___14[[#This Row],[Personal care and effects]]+All_India_Index_Upto_April23__1___14[[#This Row],[Education]]+All_India_Index_Upto_April23__1___14[[#This Row],[Recreation and amusement]]</f>
        <v>477.79999999999995</v>
      </c>
      <c r="AL10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3153.8</v>
      </c>
    </row>
    <row r="110" spans="1:38"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s="12">
        <f>'Handle Missing Value Sheet only'!$F$5</f>
        <v>139.27096774193564</v>
      </c>
      <c r="V110">
        <v>126.2</v>
      </c>
      <c r="W110">
        <v>126.6</v>
      </c>
      <c r="X110">
        <v>123.7</v>
      </c>
      <c r="Y110">
        <v>113.6</v>
      </c>
      <c r="Z110">
        <v>121.4</v>
      </c>
      <c r="AA110">
        <v>126.2</v>
      </c>
      <c r="AB110">
        <v>114.9</v>
      </c>
      <c r="AC110">
        <v>120.1</v>
      </c>
      <c r="AD110">
        <v>128.1</v>
      </c>
      <c r="AE110" s="12">
        <f>AVERAGE(All_India_Index_Upto_April23__1___14[[#This Row],[Cereals and products]:[Pan, tobacco and intoxicants]])</f>
        <v>130.26428571428571</v>
      </c>
      <c r="AF110" s="12">
        <f>AVERAGE(All_India_Index_Upto_April23__1___14[[#This Row],[Household goods and services]],All_India_Index_Upto_April23__1___14[[#This Row],[Housing]])</f>
        <v>132.9354838709678</v>
      </c>
      <c r="AG110" s="12">
        <f>AVERAGE(All_India_Index_Upto_April23__1___14[[#This Row],[Miscellaneous]],All_India_Index_Upto_April23__1___14[[#This Row],[Personal care and effects]],All_India_Index_Upto_April23__1___14[[#This Row],[Education]],All_India_Index_Upto_April23__1___14[[#This Row],[Recreation and amusement]])</f>
        <v>120.65</v>
      </c>
      <c r="AH110" s="12">
        <f>SUM(All_India_Index_Upto_April23__1___14[[#This Row],[Cereals and products]:[Pan, tobacco and intoxicants]])</f>
        <v>1823.7</v>
      </c>
      <c r="AI110" s="12">
        <f>SUM(All_India_Index_Upto_April23__1___14[[#This Row],[Household goods and services]],All_India_Index_Upto_April23__1___14[[#This Row],[Housing]])</f>
        <v>265.8709677419356</v>
      </c>
      <c r="AJ110" s="12">
        <f>All_India_Index_Upto_April23__1___14[[#This Row],[Clothing]]+All_India_Index_Upto_April23__1___14[[#This Row],[Footwear]]</f>
        <v>262.10000000000002</v>
      </c>
      <c r="AK110" s="12">
        <f>All_India_Index_Upto_April23__1___14[[#This Row],[Miscellaneous]]+All_India_Index_Upto_April23__1___14[[#This Row],[Personal care and effects]]+All_India_Index_Upto_April23__1___14[[#This Row],[Education]]+All_India_Index_Upto_April23__1___14[[#This Row],[Recreation and amusement]]</f>
        <v>482.6</v>
      </c>
      <c r="AL11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3197.7709677419352</v>
      </c>
    </row>
    <row r="111" spans="1:38" hidden="1" x14ac:dyDescent="0.3">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s="12">
        <f>AVERAGE(All_India_Index_Upto_April23__1___14[[#This Row],[Cereals and products]:[Pan, tobacco and intoxicants]])</f>
        <v>131.49285714285716</v>
      </c>
      <c r="AF111" s="12">
        <f>AVERAGE(All_India_Index_Upto_April23__1___14[[#This Row],[Household goods and services]],All_India_Index_Upto_April23__1___14[[#This Row],[Housing]])</f>
        <v>122.5</v>
      </c>
      <c r="AG111" s="12">
        <f>AVERAGE(All_India_Index_Upto_April23__1___14[[#This Row],[Miscellaneous]],All_India_Index_Upto_April23__1___14[[#This Row],[Personal care and effects]],All_India_Index_Upto_April23__1___14[[#This Row],[Education]],All_India_Index_Upto_April23__1___14[[#This Row],[Recreation and amusement]])</f>
        <v>118.92500000000001</v>
      </c>
      <c r="AH111" s="12">
        <f>SUM(All_India_Index_Upto_April23__1___14[[#This Row],[Cereals and products]:[Pan, tobacco and intoxicants]])</f>
        <v>1840.9</v>
      </c>
      <c r="AI111" s="12">
        <f>SUM(All_India_Index_Upto_April23__1___14[[#This Row],[Household goods and services]],All_India_Index_Upto_April23__1___14[[#This Row],[Housing]])</f>
        <v>245</v>
      </c>
      <c r="AJ111" s="12">
        <f>All_India_Index_Upto_April23__1___14[[#This Row],[Clothing]]+All_India_Index_Upto_April23__1___14[[#This Row],[Footwear]]</f>
        <v>245.6</v>
      </c>
      <c r="AK111" s="12">
        <f>All_India_Index_Upto_April23__1___14[[#This Row],[Miscellaneous]]+All_India_Index_Upto_April23__1___14[[#This Row],[Personal care and effects]]+All_India_Index_Upto_April23__1___14[[#This Row],[Education]]+All_India_Index_Upto_April23__1___14[[#This Row],[Recreation and amusement]]</f>
        <v>475.70000000000005</v>
      </c>
      <c r="AL11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3152.1000000000004</v>
      </c>
    </row>
    <row r="112" spans="1:38" hidden="1" x14ac:dyDescent="0.3">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s="12">
        <f>AVERAGE(All_India_Index_Upto_April23__1___14[[#This Row],[Cereals and products]:[Pan, tobacco and intoxicants]])</f>
        <v>130.49285714285716</v>
      </c>
      <c r="AF112" s="12">
        <f>AVERAGE(All_India_Index_Upto_April23__1___14[[#This Row],[Household goods and services]],All_India_Index_Upto_April23__1___14[[#This Row],[Housing]])</f>
        <v>123.80000000000001</v>
      </c>
      <c r="AG112" s="12">
        <f>AVERAGE(All_India_Index_Upto_April23__1___14[[#This Row],[Miscellaneous]],All_India_Index_Upto_April23__1___14[[#This Row],[Personal care and effects]],All_India_Index_Upto_April23__1___14[[#This Row],[Education]],All_India_Index_Upto_April23__1___14[[#This Row],[Recreation and amusement]])</f>
        <v>119.77500000000001</v>
      </c>
      <c r="AH112" s="12">
        <f>SUM(All_India_Index_Upto_April23__1___14[[#This Row],[Cereals and products]:[Pan, tobacco and intoxicants]])</f>
        <v>1826.9</v>
      </c>
      <c r="AI112" s="12">
        <f>SUM(All_India_Index_Upto_April23__1___14[[#This Row],[Household goods and services]],All_India_Index_Upto_April23__1___14[[#This Row],[Housing]])</f>
        <v>247.60000000000002</v>
      </c>
      <c r="AJ112" s="12">
        <f>All_India_Index_Upto_April23__1___14[[#This Row],[Clothing]]+All_India_Index_Upto_April23__1___14[[#This Row],[Footwear]]</f>
        <v>255.4</v>
      </c>
      <c r="AK112" s="12">
        <f>All_India_Index_Upto_April23__1___14[[#This Row],[Miscellaneous]]+All_India_Index_Upto_April23__1___14[[#This Row],[Personal care and effects]]+All_India_Index_Upto_April23__1___14[[#This Row],[Education]]+All_India_Index_Upto_April23__1___14[[#This Row],[Recreation and amusement]]</f>
        <v>479.1</v>
      </c>
      <c r="AL11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3164.7999999999997</v>
      </c>
    </row>
    <row r="113" spans="1:38" hidden="1" x14ac:dyDescent="0.3">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s="12">
        <f>'Handle Missing Value Sheet only'!$F$5</f>
        <v>139.27096774193564</v>
      </c>
      <c r="V113">
        <v>127.5</v>
      </c>
      <c r="W113">
        <v>127.1</v>
      </c>
      <c r="X113">
        <v>124.3</v>
      </c>
      <c r="Y113">
        <v>113.9</v>
      </c>
      <c r="Z113">
        <v>122.3</v>
      </c>
      <c r="AA113">
        <v>127.1</v>
      </c>
      <c r="AB113">
        <v>116.8</v>
      </c>
      <c r="AC113">
        <v>120.9</v>
      </c>
      <c r="AD113">
        <v>127.9</v>
      </c>
      <c r="AE113" s="12">
        <f>AVERAGE(All_India_Index_Upto_April23__1___14[[#This Row],[Cereals and products]:[Pan, tobacco and intoxicants]])</f>
        <v>129.78571428571428</v>
      </c>
      <c r="AF113" s="12">
        <f>AVERAGE(All_India_Index_Upto_April23__1___14[[#This Row],[Household goods and services]],All_India_Index_Upto_April23__1___14[[#This Row],[Housing]])</f>
        <v>133.1854838709678</v>
      </c>
      <c r="AG113" s="12">
        <f>AVERAGE(All_India_Index_Upto_April23__1___14[[#This Row],[Miscellaneous]],All_India_Index_Upto_April23__1___14[[#This Row],[Personal care and effects]],All_India_Index_Upto_April23__1___14[[#This Row],[Education]],All_India_Index_Upto_April23__1___14[[#This Row],[Recreation and amusement]])</f>
        <v>121.77499999999999</v>
      </c>
      <c r="AH113" s="12">
        <f>SUM(All_India_Index_Upto_April23__1___14[[#This Row],[Cereals and products]:[Pan, tobacco and intoxicants]])</f>
        <v>1817</v>
      </c>
      <c r="AI113" s="12">
        <f>SUM(All_India_Index_Upto_April23__1___14[[#This Row],[Household goods and services]],All_India_Index_Upto_April23__1___14[[#This Row],[Housing]])</f>
        <v>266.3709677419356</v>
      </c>
      <c r="AJ113" s="12">
        <f>All_India_Index_Upto_April23__1___14[[#This Row],[Clothing]]+All_India_Index_Upto_April23__1___14[[#This Row],[Footwear]]</f>
        <v>263.70000000000005</v>
      </c>
      <c r="AK113" s="12">
        <f>All_India_Index_Upto_April23__1___14[[#This Row],[Miscellaneous]]+All_India_Index_Upto_April23__1___14[[#This Row],[Personal care and effects]]+All_India_Index_Upto_April23__1___14[[#This Row],[Education]]+All_India_Index_Upto_April23__1___14[[#This Row],[Recreation and amusement]]</f>
        <v>487.09999999999997</v>
      </c>
      <c r="AL11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3199.8709677419361</v>
      </c>
    </row>
    <row r="114" spans="1:38" hidden="1" x14ac:dyDescent="0.3">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s="12">
        <f>AVERAGE(All_India_Index_Upto_April23__1___14[[#This Row],[Cereals and products]:[Pan, tobacco and intoxicants]])</f>
        <v>129.72142857142856</v>
      </c>
      <c r="AF114" s="12">
        <f>AVERAGE(All_India_Index_Upto_April23__1___14[[#This Row],[Household goods and services]],All_India_Index_Upto_April23__1___14[[#This Row],[Housing]])</f>
        <v>123.1</v>
      </c>
      <c r="AG114" s="12">
        <f>AVERAGE(All_India_Index_Upto_April23__1___14[[#This Row],[Miscellaneous]],All_India_Index_Upto_April23__1___14[[#This Row],[Personal care and effects]],All_India_Index_Upto_April23__1___14[[#This Row],[Education]],All_India_Index_Upto_April23__1___14[[#This Row],[Recreation and amusement]])</f>
        <v>119.625</v>
      </c>
      <c r="AH114" s="12">
        <f>SUM(All_India_Index_Upto_April23__1___14[[#This Row],[Cereals and products]:[Pan, tobacco and intoxicants]])</f>
        <v>1816.1</v>
      </c>
      <c r="AI114" s="12">
        <f>SUM(All_India_Index_Upto_April23__1___14[[#This Row],[Household goods and services]],All_India_Index_Upto_April23__1___14[[#This Row],[Housing]])</f>
        <v>246.2</v>
      </c>
      <c r="AJ114" s="12">
        <f>All_India_Index_Upto_April23__1___14[[#This Row],[Clothing]]+All_India_Index_Upto_April23__1___14[[#This Row],[Footwear]]</f>
        <v>246.3</v>
      </c>
      <c r="AK114" s="12">
        <f>All_India_Index_Upto_April23__1___14[[#This Row],[Miscellaneous]]+All_India_Index_Upto_April23__1___14[[#This Row],[Personal care and effects]]+All_India_Index_Upto_April23__1___14[[#This Row],[Education]]+All_India_Index_Upto_April23__1___14[[#This Row],[Recreation and amusement]]</f>
        <v>478.5</v>
      </c>
      <c r="AL11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3131.7</v>
      </c>
    </row>
    <row r="115" spans="1:38" hidden="1" x14ac:dyDescent="0.3">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s="12">
        <f>AVERAGE(All_India_Index_Upto_April23__1___14[[#This Row],[Cereals and products]:[Pan, tobacco and intoxicants]])</f>
        <v>129.57142857142858</v>
      </c>
      <c r="AF115" s="12">
        <f>AVERAGE(All_India_Index_Upto_April23__1___14[[#This Row],[Household goods and services]],All_India_Index_Upto_April23__1___14[[#This Row],[Housing]])</f>
        <v>124.5</v>
      </c>
      <c r="AG115" s="12">
        <f>AVERAGE(All_India_Index_Upto_April23__1___14[[#This Row],[Miscellaneous]],All_India_Index_Upto_April23__1___14[[#This Row],[Personal care and effects]],All_India_Index_Upto_April23__1___14[[#This Row],[Education]],All_India_Index_Upto_April23__1___14[[#This Row],[Recreation and amusement]])</f>
        <v>120.64999999999999</v>
      </c>
      <c r="AH115" s="12">
        <f>SUM(All_India_Index_Upto_April23__1___14[[#This Row],[Cereals and products]:[Pan, tobacco and intoxicants]])</f>
        <v>1814</v>
      </c>
      <c r="AI115" s="12">
        <f>SUM(All_India_Index_Upto_April23__1___14[[#This Row],[Household goods and services]],All_India_Index_Upto_April23__1___14[[#This Row],[Housing]])</f>
        <v>249</v>
      </c>
      <c r="AJ115" s="12">
        <f>All_India_Index_Upto_April23__1___14[[#This Row],[Clothing]]+All_India_Index_Upto_April23__1___14[[#This Row],[Footwear]]</f>
        <v>256.7</v>
      </c>
      <c r="AK115" s="12">
        <f>All_India_Index_Upto_April23__1___14[[#This Row],[Miscellaneous]]+All_India_Index_Upto_April23__1___14[[#This Row],[Personal care and effects]]+All_India_Index_Upto_April23__1___14[[#This Row],[Education]]+All_India_Index_Upto_April23__1___14[[#This Row],[Recreation and amusement]]</f>
        <v>482.59999999999997</v>
      </c>
      <c r="AL11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3159.3</v>
      </c>
    </row>
    <row r="116" spans="1:38" hidden="1" x14ac:dyDescent="0.3">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s="12">
        <f>'Handle Missing Value Sheet only'!$F$5</f>
        <v>139.27096774193564</v>
      </c>
      <c r="V116">
        <v>127</v>
      </c>
      <c r="W116">
        <v>127.7</v>
      </c>
      <c r="X116">
        <v>124.8</v>
      </c>
      <c r="Y116">
        <v>113.6</v>
      </c>
      <c r="Z116">
        <v>122.5</v>
      </c>
      <c r="AA116">
        <v>127.5</v>
      </c>
      <c r="AB116">
        <v>117.4</v>
      </c>
      <c r="AC116">
        <v>121.1</v>
      </c>
      <c r="AD116">
        <v>128</v>
      </c>
      <c r="AE116" s="12">
        <f>AVERAGE(All_India_Index_Upto_April23__1___14[[#This Row],[Cereals and products]:[Pan, tobacco and intoxicants]])</f>
        <v>129.83571428571432</v>
      </c>
      <c r="AF116" s="12">
        <f>AVERAGE(All_India_Index_Upto_April23__1___14[[#This Row],[Household goods and services]],All_India_Index_Upto_April23__1___14[[#This Row],[Housing]])</f>
        <v>133.48548387096781</v>
      </c>
      <c r="AG116" s="12">
        <f>AVERAGE(All_India_Index_Upto_April23__1___14[[#This Row],[Miscellaneous]],All_India_Index_Upto_April23__1___14[[#This Row],[Personal care and effects]],All_India_Index_Upto_April23__1___14[[#This Row],[Education]],All_India_Index_Upto_April23__1___14[[#This Row],[Recreation and amusement]])</f>
        <v>122.125</v>
      </c>
      <c r="AH116" s="12">
        <f>SUM(All_India_Index_Upto_April23__1___14[[#This Row],[Cereals and products]:[Pan, tobacco and intoxicants]])</f>
        <v>1817.7000000000003</v>
      </c>
      <c r="AI116" s="12">
        <f>SUM(All_India_Index_Upto_April23__1___14[[#This Row],[Household goods and services]],All_India_Index_Upto_April23__1___14[[#This Row],[Housing]])</f>
        <v>266.97096774193562</v>
      </c>
      <c r="AJ116" s="12">
        <f>All_India_Index_Upto_April23__1___14[[#This Row],[Clothing]]+All_India_Index_Upto_April23__1___14[[#This Row],[Footwear]]</f>
        <v>264.60000000000002</v>
      </c>
      <c r="AK116" s="12">
        <f>All_India_Index_Upto_April23__1___14[[#This Row],[Miscellaneous]]+All_India_Index_Upto_April23__1___14[[#This Row],[Personal care and effects]]+All_India_Index_Upto_April23__1___14[[#This Row],[Education]]+All_India_Index_Upto_April23__1___14[[#This Row],[Recreation and amusement]]</f>
        <v>488.5</v>
      </c>
      <c r="AL11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3203.1709677419362</v>
      </c>
    </row>
    <row r="117" spans="1:38" hidden="1" x14ac:dyDescent="0.3">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s="12">
        <f>AVERAGE(All_India_Index_Upto_April23__1___14[[#This Row],[Cereals and products]:[Pan, tobacco and intoxicants]])</f>
        <v>129.15714285714287</v>
      </c>
      <c r="AF117" s="12">
        <f>AVERAGE(All_India_Index_Upto_April23__1___14[[#This Row],[Household goods and services]],All_India_Index_Upto_April23__1___14[[#This Row],[Housing]])</f>
        <v>123.6</v>
      </c>
      <c r="AG117" s="12">
        <f>AVERAGE(All_India_Index_Upto_April23__1___14[[#This Row],[Miscellaneous]],All_India_Index_Upto_April23__1___14[[#This Row],[Personal care and effects]],All_India_Index_Upto_April23__1___14[[#This Row],[Education]],All_India_Index_Upto_April23__1___14[[#This Row],[Recreation and amusement]])</f>
        <v>119.97499999999999</v>
      </c>
      <c r="AH117" s="12">
        <f>SUM(All_India_Index_Upto_April23__1___14[[#This Row],[Cereals and products]:[Pan, tobacco and intoxicants]])</f>
        <v>1808.2</v>
      </c>
      <c r="AI117" s="12">
        <f>SUM(All_India_Index_Upto_April23__1___14[[#This Row],[Household goods and services]],All_India_Index_Upto_April23__1___14[[#This Row],[Housing]])</f>
        <v>247.2</v>
      </c>
      <c r="AJ117" s="12">
        <f>All_India_Index_Upto_April23__1___14[[#This Row],[Clothing]]+All_India_Index_Upto_April23__1___14[[#This Row],[Footwear]]</f>
        <v>246.7</v>
      </c>
      <c r="AK117" s="12">
        <f>All_India_Index_Upto_April23__1___14[[#This Row],[Miscellaneous]]+All_India_Index_Upto_April23__1___14[[#This Row],[Personal care and effects]]+All_India_Index_Upto_April23__1___14[[#This Row],[Education]]+All_India_Index_Upto_April23__1___14[[#This Row],[Recreation and amusement]]</f>
        <v>479.9</v>
      </c>
      <c r="AL11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3125</v>
      </c>
    </row>
    <row r="118" spans="1:38" hidden="1" x14ac:dyDescent="0.3">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s="12">
        <f>AVERAGE(All_India_Index_Upto_April23__1___14[[#This Row],[Cereals and products]:[Pan, tobacco and intoxicants]])</f>
        <v>129.40714285714287</v>
      </c>
      <c r="AF118" s="12">
        <f>AVERAGE(All_India_Index_Upto_April23__1___14[[#This Row],[Household goods and services]],All_India_Index_Upto_April23__1___14[[#This Row],[Housing]])</f>
        <v>125</v>
      </c>
      <c r="AG118" s="12">
        <f>AVERAGE(All_India_Index_Upto_April23__1___14[[#This Row],[Miscellaneous]],All_India_Index_Upto_April23__1___14[[#This Row],[Personal care and effects]],All_India_Index_Upto_April23__1___14[[#This Row],[Education]],All_India_Index_Upto_April23__1___14[[#This Row],[Recreation and amusement]])</f>
        <v>121.02500000000001</v>
      </c>
      <c r="AH118" s="12">
        <f>SUM(All_India_Index_Upto_April23__1___14[[#This Row],[Cereals and products]:[Pan, tobacco and intoxicants]])</f>
        <v>1811.7</v>
      </c>
      <c r="AI118" s="12">
        <f>SUM(All_India_Index_Upto_April23__1___14[[#This Row],[Household goods and services]],All_India_Index_Upto_April23__1___14[[#This Row],[Housing]])</f>
        <v>250</v>
      </c>
      <c r="AJ118" s="12">
        <f>All_India_Index_Upto_April23__1___14[[#This Row],[Clothing]]+All_India_Index_Upto_April23__1___14[[#This Row],[Footwear]]</f>
        <v>257.39999999999998</v>
      </c>
      <c r="AK118" s="12">
        <f>All_India_Index_Upto_April23__1___14[[#This Row],[Miscellaneous]]+All_India_Index_Upto_April23__1___14[[#This Row],[Personal care and effects]]+All_India_Index_Upto_April23__1___14[[#This Row],[Education]]+All_India_Index_Upto_April23__1___14[[#This Row],[Recreation and amusement]]</f>
        <v>484.1</v>
      </c>
      <c r="AL11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3159.4</v>
      </c>
    </row>
    <row r="119" spans="1:38" hidden="1" x14ac:dyDescent="0.3">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s="12">
        <f>'Handle Missing Value Sheet only'!$F$5</f>
        <v>139.27096774193564</v>
      </c>
      <c r="V119">
        <v>127</v>
      </c>
      <c r="W119">
        <v>128</v>
      </c>
      <c r="X119">
        <v>125.2</v>
      </c>
      <c r="Y119">
        <v>114.4</v>
      </c>
      <c r="Z119">
        <v>123.2</v>
      </c>
      <c r="AA119">
        <v>127.9</v>
      </c>
      <c r="AB119">
        <v>118.4</v>
      </c>
      <c r="AC119">
        <v>121.7</v>
      </c>
      <c r="AD119">
        <v>129</v>
      </c>
      <c r="AE119" s="12">
        <f>AVERAGE(All_India_Index_Upto_April23__1___14[[#This Row],[Cereals and products]:[Pan, tobacco and intoxicants]])</f>
        <v>131.22142857142859</v>
      </c>
      <c r="AF119" s="12">
        <f>AVERAGE(All_India_Index_Upto_April23__1___14[[#This Row],[Household goods and services]],All_India_Index_Upto_April23__1___14[[#This Row],[Housing]])</f>
        <v>133.63548387096782</v>
      </c>
      <c r="AG119" s="12">
        <f>AVERAGE(All_India_Index_Upto_April23__1___14[[#This Row],[Miscellaneous]],All_India_Index_Upto_April23__1___14[[#This Row],[Personal care and effects]],All_India_Index_Upto_April23__1___14[[#This Row],[Education]],All_India_Index_Upto_April23__1___14[[#This Row],[Recreation and amusement]])</f>
        <v>122.8</v>
      </c>
      <c r="AH119" s="12">
        <f>SUM(All_India_Index_Upto_April23__1___14[[#This Row],[Cereals and products]:[Pan, tobacco and intoxicants]])</f>
        <v>1837.1000000000004</v>
      </c>
      <c r="AI119" s="12">
        <f>SUM(All_India_Index_Upto_April23__1___14[[#This Row],[Household goods and services]],All_India_Index_Upto_April23__1___14[[#This Row],[Housing]])</f>
        <v>267.27096774193564</v>
      </c>
      <c r="AJ119" s="12">
        <f>All_India_Index_Upto_April23__1___14[[#This Row],[Clothing]]+All_India_Index_Upto_April23__1___14[[#This Row],[Footwear]]</f>
        <v>265.60000000000002</v>
      </c>
      <c r="AK119" s="12">
        <f>All_India_Index_Upto_April23__1___14[[#This Row],[Miscellaneous]]+All_India_Index_Upto_April23__1___14[[#This Row],[Personal care and effects]]+All_India_Index_Upto_April23__1___14[[#This Row],[Education]]+All_India_Index_Upto_April23__1___14[[#This Row],[Recreation and amusement]]</f>
        <v>491.2</v>
      </c>
      <c r="AL11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3227.7709677419357</v>
      </c>
    </row>
    <row r="120" spans="1:38" hidden="1" x14ac:dyDescent="0.3">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s="12">
        <f>AVERAGE(All_India_Index_Upto_April23__1___14[[#This Row],[Cereals and products]:[Pan, tobacco and intoxicants]])</f>
        <v>131.98571428571429</v>
      </c>
      <c r="AF120" s="12">
        <f>AVERAGE(All_India_Index_Upto_April23__1___14[[#This Row],[Household goods and services]],All_India_Index_Upto_April23__1___14[[#This Row],[Housing]])</f>
        <v>124.19999999999999</v>
      </c>
      <c r="AG120" s="12">
        <f>AVERAGE(All_India_Index_Upto_April23__1___14[[#This Row],[Miscellaneous]],All_India_Index_Upto_April23__1___14[[#This Row],[Personal care and effects]],All_India_Index_Upto_April23__1___14[[#This Row],[Education]],All_India_Index_Upto_April23__1___14[[#This Row],[Recreation and amusement]])</f>
        <v>120.72499999999999</v>
      </c>
      <c r="AH120" s="12">
        <f>SUM(All_India_Index_Upto_April23__1___14[[#This Row],[Cereals and products]:[Pan, tobacco and intoxicants]])</f>
        <v>1847.8</v>
      </c>
      <c r="AI120" s="12">
        <f>SUM(All_India_Index_Upto_April23__1___14[[#This Row],[Household goods and services]],All_India_Index_Upto_April23__1___14[[#This Row],[Housing]])</f>
        <v>248.39999999999998</v>
      </c>
      <c r="AJ120" s="12">
        <f>All_India_Index_Upto_April23__1___14[[#This Row],[Clothing]]+All_India_Index_Upto_April23__1___14[[#This Row],[Footwear]]</f>
        <v>247.3</v>
      </c>
      <c r="AK120" s="12">
        <f>All_India_Index_Upto_April23__1___14[[#This Row],[Miscellaneous]]+All_India_Index_Upto_April23__1___14[[#This Row],[Personal care and effects]]+All_India_Index_Upto_April23__1___14[[#This Row],[Education]]+All_India_Index_Upto_April23__1___14[[#This Row],[Recreation and amusement]]</f>
        <v>482.9</v>
      </c>
      <c r="AL12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3171</v>
      </c>
    </row>
    <row r="121" spans="1:38" hidden="1" x14ac:dyDescent="0.3">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s="12">
        <f>AVERAGE(All_India_Index_Upto_April23__1___14[[#This Row],[Cereals and products]:[Pan, tobacco and intoxicants]])</f>
        <v>131.31428571428572</v>
      </c>
      <c r="AF121" s="12">
        <f>AVERAGE(All_India_Index_Upto_April23__1___14[[#This Row],[Household goods and services]],All_India_Index_Upto_April23__1___14[[#This Row],[Housing]])</f>
        <v>125.55</v>
      </c>
      <c r="AG121" s="12">
        <f>AVERAGE(All_India_Index_Upto_April23__1___14[[#This Row],[Miscellaneous]],All_India_Index_Upto_April23__1___14[[#This Row],[Personal care and effects]],All_India_Index_Upto_April23__1___14[[#This Row],[Education]],All_India_Index_Upto_April23__1___14[[#This Row],[Recreation and amusement]])</f>
        <v>121.72499999999999</v>
      </c>
      <c r="AH121" s="12">
        <f>SUM(All_India_Index_Upto_April23__1___14[[#This Row],[Cereals and products]:[Pan, tobacco and intoxicants]])</f>
        <v>1838.3999999999999</v>
      </c>
      <c r="AI121" s="12">
        <f>SUM(All_India_Index_Upto_April23__1___14[[#This Row],[Household goods and services]],All_India_Index_Upto_April23__1___14[[#This Row],[Housing]])</f>
        <v>251.1</v>
      </c>
      <c r="AJ121" s="12">
        <f>All_India_Index_Upto_April23__1___14[[#This Row],[Clothing]]+All_India_Index_Upto_April23__1___14[[#This Row],[Footwear]]</f>
        <v>258.20000000000005</v>
      </c>
      <c r="AK121" s="12">
        <f>All_India_Index_Upto_April23__1___14[[#This Row],[Miscellaneous]]+All_India_Index_Upto_April23__1___14[[#This Row],[Personal care and effects]]+All_India_Index_Upto_April23__1___14[[#This Row],[Education]]+All_India_Index_Upto_April23__1___14[[#This Row],[Recreation and amusement]]</f>
        <v>486.9</v>
      </c>
      <c r="AL12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3192.2</v>
      </c>
    </row>
    <row r="122" spans="1:38" hidden="1" x14ac:dyDescent="0.3">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s="12">
        <f>'Handle Missing Value Sheet only'!$F$5</f>
        <v>139.27096774193564</v>
      </c>
      <c r="V122">
        <v>127.4</v>
      </c>
      <c r="W122">
        <v>128.5</v>
      </c>
      <c r="X122">
        <v>125.8</v>
      </c>
      <c r="Y122">
        <v>115.1</v>
      </c>
      <c r="Z122">
        <v>123.6</v>
      </c>
      <c r="AA122">
        <v>129.1</v>
      </c>
      <c r="AB122">
        <v>119.7</v>
      </c>
      <c r="AC122">
        <v>122.5</v>
      </c>
      <c r="AD122">
        <v>130.30000000000001</v>
      </c>
      <c r="AE122" s="12">
        <f>AVERAGE(All_India_Index_Upto_April23__1___14[[#This Row],[Cereals and products]:[Pan, tobacco and intoxicants]])</f>
        <v>132.83571428571426</v>
      </c>
      <c r="AF122" s="12">
        <f>AVERAGE(All_India_Index_Upto_April23__1___14[[#This Row],[Household goods and services]],All_India_Index_Upto_April23__1___14[[#This Row],[Housing]])</f>
        <v>133.88548387096782</v>
      </c>
      <c r="AG122" s="12">
        <f>AVERAGE(All_India_Index_Upto_April23__1___14[[#This Row],[Miscellaneous]],All_India_Index_Upto_April23__1___14[[#This Row],[Personal care and effects]],All_India_Index_Upto_April23__1___14[[#This Row],[Education]],All_India_Index_Upto_April23__1___14[[#This Row],[Recreation and amusement]])</f>
        <v>123.72499999999999</v>
      </c>
      <c r="AH122" s="12">
        <f>SUM(All_India_Index_Upto_April23__1___14[[#This Row],[Cereals and products]:[Pan, tobacco and intoxicants]])</f>
        <v>1859.6999999999998</v>
      </c>
      <c r="AI122" s="12">
        <f>SUM(All_India_Index_Upto_April23__1___14[[#This Row],[Household goods and services]],All_India_Index_Upto_April23__1___14[[#This Row],[Housing]])</f>
        <v>267.77096774193564</v>
      </c>
      <c r="AJ122" s="12">
        <f>All_India_Index_Upto_April23__1___14[[#This Row],[Clothing]]+All_India_Index_Upto_April23__1___14[[#This Row],[Footwear]]</f>
        <v>266.5</v>
      </c>
      <c r="AK122" s="12">
        <f>All_India_Index_Upto_April23__1___14[[#This Row],[Miscellaneous]]+All_India_Index_Upto_April23__1___14[[#This Row],[Personal care and effects]]+All_India_Index_Upto_April23__1___14[[#This Row],[Education]]+All_India_Index_Upto_April23__1___14[[#This Row],[Recreation and amusement]]</f>
        <v>494.9</v>
      </c>
      <c r="AL12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3257.1709677419358</v>
      </c>
    </row>
    <row r="123" spans="1:38" hidden="1" x14ac:dyDescent="0.3">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s="12">
        <f>AVERAGE(All_India_Index_Upto_April23__1___14[[#This Row],[Cereals and products]:[Pan, tobacco and intoxicants]])</f>
        <v>134.92857142857142</v>
      </c>
      <c r="AF123" s="12">
        <f>AVERAGE(All_India_Index_Upto_April23__1___14[[#This Row],[Household goods and services]],All_India_Index_Upto_April23__1___14[[#This Row],[Housing]])</f>
        <v>124.6</v>
      </c>
      <c r="AG123" s="12">
        <f>AVERAGE(All_India_Index_Upto_April23__1___14[[#This Row],[Miscellaneous]],All_India_Index_Upto_April23__1___14[[#This Row],[Personal care and effects]],All_India_Index_Upto_April23__1___14[[#This Row],[Education]],All_India_Index_Upto_April23__1___14[[#This Row],[Recreation and amusement]])</f>
        <v>121.25</v>
      </c>
      <c r="AH123" s="12">
        <f>SUM(All_India_Index_Upto_April23__1___14[[#This Row],[Cereals and products]:[Pan, tobacco and intoxicants]])</f>
        <v>1888.9999999999998</v>
      </c>
      <c r="AI123" s="12">
        <f>SUM(All_India_Index_Upto_April23__1___14[[#This Row],[Household goods and services]],All_India_Index_Upto_April23__1___14[[#This Row],[Housing]])</f>
        <v>249.2</v>
      </c>
      <c r="AJ123" s="12">
        <f>All_India_Index_Upto_April23__1___14[[#This Row],[Clothing]]+All_India_Index_Upto_April23__1___14[[#This Row],[Footwear]]</f>
        <v>247.9</v>
      </c>
      <c r="AK123" s="12">
        <f>All_India_Index_Upto_April23__1___14[[#This Row],[Miscellaneous]]+All_India_Index_Upto_April23__1___14[[#This Row],[Personal care and effects]]+All_India_Index_Upto_April23__1___14[[#This Row],[Education]]+All_India_Index_Upto_April23__1___14[[#This Row],[Recreation and amusement]]</f>
        <v>485</v>
      </c>
      <c r="AL12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3217.0999999999995</v>
      </c>
    </row>
    <row r="124" spans="1:38" hidden="1" x14ac:dyDescent="0.3">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s="12">
        <f>AVERAGE(All_India_Index_Upto_April23__1___14[[#This Row],[Cereals and products]:[Pan, tobacco and intoxicants]])</f>
        <v>133.43571428571428</v>
      </c>
      <c r="AF124" s="12">
        <f>AVERAGE(All_India_Index_Upto_April23__1___14[[#This Row],[Household goods and services]],All_India_Index_Upto_April23__1___14[[#This Row],[Housing]])</f>
        <v>126</v>
      </c>
      <c r="AG124" s="12">
        <f>AVERAGE(All_India_Index_Upto_April23__1___14[[#This Row],[Miscellaneous]],All_India_Index_Upto_April23__1___14[[#This Row],[Personal care and effects]],All_India_Index_Upto_April23__1___14[[#This Row],[Education]],All_India_Index_Upto_April23__1___14[[#This Row],[Recreation and amusement]])</f>
        <v>122.47499999999999</v>
      </c>
      <c r="AH124" s="12">
        <f>SUM(All_India_Index_Upto_April23__1___14[[#This Row],[Cereals and products]:[Pan, tobacco and intoxicants]])</f>
        <v>1868.1000000000001</v>
      </c>
      <c r="AI124" s="12">
        <f>SUM(All_India_Index_Upto_April23__1___14[[#This Row],[Household goods and services]],All_India_Index_Upto_April23__1___14[[#This Row],[Housing]])</f>
        <v>252</v>
      </c>
      <c r="AJ124" s="12">
        <f>All_India_Index_Upto_April23__1___14[[#This Row],[Clothing]]+All_India_Index_Upto_April23__1___14[[#This Row],[Footwear]]</f>
        <v>259</v>
      </c>
      <c r="AK124" s="12">
        <f>All_India_Index_Upto_April23__1___14[[#This Row],[Miscellaneous]]+All_India_Index_Upto_April23__1___14[[#This Row],[Personal care and effects]]+All_India_Index_Upto_April23__1___14[[#This Row],[Education]]+All_India_Index_Upto_April23__1___14[[#This Row],[Recreation and amusement]]</f>
        <v>489.9</v>
      </c>
      <c r="AL12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3228.2</v>
      </c>
    </row>
    <row r="125" spans="1:38" hidden="1" x14ac:dyDescent="0.3">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s="12">
        <f>'Handle Missing Value Sheet only'!$F$5</f>
        <v>139.27096774193564</v>
      </c>
      <c r="V125">
        <v>128</v>
      </c>
      <c r="W125">
        <v>129.30000000000001</v>
      </c>
      <c r="X125">
        <v>126.2</v>
      </c>
      <c r="Y125">
        <v>116.3</v>
      </c>
      <c r="Z125">
        <v>124.1</v>
      </c>
      <c r="AA125">
        <v>130.19999999999999</v>
      </c>
      <c r="AB125">
        <v>119.9</v>
      </c>
      <c r="AC125">
        <v>123.3</v>
      </c>
      <c r="AD125">
        <v>131.9</v>
      </c>
      <c r="AE125" s="12">
        <f>AVERAGE(All_India_Index_Upto_April23__1___14[[#This Row],[Cereals and products]:[Pan, tobacco and intoxicants]])</f>
        <v>134.69999999999999</v>
      </c>
      <c r="AF125" s="12">
        <f>AVERAGE(All_India_Index_Upto_April23__1___14[[#This Row],[Household goods and services]],All_India_Index_Upto_April23__1___14[[#This Row],[Housing]])</f>
        <v>134.28548387096782</v>
      </c>
      <c r="AG125" s="12">
        <f>AVERAGE(All_India_Index_Upto_April23__1___14[[#This Row],[Miscellaneous]],All_India_Index_Upto_April23__1___14[[#This Row],[Personal care and effects]],All_India_Index_Upto_April23__1___14[[#This Row],[Education]],All_India_Index_Upto_April23__1___14[[#This Row],[Recreation and amusement]])</f>
        <v>124.375</v>
      </c>
      <c r="AH125" s="12">
        <f>SUM(All_India_Index_Upto_April23__1___14[[#This Row],[Cereals and products]:[Pan, tobacco and intoxicants]])</f>
        <v>1885.8</v>
      </c>
      <c r="AI125" s="12">
        <f>SUM(All_India_Index_Upto_April23__1___14[[#This Row],[Household goods and services]],All_India_Index_Upto_April23__1___14[[#This Row],[Housing]])</f>
        <v>268.57096774193565</v>
      </c>
      <c r="AJ125" s="12">
        <f>All_India_Index_Upto_April23__1___14[[#This Row],[Clothing]]+All_India_Index_Upto_April23__1___14[[#This Row],[Footwear]]</f>
        <v>267.89999999999998</v>
      </c>
      <c r="AK125" s="12">
        <f>All_India_Index_Upto_April23__1___14[[#This Row],[Miscellaneous]]+All_India_Index_Upto_April23__1___14[[#This Row],[Personal care and effects]]+All_India_Index_Upto_April23__1___14[[#This Row],[Education]]+All_India_Index_Upto_April23__1___14[[#This Row],[Recreation and amusement]]</f>
        <v>497.5</v>
      </c>
      <c r="AL12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3290.2709677419352</v>
      </c>
    </row>
    <row r="126" spans="1:38" hidden="1" x14ac:dyDescent="0.3">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s="12">
        <f>AVERAGE(All_India_Index_Upto_April23__1___14[[#This Row],[Cereals and products]:[Pan, tobacco and intoxicants]])</f>
        <v>137.83571428571432</v>
      </c>
      <c r="AF126" s="12">
        <f>AVERAGE(All_India_Index_Upto_April23__1___14[[#This Row],[Household goods and services]],All_India_Index_Upto_April23__1___14[[#This Row],[Housing]])</f>
        <v>124.35</v>
      </c>
      <c r="AG126" s="12">
        <f>AVERAGE(All_India_Index_Upto_April23__1___14[[#This Row],[Miscellaneous]],All_India_Index_Upto_April23__1___14[[#This Row],[Personal care and effects]],All_India_Index_Upto_April23__1___14[[#This Row],[Education]],All_India_Index_Upto_April23__1___14[[#This Row],[Recreation and amusement]])</f>
        <v>121.9</v>
      </c>
      <c r="AH126" s="12">
        <f>SUM(All_India_Index_Upto_April23__1___14[[#This Row],[Cereals and products]:[Pan, tobacco and intoxicants]])</f>
        <v>1929.7000000000003</v>
      </c>
      <c r="AI126" s="12">
        <f>SUM(All_India_Index_Upto_April23__1___14[[#This Row],[Household goods and services]],All_India_Index_Upto_April23__1___14[[#This Row],[Housing]])</f>
        <v>248.7</v>
      </c>
      <c r="AJ126" s="12">
        <f>All_India_Index_Upto_April23__1___14[[#This Row],[Clothing]]+All_India_Index_Upto_April23__1___14[[#This Row],[Footwear]]</f>
        <v>248.7</v>
      </c>
      <c r="AK126" s="12">
        <f>All_India_Index_Upto_April23__1___14[[#This Row],[Miscellaneous]]+All_India_Index_Upto_April23__1___14[[#This Row],[Personal care and effects]]+All_India_Index_Upto_April23__1___14[[#This Row],[Education]]+All_India_Index_Upto_April23__1___14[[#This Row],[Recreation and amusement]]</f>
        <v>487.6</v>
      </c>
      <c r="AL12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3263.1000000000004</v>
      </c>
    </row>
    <row r="127" spans="1:38" hidden="1" x14ac:dyDescent="0.3">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s="12">
        <f>AVERAGE(All_India_Index_Upto_April23__1___14[[#This Row],[Cereals and products]:[Pan, tobacco and intoxicants]])</f>
        <v>135.66428571428571</v>
      </c>
      <c r="AF127" s="12">
        <f>AVERAGE(All_India_Index_Upto_April23__1___14[[#This Row],[Household goods and services]],All_India_Index_Upto_April23__1___14[[#This Row],[Housing]])</f>
        <v>125.95</v>
      </c>
      <c r="AG127" s="12">
        <f>AVERAGE(All_India_Index_Upto_April23__1___14[[#This Row],[Miscellaneous]],All_India_Index_Upto_April23__1___14[[#This Row],[Personal care and effects]],All_India_Index_Upto_April23__1___14[[#This Row],[Education]],All_India_Index_Upto_April23__1___14[[#This Row],[Recreation and amusement]])</f>
        <v>123.075</v>
      </c>
      <c r="AH127" s="12">
        <f>SUM(All_India_Index_Upto_April23__1___14[[#This Row],[Cereals and products]:[Pan, tobacco and intoxicants]])</f>
        <v>1899.3</v>
      </c>
      <c r="AI127" s="12">
        <f>SUM(All_India_Index_Upto_April23__1___14[[#This Row],[Household goods and services]],All_India_Index_Upto_April23__1___14[[#This Row],[Housing]])</f>
        <v>251.9</v>
      </c>
      <c r="AJ127" s="12">
        <f>All_India_Index_Upto_April23__1___14[[#This Row],[Clothing]]+All_India_Index_Upto_April23__1___14[[#This Row],[Footwear]]</f>
        <v>260.10000000000002</v>
      </c>
      <c r="AK127" s="12">
        <f>All_India_Index_Upto_April23__1___14[[#This Row],[Miscellaneous]]+All_India_Index_Upto_April23__1___14[[#This Row],[Personal care and effects]]+All_India_Index_Upto_April23__1___14[[#This Row],[Education]]+All_India_Index_Upto_April23__1___14[[#This Row],[Recreation and amusement]]</f>
        <v>492.3</v>
      </c>
      <c r="AL12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3265.2</v>
      </c>
    </row>
    <row r="128" spans="1:38" hidden="1" x14ac:dyDescent="0.3">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s="12">
        <f>'Handle Missing Value Sheet only'!$F$5</f>
        <v>139.27096774193564</v>
      </c>
      <c r="V128">
        <v>128.19999999999999</v>
      </c>
      <c r="W128">
        <v>130</v>
      </c>
      <c r="X128">
        <v>126.7</v>
      </c>
      <c r="Y128">
        <v>116.4</v>
      </c>
      <c r="Z128">
        <v>125.2</v>
      </c>
      <c r="AA128">
        <v>130.80000000000001</v>
      </c>
      <c r="AB128">
        <v>120.9</v>
      </c>
      <c r="AC128">
        <v>123.8</v>
      </c>
      <c r="AD128">
        <v>133</v>
      </c>
      <c r="AE128" s="12">
        <f>AVERAGE(All_India_Index_Upto_April23__1___14[[#This Row],[Cereals and products]:[Pan, tobacco and intoxicants]])</f>
        <v>136.30714285714285</v>
      </c>
      <c r="AF128" s="12">
        <f>AVERAGE(All_India_Index_Upto_April23__1___14[[#This Row],[Household goods and services]],All_India_Index_Upto_April23__1___14[[#This Row],[Housing]])</f>
        <v>134.63548387096782</v>
      </c>
      <c r="AG128" s="12">
        <f>AVERAGE(All_India_Index_Upto_April23__1___14[[#This Row],[Miscellaneous]],All_India_Index_Upto_April23__1___14[[#This Row],[Personal care and effects]],All_India_Index_Upto_April23__1___14[[#This Row],[Education]],All_India_Index_Upto_April23__1___14[[#This Row],[Recreation and amusement]])</f>
        <v>125.175</v>
      </c>
      <c r="AH128" s="12">
        <f>SUM(All_India_Index_Upto_April23__1___14[[#This Row],[Cereals and products]:[Pan, tobacco and intoxicants]])</f>
        <v>1908.2999999999997</v>
      </c>
      <c r="AI128" s="12">
        <f>SUM(All_India_Index_Upto_April23__1___14[[#This Row],[Household goods and services]],All_India_Index_Upto_April23__1___14[[#This Row],[Housing]])</f>
        <v>269.27096774193564</v>
      </c>
      <c r="AJ128" s="12">
        <f>All_India_Index_Upto_April23__1___14[[#This Row],[Clothing]]+All_India_Index_Upto_April23__1___14[[#This Row],[Footwear]]</f>
        <v>269.39999999999998</v>
      </c>
      <c r="AK128" s="12">
        <f>All_India_Index_Upto_April23__1___14[[#This Row],[Miscellaneous]]+All_India_Index_Upto_April23__1___14[[#This Row],[Personal care and effects]]+All_India_Index_Upto_April23__1___14[[#This Row],[Education]]+All_India_Index_Upto_April23__1___14[[#This Row],[Recreation and amusement]]</f>
        <v>500.7</v>
      </c>
      <c r="AL12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3318.9709677419351</v>
      </c>
    </row>
    <row r="129" spans="1:38" hidden="1" x14ac:dyDescent="0.3">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s="12">
        <f>AVERAGE(All_India_Index_Upto_April23__1___14[[#This Row],[Cereals and products]:[Pan, tobacco and intoxicants]])</f>
        <v>139.60000000000002</v>
      </c>
      <c r="AF129" s="12">
        <f>AVERAGE(All_India_Index_Upto_April23__1___14[[#This Row],[Household goods and services]],All_India_Index_Upto_April23__1___14[[#This Row],[Housing]])</f>
        <v>124.95</v>
      </c>
      <c r="AG129" s="12">
        <f>AVERAGE(All_India_Index_Upto_April23__1___14[[#This Row],[Miscellaneous]],All_India_Index_Upto_April23__1___14[[#This Row],[Personal care and effects]],All_India_Index_Upto_April23__1___14[[#This Row],[Education]],All_India_Index_Upto_April23__1___14[[#This Row],[Recreation and amusement]])</f>
        <v>122.75000000000001</v>
      </c>
      <c r="AH129" s="12">
        <f>SUM(All_India_Index_Upto_April23__1___14[[#This Row],[Cereals and products]:[Pan, tobacco and intoxicants]])</f>
        <v>1954.4000000000003</v>
      </c>
      <c r="AI129" s="12">
        <f>SUM(All_India_Index_Upto_April23__1___14[[#This Row],[Household goods and services]],All_India_Index_Upto_April23__1___14[[#This Row],[Housing]])</f>
        <v>249.9</v>
      </c>
      <c r="AJ129" s="12">
        <f>All_India_Index_Upto_April23__1___14[[#This Row],[Clothing]]+All_India_Index_Upto_April23__1___14[[#This Row],[Footwear]]</f>
        <v>249</v>
      </c>
      <c r="AK129" s="12">
        <f>All_India_Index_Upto_April23__1___14[[#This Row],[Miscellaneous]]+All_India_Index_Upto_April23__1___14[[#This Row],[Personal care and effects]]+All_India_Index_Upto_April23__1___14[[#This Row],[Education]]+All_India_Index_Upto_April23__1___14[[#This Row],[Recreation and amusement]]</f>
        <v>491.00000000000006</v>
      </c>
      <c r="AL12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3292.4</v>
      </c>
    </row>
    <row r="130" spans="1:38" hidden="1" x14ac:dyDescent="0.3">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s="12">
        <f>AVERAGE(All_India_Index_Upto_April23__1___14[[#This Row],[Cereals and products]:[Pan, tobacco and intoxicants]])</f>
        <v>137.34285714285713</v>
      </c>
      <c r="AF130" s="12">
        <f>AVERAGE(All_India_Index_Upto_April23__1___14[[#This Row],[Household goods and services]],All_India_Index_Upto_April23__1___14[[#This Row],[Housing]])</f>
        <v>126.65</v>
      </c>
      <c r="AG130" s="12">
        <f>AVERAGE(All_India_Index_Upto_April23__1___14[[#This Row],[Miscellaneous]],All_India_Index_Upto_April23__1___14[[#This Row],[Personal care and effects]],All_India_Index_Upto_April23__1___14[[#This Row],[Education]],All_India_Index_Upto_April23__1___14[[#This Row],[Recreation and amusement]])</f>
        <v>123.9</v>
      </c>
      <c r="AH130" s="12">
        <f>SUM(All_India_Index_Upto_April23__1___14[[#This Row],[Cereals and products]:[Pan, tobacco and intoxicants]])</f>
        <v>1922.8</v>
      </c>
      <c r="AI130" s="12">
        <f>SUM(All_India_Index_Upto_April23__1___14[[#This Row],[Household goods and services]],All_India_Index_Upto_April23__1___14[[#This Row],[Housing]])</f>
        <v>253.3</v>
      </c>
      <c r="AJ130" s="12">
        <f>All_India_Index_Upto_April23__1___14[[#This Row],[Clothing]]+All_India_Index_Upto_April23__1___14[[#This Row],[Footwear]]</f>
        <v>261.10000000000002</v>
      </c>
      <c r="AK130" s="12">
        <f>All_India_Index_Upto_April23__1___14[[#This Row],[Miscellaneous]]+All_India_Index_Upto_April23__1___14[[#This Row],[Personal care and effects]]+All_India_Index_Upto_April23__1___14[[#This Row],[Education]]+All_India_Index_Upto_April23__1___14[[#This Row],[Recreation and amusement]]</f>
        <v>495.6</v>
      </c>
      <c r="AL13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3294.6000000000004</v>
      </c>
    </row>
    <row r="131" spans="1:38" hidden="1" x14ac:dyDescent="0.3">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s="12">
        <f>'Handle Missing Value Sheet only'!$F$5</f>
        <v>139.27096774193564</v>
      </c>
      <c r="V131">
        <v>129.1</v>
      </c>
      <c r="W131">
        <v>130.6</v>
      </c>
      <c r="X131">
        <v>127</v>
      </c>
      <c r="Y131">
        <v>116</v>
      </c>
      <c r="Z131">
        <v>125.5</v>
      </c>
      <c r="AA131">
        <v>131.9</v>
      </c>
      <c r="AB131">
        <v>122</v>
      </c>
      <c r="AC131">
        <v>124.2</v>
      </c>
      <c r="AD131">
        <v>133.5</v>
      </c>
      <c r="AE131" s="12">
        <f>AVERAGE(All_India_Index_Upto_April23__1___14[[#This Row],[Cereals and products]:[Pan, tobacco and intoxicants]])</f>
        <v>136.88571428571427</v>
      </c>
      <c r="AF131" s="12">
        <f>AVERAGE(All_India_Index_Upto_April23__1___14[[#This Row],[Household goods and services]],All_India_Index_Upto_April23__1___14[[#This Row],[Housing]])</f>
        <v>134.9354838709678</v>
      </c>
      <c r="AG131" s="12">
        <f>AVERAGE(All_India_Index_Upto_April23__1___14[[#This Row],[Miscellaneous]],All_India_Index_Upto_April23__1___14[[#This Row],[Personal care and effects]],All_India_Index_Upto_April23__1___14[[#This Row],[Education]],All_India_Index_Upto_April23__1___14[[#This Row],[Recreation and amusement]])</f>
        <v>125.9</v>
      </c>
      <c r="AH131" s="12">
        <f>SUM(All_India_Index_Upto_April23__1___14[[#This Row],[Cereals and products]:[Pan, tobacco and intoxicants]])</f>
        <v>1916.3999999999999</v>
      </c>
      <c r="AI131" s="12">
        <f>SUM(All_India_Index_Upto_April23__1___14[[#This Row],[Household goods and services]],All_India_Index_Upto_April23__1___14[[#This Row],[Housing]])</f>
        <v>269.8709677419356</v>
      </c>
      <c r="AJ131" s="12">
        <f>All_India_Index_Upto_April23__1___14[[#This Row],[Clothing]]+All_India_Index_Upto_April23__1___14[[#This Row],[Footwear]]</f>
        <v>270.8</v>
      </c>
      <c r="AK131" s="12">
        <f>All_India_Index_Upto_April23__1___14[[#This Row],[Miscellaneous]]+All_India_Index_Upto_April23__1___14[[#This Row],[Personal care and effects]]+All_India_Index_Upto_April23__1___14[[#This Row],[Education]]+All_India_Index_Upto_April23__1___14[[#This Row],[Recreation and amusement]]</f>
        <v>503.6</v>
      </c>
      <c r="AL13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3332.7709677419357</v>
      </c>
    </row>
    <row r="132" spans="1:38" hidden="1" x14ac:dyDescent="0.3">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s="12">
        <f>AVERAGE(All_India_Index_Upto_April23__1___14[[#This Row],[Cereals and products]:[Pan, tobacco and intoxicants]])</f>
        <v>137.68571428571425</v>
      </c>
      <c r="AF132" s="12">
        <f>AVERAGE(All_India_Index_Upto_April23__1___14[[#This Row],[Household goods and services]],All_India_Index_Upto_April23__1___14[[#This Row],[Housing]])</f>
        <v>125.6</v>
      </c>
      <c r="AG132" s="12">
        <f>AVERAGE(All_India_Index_Upto_April23__1___14[[#This Row],[Miscellaneous]],All_India_Index_Upto_April23__1___14[[#This Row],[Personal care and effects]],All_India_Index_Upto_April23__1___14[[#This Row],[Education]],All_India_Index_Upto_April23__1___14[[#This Row],[Recreation and amusement]])</f>
        <v>123.22499999999999</v>
      </c>
      <c r="AH132" s="12">
        <f>SUM(All_India_Index_Upto_April23__1___14[[#This Row],[Cereals and products]:[Pan, tobacco and intoxicants]])</f>
        <v>1927.5999999999995</v>
      </c>
      <c r="AI132" s="12">
        <f>SUM(All_India_Index_Upto_April23__1___14[[#This Row],[Household goods and services]],All_India_Index_Upto_April23__1___14[[#This Row],[Housing]])</f>
        <v>251.2</v>
      </c>
      <c r="AJ132" s="12">
        <f>All_India_Index_Upto_April23__1___14[[#This Row],[Clothing]]+All_India_Index_Upto_April23__1___14[[#This Row],[Footwear]]</f>
        <v>249.70000000000002</v>
      </c>
      <c r="AK132" s="12">
        <f>All_India_Index_Upto_April23__1___14[[#This Row],[Miscellaneous]]+All_India_Index_Upto_April23__1___14[[#This Row],[Personal care and effects]]+All_India_Index_Upto_April23__1___14[[#This Row],[Education]]+All_India_Index_Upto_April23__1___14[[#This Row],[Recreation and amusement]]</f>
        <v>492.9</v>
      </c>
      <c r="AL13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3267.6999999999994</v>
      </c>
    </row>
    <row r="133" spans="1:38" hidden="1" x14ac:dyDescent="0.3">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s="12">
        <f>AVERAGE(All_India_Index_Upto_April23__1___14[[#This Row],[Cereals and products]:[Pan, tobacco and intoxicants]])</f>
        <v>137.00714285714287</v>
      </c>
      <c r="AF133" s="12">
        <f>AVERAGE(All_India_Index_Upto_April23__1___14[[#This Row],[Household goods and services]],All_India_Index_Upto_April23__1___14[[#This Row],[Housing]])</f>
        <v>127.35</v>
      </c>
      <c r="AG133" s="12">
        <f>AVERAGE(All_India_Index_Upto_April23__1___14[[#This Row],[Miscellaneous]],All_India_Index_Upto_April23__1___14[[#This Row],[Personal care and effects]],All_India_Index_Upto_April23__1___14[[#This Row],[Education]],All_India_Index_Upto_April23__1___14[[#This Row],[Recreation and amusement]])</f>
        <v>124.49999999999999</v>
      </c>
      <c r="AH133" s="12">
        <f>SUM(All_India_Index_Upto_April23__1___14[[#This Row],[Cereals and products]:[Pan, tobacco and intoxicants]])</f>
        <v>1918.1000000000001</v>
      </c>
      <c r="AI133" s="12">
        <f>SUM(All_India_Index_Upto_April23__1___14[[#This Row],[Household goods and services]],All_India_Index_Upto_April23__1___14[[#This Row],[Housing]])</f>
        <v>254.7</v>
      </c>
      <c r="AJ133" s="12">
        <f>All_India_Index_Upto_April23__1___14[[#This Row],[Clothing]]+All_India_Index_Upto_April23__1___14[[#This Row],[Footwear]]</f>
        <v>262.29999999999995</v>
      </c>
      <c r="AK133" s="12">
        <f>All_India_Index_Upto_April23__1___14[[#This Row],[Miscellaneous]]+All_India_Index_Upto_April23__1___14[[#This Row],[Personal care and effects]]+All_India_Index_Upto_April23__1___14[[#This Row],[Education]]+All_India_Index_Upto_April23__1___14[[#This Row],[Recreation and amusement]]</f>
        <v>497.99999999999994</v>
      </c>
      <c r="AL13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3294.6000000000004</v>
      </c>
    </row>
    <row r="134" spans="1:38" hidden="1" x14ac:dyDescent="0.3">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s="12">
        <f>'Handle Missing Value Sheet only'!$F$5</f>
        <v>139.27096774193564</v>
      </c>
      <c r="V134">
        <v>129.69999999999999</v>
      </c>
      <c r="W134">
        <v>131.1</v>
      </c>
      <c r="X134">
        <v>127.8</v>
      </c>
      <c r="Y134">
        <v>117</v>
      </c>
      <c r="Z134">
        <v>125.7</v>
      </c>
      <c r="AA134">
        <v>132.19999999999999</v>
      </c>
      <c r="AB134">
        <v>122.8</v>
      </c>
      <c r="AC134">
        <v>124.9</v>
      </c>
      <c r="AD134">
        <v>133.4</v>
      </c>
      <c r="AE134" s="12">
        <f>AVERAGE(All_India_Index_Upto_April23__1___14[[#This Row],[Cereals and products]:[Pan, tobacco and intoxicants]])</f>
        <v>136.47142857142859</v>
      </c>
      <c r="AF134" s="12">
        <f>AVERAGE(All_India_Index_Upto_April23__1___14[[#This Row],[Household goods and services]],All_India_Index_Upto_April23__1___14[[#This Row],[Housing]])</f>
        <v>135.1854838709678</v>
      </c>
      <c r="AG134" s="12">
        <f>AVERAGE(All_India_Index_Upto_April23__1___14[[#This Row],[Miscellaneous]],All_India_Index_Upto_April23__1___14[[#This Row],[Personal care and effects]],All_India_Index_Upto_April23__1___14[[#This Row],[Education]],All_India_Index_Upto_April23__1___14[[#This Row],[Recreation and amusement]])</f>
        <v>126.39999999999999</v>
      </c>
      <c r="AH134" s="12">
        <f>SUM(All_India_Index_Upto_April23__1___14[[#This Row],[Cereals and products]:[Pan, tobacco and intoxicants]])</f>
        <v>1910.6000000000001</v>
      </c>
      <c r="AI134" s="12">
        <f>SUM(All_India_Index_Upto_April23__1___14[[#This Row],[Household goods and services]],All_India_Index_Upto_April23__1___14[[#This Row],[Housing]])</f>
        <v>270.3709677419356</v>
      </c>
      <c r="AJ134" s="12">
        <f>All_India_Index_Upto_April23__1___14[[#This Row],[Clothing]]+All_India_Index_Upto_April23__1___14[[#This Row],[Footwear]]</f>
        <v>272</v>
      </c>
      <c r="AK134" s="12">
        <f>All_India_Index_Upto_April23__1___14[[#This Row],[Miscellaneous]]+All_India_Index_Upto_April23__1___14[[#This Row],[Personal care and effects]]+All_India_Index_Upto_April23__1___14[[#This Row],[Education]]+All_India_Index_Upto_April23__1___14[[#This Row],[Recreation and amusement]]</f>
        <v>505.59999999999997</v>
      </c>
      <c r="AL13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3333.0709677419354</v>
      </c>
    </row>
    <row r="135" spans="1:38" hidden="1" x14ac:dyDescent="0.3">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s="12">
        <f>AVERAGE(All_India_Index_Upto_April23__1___14[[#This Row],[Cereals and products]:[Pan, tobacco and intoxicants]])</f>
        <v>135.73571428571427</v>
      </c>
      <c r="AF135" s="12">
        <f>AVERAGE(All_India_Index_Upto_April23__1___14[[#This Row],[Household goods and services]],All_India_Index_Upto_April23__1___14[[#This Row],[Housing]])</f>
        <v>126.1</v>
      </c>
      <c r="AG135" s="12">
        <f>AVERAGE(All_India_Index_Upto_April23__1___14[[#This Row],[Miscellaneous]],All_India_Index_Upto_April23__1___14[[#This Row],[Personal care and effects]],All_India_Index_Upto_April23__1___14[[#This Row],[Education]],All_India_Index_Upto_April23__1___14[[#This Row],[Recreation and amusement]])</f>
        <v>123.52499999999999</v>
      </c>
      <c r="AH135" s="12">
        <f>SUM(All_India_Index_Upto_April23__1___14[[#This Row],[Cereals and products]:[Pan, tobacco and intoxicants]])</f>
        <v>1900.2999999999997</v>
      </c>
      <c r="AI135" s="12">
        <f>SUM(All_India_Index_Upto_April23__1___14[[#This Row],[Household goods and services]],All_India_Index_Upto_April23__1___14[[#This Row],[Housing]])</f>
        <v>252.2</v>
      </c>
      <c r="AJ135" s="12">
        <f>All_India_Index_Upto_April23__1___14[[#This Row],[Clothing]]+All_India_Index_Upto_April23__1___14[[#This Row],[Footwear]]</f>
        <v>250.29999999999998</v>
      </c>
      <c r="AK135" s="12">
        <f>All_India_Index_Upto_April23__1___14[[#This Row],[Miscellaneous]]+All_India_Index_Upto_April23__1___14[[#This Row],[Personal care and effects]]+All_India_Index_Upto_April23__1___14[[#This Row],[Education]]+All_India_Index_Upto_April23__1___14[[#This Row],[Recreation and amusement]]</f>
        <v>494.09999999999997</v>
      </c>
      <c r="AL13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3244.9</v>
      </c>
    </row>
    <row r="136" spans="1:38" hidden="1" x14ac:dyDescent="0.3">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s="12">
        <f>AVERAGE(All_India_Index_Upto_April23__1___14[[#This Row],[Cereals and products]:[Pan, tobacco and intoxicants]])</f>
        <v>136.04999999999998</v>
      </c>
      <c r="AF136" s="12">
        <f>AVERAGE(All_India_Index_Upto_April23__1___14[[#This Row],[Household goods and services]],All_India_Index_Upto_April23__1___14[[#This Row],[Housing]])</f>
        <v>127.9</v>
      </c>
      <c r="AG136" s="12">
        <f>AVERAGE(All_India_Index_Upto_April23__1___14[[#This Row],[Miscellaneous]],All_India_Index_Upto_April23__1___14[[#This Row],[Personal care and effects]],All_India_Index_Upto_April23__1___14[[#This Row],[Education]],All_India_Index_Upto_April23__1___14[[#This Row],[Recreation and amusement]])</f>
        <v>124.9</v>
      </c>
      <c r="AH136" s="12">
        <f>SUM(All_India_Index_Upto_April23__1___14[[#This Row],[Cereals and products]:[Pan, tobacco and intoxicants]])</f>
        <v>1904.6999999999998</v>
      </c>
      <c r="AI136" s="12">
        <f>SUM(All_India_Index_Upto_April23__1___14[[#This Row],[Household goods and services]],All_India_Index_Upto_April23__1___14[[#This Row],[Housing]])</f>
        <v>255.8</v>
      </c>
      <c r="AJ136" s="12">
        <f>All_India_Index_Upto_April23__1___14[[#This Row],[Clothing]]+All_India_Index_Upto_April23__1___14[[#This Row],[Footwear]]</f>
        <v>263.2</v>
      </c>
      <c r="AK136" s="12">
        <f>All_India_Index_Upto_April23__1___14[[#This Row],[Miscellaneous]]+All_India_Index_Upto_April23__1___14[[#This Row],[Personal care and effects]]+All_India_Index_Upto_April23__1___14[[#This Row],[Education]]+All_India_Index_Upto_April23__1___14[[#This Row],[Recreation and amusement]]</f>
        <v>499.6</v>
      </c>
      <c r="AL13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3287.1</v>
      </c>
    </row>
    <row r="137" spans="1:38" hidden="1" x14ac:dyDescent="0.3">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s="12">
        <f>'Handle Missing Value Sheet only'!$F$5</f>
        <v>139.27096774193564</v>
      </c>
      <c r="V137">
        <v>129.80000000000001</v>
      </c>
      <c r="W137">
        <v>131.80000000000001</v>
      </c>
      <c r="X137">
        <v>128.69999999999999</v>
      </c>
      <c r="Y137">
        <v>117.8</v>
      </c>
      <c r="Z137">
        <v>126.5</v>
      </c>
      <c r="AA137">
        <v>133</v>
      </c>
      <c r="AB137">
        <v>123</v>
      </c>
      <c r="AC137">
        <v>125.7</v>
      </c>
      <c r="AD137">
        <v>133.80000000000001</v>
      </c>
      <c r="AE137" s="12">
        <f>AVERAGE(All_India_Index_Upto_April23__1___14[[#This Row],[Cereals and products]:[Pan, tobacco and intoxicants]])</f>
        <v>136.62142857142859</v>
      </c>
      <c r="AF137" s="12">
        <f>AVERAGE(All_India_Index_Upto_April23__1___14[[#This Row],[Household goods and services]],All_India_Index_Upto_April23__1___14[[#This Row],[Housing]])</f>
        <v>135.53548387096782</v>
      </c>
      <c r="AG137" s="12">
        <f>AVERAGE(All_India_Index_Upto_April23__1___14[[#This Row],[Miscellaneous]],All_India_Index_Upto_April23__1___14[[#This Row],[Personal care and effects]],All_India_Index_Upto_April23__1___14[[#This Row],[Education]],All_India_Index_Upto_April23__1___14[[#This Row],[Recreation and amusement]])</f>
        <v>127.05</v>
      </c>
      <c r="AH137" s="12">
        <f>SUM(All_India_Index_Upto_April23__1___14[[#This Row],[Cereals and products]:[Pan, tobacco and intoxicants]])</f>
        <v>1912.7000000000003</v>
      </c>
      <c r="AI137" s="12">
        <f>SUM(All_India_Index_Upto_April23__1___14[[#This Row],[Household goods and services]],All_India_Index_Upto_April23__1___14[[#This Row],[Housing]])</f>
        <v>271.07096774193565</v>
      </c>
      <c r="AJ137" s="12">
        <f>All_India_Index_Upto_April23__1___14[[#This Row],[Clothing]]+All_India_Index_Upto_April23__1___14[[#This Row],[Footwear]]</f>
        <v>273.89999999999998</v>
      </c>
      <c r="AK137" s="12">
        <f>All_India_Index_Upto_April23__1___14[[#This Row],[Miscellaneous]]+All_India_Index_Upto_April23__1___14[[#This Row],[Personal care and effects]]+All_India_Index_Upto_April23__1___14[[#This Row],[Education]]+All_India_Index_Upto_April23__1___14[[#This Row],[Recreation and amusement]]</f>
        <v>508.2</v>
      </c>
      <c r="AL13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3342.1709677419358</v>
      </c>
    </row>
    <row r="138" spans="1:38" hidden="1" x14ac:dyDescent="0.3">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s="12">
        <f>AVERAGE(All_India_Index_Upto_April23__1___14[[#This Row],[Cereals and products]:[Pan, tobacco and intoxicants]])</f>
        <v>136.22857142857143</v>
      </c>
      <c r="AF138" s="12">
        <f>AVERAGE(All_India_Index_Upto_April23__1___14[[#This Row],[Household goods and services]],All_India_Index_Upto_April23__1___14[[#This Row],[Housing]])</f>
        <v>126.6</v>
      </c>
      <c r="AG138" s="12">
        <f>AVERAGE(All_India_Index_Upto_April23__1___14[[#This Row],[Miscellaneous]],All_India_Index_Upto_April23__1___14[[#This Row],[Personal care and effects]],All_India_Index_Upto_April23__1___14[[#This Row],[Education]],All_India_Index_Upto_April23__1___14[[#This Row],[Recreation and amusement]])</f>
        <v>123.7</v>
      </c>
      <c r="AH138" s="12">
        <f>SUM(All_India_Index_Upto_April23__1___14[[#This Row],[Cereals and products]:[Pan, tobacco and intoxicants]])</f>
        <v>1907.1999999999998</v>
      </c>
      <c r="AI138" s="12">
        <f>SUM(All_India_Index_Upto_April23__1___14[[#This Row],[Household goods and services]],All_India_Index_Upto_April23__1___14[[#This Row],[Housing]])</f>
        <v>253.2</v>
      </c>
      <c r="AJ138" s="12">
        <f>All_India_Index_Upto_April23__1___14[[#This Row],[Clothing]]+All_India_Index_Upto_April23__1___14[[#This Row],[Footwear]]</f>
        <v>251</v>
      </c>
      <c r="AK138" s="12">
        <f>All_India_Index_Upto_April23__1___14[[#This Row],[Miscellaneous]]+All_India_Index_Upto_April23__1___14[[#This Row],[Personal care and effects]]+All_India_Index_Upto_April23__1___14[[#This Row],[Education]]+All_India_Index_Upto_April23__1___14[[#This Row],[Recreation and amusement]]</f>
        <v>494.8</v>
      </c>
      <c r="AL13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3256</v>
      </c>
    </row>
    <row r="139" spans="1:38" hidden="1" x14ac:dyDescent="0.3">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s="12">
        <f>AVERAGE(All_India_Index_Upto_April23__1___14[[#This Row],[Cereals and products]:[Pan, tobacco and intoxicants]])</f>
        <v>136.32857142857139</v>
      </c>
      <c r="AF139" s="12">
        <f>AVERAGE(All_India_Index_Upto_April23__1___14[[#This Row],[Household goods and services]],All_India_Index_Upto_April23__1___14[[#This Row],[Housing]])</f>
        <v>128.55000000000001</v>
      </c>
      <c r="AG139" s="12">
        <f>AVERAGE(All_India_Index_Upto_April23__1___14[[#This Row],[Miscellaneous]],All_India_Index_Upto_April23__1___14[[#This Row],[Personal care and effects]],All_India_Index_Upto_April23__1___14[[#This Row],[Education]],All_India_Index_Upto_April23__1___14[[#This Row],[Recreation and amusement]])</f>
        <v>125.35</v>
      </c>
      <c r="AH139" s="12">
        <f>SUM(All_India_Index_Upto_April23__1___14[[#This Row],[Cereals and products]:[Pan, tobacco and intoxicants]])</f>
        <v>1908.5999999999995</v>
      </c>
      <c r="AI139" s="12">
        <f>SUM(All_India_Index_Upto_April23__1___14[[#This Row],[Household goods and services]],All_India_Index_Upto_April23__1___14[[#This Row],[Housing]])</f>
        <v>257.10000000000002</v>
      </c>
      <c r="AJ139" s="12">
        <f>All_India_Index_Upto_April23__1___14[[#This Row],[Clothing]]+All_India_Index_Upto_April23__1___14[[#This Row],[Footwear]]</f>
        <v>264.60000000000002</v>
      </c>
      <c r="AK139" s="12">
        <f>All_India_Index_Upto_April23__1___14[[#This Row],[Miscellaneous]]+All_India_Index_Upto_April23__1___14[[#This Row],[Personal care and effects]]+All_India_Index_Upto_April23__1___14[[#This Row],[Education]]+All_India_Index_Upto_April23__1___14[[#This Row],[Recreation and amusement]]</f>
        <v>501.4</v>
      </c>
      <c r="AL13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3297.2999999999993</v>
      </c>
    </row>
    <row r="140" spans="1:38" hidden="1"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s="12">
        <f>'Handle Missing Value Sheet only'!$F$5</f>
        <v>139.27096774193564</v>
      </c>
      <c r="V140">
        <v>130.30000000000001</v>
      </c>
      <c r="W140">
        <v>132.1</v>
      </c>
      <c r="X140">
        <v>129.1</v>
      </c>
      <c r="Y140">
        <v>118.2</v>
      </c>
      <c r="Z140">
        <v>126.9</v>
      </c>
      <c r="AA140">
        <v>133.69999999999999</v>
      </c>
      <c r="AB140">
        <v>123.5</v>
      </c>
      <c r="AC140">
        <v>126.1</v>
      </c>
      <c r="AD140">
        <v>133.6</v>
      </c>
      <c r="AE140" s="12">
        <f>AVERAGE(All_India_Index_Upto_April23__1___14[[#This Row],[Cereals and products]:[Pan, tobacco and intoxicants]])</f>
        <v>136.12857142857143</v>
      </c>
      <c r="AF140" s="12">
        <f>AVERAGE(All_India_Index_Upto_April23__1___14[[#This Row],[Household goods and services]],All_India_Index_Upto_April23__1___14[[#This Row],[Housing]])</f>
        <v>135.6854838709678</v>
      </c>
      <c r="AG140" s="12">
        <f>AVERAGE(All_India_Index_Upto_April23__1___14[[#This Row],[Miscellaneous]],All_India_Index_Upto_April23__1___14[[#This Row],[Personal care and effects]],All_India_Index_Upto_April23__1___14[[#This Row],[Education]],All_India_Index_Upto_April23__1___14[[#This Row],[Recreation and amusement]])</f>
        <v>127.54999999999998</v>
      </c>
      <c r="AH140" s="12">
        <f>SUM(All_India_Index_Upto_April23__1___14[[#This Row],[Cereals and products]:[Pan, tobacco and intoxicants]])</f>
        <v>1905.8</v>
      </c>
      <c r="AI140" s="12">
        <f>SUM(All_India_Index_Upto_April23__1___14[[#This Row],[Household goods and services]],All_India_Index_Upto_April23__1___14[[#This Row],[Housing]])</f>
        <v>271.3709677419356</v>
      </c>
      <c r="AJ140" s="12">
        <f>All_India_Index_Upto_April23__1___14[[#This Row],[Clothing]]+All_India_Index_Upto_April23__1___14[[#This Row],[Footwear]]</f>
        <v>274.39999999999998</v>
      </c>
      <c r="AK140" s="12">
        <f>All_India_Index_Upto_April23__1___14[[#This Row],[Miscellaneous]]+All_India_Index_Upto_April23__1___14[[#This Row],[Personal care and effects]]+All_India_Index_Upto_April23__1___14[[#This Row],[Education]]+All_India_Index_Upto_April23__1___14[[#This Row],[Recreation and amusement]]</f>
        <v>510.19999999999993</v>
      </c>
      <c r="AL14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3339.3709677419351</v>
      </c>
    </row>
    <row r="141" spans="1:38" hidden="1" x14ac:dyDescent="0.3">
      <c r="A141" t="s">
        <v>32</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s="12">
        <f>AVERAGE(All_India_Index_Upto_April23__1___14[[#This Row],[Cereals and products]:[Pan, tobacco and intoxicants]])</f>
        <v>135.67857142857142</v>
      </c>
      <c r="AF141" s="12">
        <f>AVERAGE(All_India_Index_Upto_April23__1___14[[#This Row],[Household goods and services]],All_India_Index_Upto_April23__1___14[[#This Row],[Housing]])</f>
        <v>126.9</v>
      </c>
      <c r="AG141" s="12">
        <f>AVERAGE(All_India_Index_Upto_April23__1___14[[#This Row],[Miscellaneous]],All_India_Index_Upto_April23__1___14[[#This Row],[Personal care and effects]],All_India_Index_Upto_April23__1___14[[#This Row],[Education]],All_India_Index_Upto_April23__1___14[[#This Row],[Recreation and amusement]])</f>
        <v>124.1</v>
      </c>
      <c r="AH141" s="12">
        <f>SUM(All_India_Index_Upto_April23__1___14[[#This Row],[Cereals and products]:[Pan, tobacco and intoxicants]])</f>
        <v>1899.5</v>
      </c>
      <c r="AI141" s="12">
        <f>SUM(All_India_Index_Upto_April23__1___14[[#This Row],[Household goods and services]],All_India_Index_Upto_April23__1___14[[#This Row],[Housing]])</f>
        <v>253.8</v>
      </c>
      <c r="AJ141" s="12">
        <f>All_India_Index_Upto_April23__1___14[[#This Row],[Clothing]]+All_India_Index_Upto_April23__1___14[[#This Row],[Footwear]]</f>
        <v>251.7</v>
      </c>
      <c r="AK141" s="12">
        <f>All_India_Index_Upto_April23__1___14[[#This Row],[Miscellaneous]]+All_India_Index_Upto_April23__1___14[[#This Row],[Personal care and effects]]+All_India_Index_Upto_April23__1___14[[#This Row],[Education]]+All_India_Index_Upto_April23__1___14[[#This Row],[Recreation and amusement]]</f>
        <v>496.4</v>
      </c>
      <c r="AL14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3253.0999999999995</v>
      </c>
    </row>
    <row r="142" spans="1:38" hidden="1" x14ac:dyDescent="0.3">
      <c r="A142" t="s">
        <v>33</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s="12">
        <f>AVERAGE(All_India_Index_Upto_April23__1___14[[#This Row],[Cereals and products]:[Pan, tobacco and intoxicants]])</f>
        <v>135.84285714285713</v>
      </c>
      <c r="AF142" s="12">
        <f>AVERAGE(All_India_Index_Upto_April23__1___14[[#This Row],[Household goods and services]],All_India_Index_Upto_April23__1___14[[#This Row],[Housing]])</f>
        <v>128.85</v>
      </c>
      <c r="AG142" s="12">
        <f>AVERAGE(All_India_Index_Upto_April23__1___14[[#This Row],[Miscellaneous]],All_India_Index_Upto_April23__1___14[[#This Row],[Personal care and effects]],All_India_Index_Upto_April23__1___14[[#This Row],[Education]],All_India_Index_Upto_April23__1___14[[#This Row],[Recreation and amusement]])</f>
        <v>125.8</v>
      </c>
      <c r="AH142" s="12">
        <f>SUM(All_India_Index_Upto_April23__1___14[[#This Row],[Cereals and products]:[Pan, tobacco and intoxicants]])</f>
        <v>1901.8</v>
      </c>
      <c r="AI142" s="12">
        <f>SUM(All_India_Index_Upto_April23__1___14[[#This Row],[Household goods and services]],All_India_Index_Upto_April23__1___14[[#This Row],[Housing]])</f>
        <v>257.7</v>
      </c>
      <c r="AJ142" s="12">
        <f>All_India_Index_Upto_April23__1___14[[#This Row],[Clothing]]+All_India_Index_Upto_April23__1___14[[#This Row],[Footwear]]</f>
        <v>265.10000000000002</v>
      </c>
      <c r="AK142" s="12">
        <f>All_India_Index_Upto_April23__1___14[[#This Row],[Miscellaneous]]+All_India_Index_Upto_April23__1___14[[#This Row],[Personal care and effects]]+All_India_Index_Upto_April23__1___14[[#This Row],[Education]]+All_India_Index_Upto_April23__1___14[[#This Row],[Recreation and amusement]]</f>
        <v>503.2</v>
      </c>
      <c r="AL14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3294.9</v>
      </c>
    </row>
    <row r="143" spans="1:38" hidden="1"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s="12">
        <f>'Handle Missing Value Sheet only'!$F$5</f>
        <v>139.27096774193564</v>
      </c>
      <c r="V143">
        <v>132</v>
      </c>
      <c r="W143">
        <v>132.9</v>
      </c>
      <c r="X143">
        <v>129.69999999999999</v>
      </c>
      <c r="Y143">
        <v>118.6</v>
      </c>
      <c r="Z143">
        <v>127.3</v>
      </c>
      <c r="AA143">
        <v>134.19999999999999</v>
      </c>
      <c r="AB143">
        <v>121.9</v>
      </c>
      <c r="AC143">
        <v>126.3</v>
      </c>
      <c r="AD143">
        <v>132.80000000000001</v>
      </c>
      <c r="AE143" s="12">
        <f>AVERAGE(All_India_Index_Upto_April23__1___14[[#This Row],[Cereals and products]:[Pan, tobacco and intoxicants]])</f>
        <v>135.10714285714286</v>
      </c>
      <c r="AF143" s="12">
        <f>AVERAGE(All_India_Index_Upto_April23__1___14[[#This Row],[Household goods and services]],All_India_Index_Upto_April23__1___14[[#This Row],[Housing]])</f>
        <v>136.08548387096783</v>
      </c>
      <c r="AG143" s="12">
        <f>AVERAGE(All_India_Index_Upto_April23__1___14[[#This Row],[Miscellaneous]],All_India_Index_Upto_April23__1___14[[#This Row],[Personal care and effects]],All_India_Index_Upto_April23__1___14[[#This Row],[Education]],All_India_Index_Upto_April23__1___14[[#This Row],[Recreation and amusement]])</f>
        <v>127.425</v>
      </c>
      <c r="AH143" s="12">
        <f>SUM(All_India_Index_Upto_April23__1___14[[#This Row],[Cereals and products]:[Pan, tobacco and intoxicants]])</f>
        <v>1891.5</v>
      </c>
      <c r="AI143" s="12">
        <f>SUM(All_India_Index_Upto_April23__1___14[[#This Row],[Household goods and services]],All_India_Index_Upto_April23__1___14[[#This Row],[Housing]])</f>
        <v>272.17096774193567</v>
      </c>
      <c r="AJ143" s="12">
        <f>All_India_Index_Upto_April23__1___14[[#This Row],[Clothing]]+All_India_Index_Upto_April23__1___14[[#This Row],[Footwear]]</f>
        <v>275.60000000000002</v>
      </c>
      <c r="AK143" s="12">
        <f>All_India_Index_Upto_April23__1___14[[#This Row],[Miscellaneous]]+All_India_Index_Upto_April23__1___14[[#This Row],[Personal care and effects]]+All_India_Index_Upto_April23__1___14[[#This Row],[Education]]+All_India_Index_Upto_April23__1___14[[#This Row],[Recreation and amusement]]</f>
        <v>509.7</v>
      </c>
      <c r="AL14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3329.2709677419352</v>
      </c>
    </row>
    <row r="144" spans="1:38" hidden="1" x14ac:dyDescent="0.3">
      <c r="A144" t="s">
        <v>32</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s="12">
        <f>AVERAGE(All_India_Index_Upto_April23__1___14[[#This Row],[Cereals and products]:[Pan, tobacco and intoxicants]])</f>
        <v>133.91428571428571</v>
      </c>
      <c r="AF144" s="12">
        <f>AVERAGE(All_India_Index_Upto_April23__1___14[[#This Row],[Household goods and services]],All_India_Index_Upto_April23__1___14[[#This Row],[Housing]])</f>
        <v>126.75</v>
      </c>
      <c r="AG144" s="12">
        <f>AVERAGE(All_India_Index_Upto_April23__1___14[[#This Row],[Miscellaneous]],All_India_Index_Upto_April23__1___14[[#This Row],[Personal care and effects]],All_India_Index_Upto_April23__1___14[[#This Row],[Education]],All_India_Index_Upto_April23__1___14[[#This Row],[Recreation and amusement]])</f>
        <v>123.85000000000001</v>
      </c>
      <c r="AH144" s="12">
        <f>SUM(All_India_Index_Upto_April23__1___14[[#This Row],[Cereals and products]:[Pan, tobacco and intoxicants]])</f>
        <v>1874.8</v>
      </c>
      <c r="AI144" s="12">
        <f>SUM(All_India_Index_Upto_April23__1___14[[#This Row],[Household goods and services]],All_India_Index_Upto_April23__1___14[[#This Row],[Housing]])</f>
        <v>253.5</v>
      </c>
      <c r="AJ144" s="12">
        <f>All_India_Index_Upto_April23__1___14[[#This Row],[Clothing]]+All_India_Index_Upto_April23__1___14[[#This Row],[Footwear]]</f>
        <v>252.2</v>
      </c>
      <c r="AK144" s="12">
        <f>All_India_Index_Upto_April23__1___14[[#This Row],[Miscellaneous]]+All_India_Index_Upto_April23__1___14[[#This Row],[Personal care and effects]]+All_India_Index_Upto_April23__1___14[[#This Row],[Education]]+All_India_Index_Upto_April23__1___14[[#This Row],[Recreation and amusement]]</f>
        <v>495.40000000000003</v>
      </c>
      <c r="AL14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3229.7000000000003</v>
      </c>
    </row>
    <row r="145" spans="1:38" hidden="1" x14ac:dyDescent="0.3">
      <c r="A145" t="s">
        <v>33</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s="12">
        <f>AVERAGE(All_India_Index_Upto_April23__1___14[[#This Row],[Cereals and products]:[Pan, tobacco and intoxicants]])</f>
        <v>134.55714285714285</v>
      </c>
      <c r="AF145" s="12">
        <f>AVERAGE(All_India_Index_Upto_April23__1___14[[#This Row],[Household goods and services]],All_India_Index_Upto_April23__1___14[[#This Row],[Housing]])</f>
        <v>128.85</v>
      </c>
      <c r="AG145" s="12">
        <f>AVERAGE(All_India_Index_Upto_April23__1___14[[#This Row],[Miscellaneous]],All_India_Index_Upto_April23__1___14[[#This Row],[Personal care and effects]],All_India_Index_Upto_April23__1___14[[#This Row],[Education]],All_India_Index_Upto_April23__1___14[[#This Row],[Recreation and amusement]])</f>
        <v>125.575</v>
      </c>
      <c r="AH145" s="12">
        <f>SUM(All_India_Index_Upto_April23__1___14[[#This Row],[Cereals and products]:[Pan, tobacco and intoxicants]])</f>
        <v>1883.8</v>
      </c>
      <c r="AI145" s="12">
        <f>SUM(All_India_Index_Upto_April23__1___14[[#This Row],[Household goods and services]],All_India_Index_Upto_April23__1___14[[#This Row],[Housing]])</f>
        <v>257.7</v>
      </c>
      <c r="AJ145" s="12">
        <f>All_India_Index_Upto_April23__1___14[[#This Row],[Clothing]]+All_India_Index_Upto_April23__1___14[[#This Row],[Footwear]]</f>
        <v>266.10000000000002</v>
      </c>
      <c r="AK145" s="12">
        <f>All_India_Index_Upto_April23__1___14[[#This Row],[Miscellaneous]]+All_India_Index_Upto_April23__1___14[[#This Row],[Personal care and effects]]+All_India_Index_Upto_April23__1___14[[#This Row],[Education]]+All_India_Index_Upto_April23__1___14[[#This Row],[Recreation and amusement]]</f>
        <v>502.3</v>
      </c>
      <c r="AL14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3279.4</v>
      </c>
    </row>
    <row r="146" spans="1:38"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s="12">
        <f>'Handle Missing Value Sheet only'!$F$5</f>
        <v>139.27096774193564</v>
      </c>
      <c r="V146">
        <v>132.1</v>
      </c>
      <c r="W146">
        <v>133.19999999999999</v>
      </c>
      <c r="X146">
        <v>129.9</v>
      </c>
      <c r="Y146">
        <v>119.1</v>
      </c>
      <c r="Z146">
        <v>127</v>
      </c>
      <c r="AA146">
        <v>134.6</v>
      </c>
      <c r="AB146">
        <v>122.3</v>
      </c>
      <c r="AC146">
        <v>126.6</v>
      </c>
      <c r="AD146">
        <v>132.4</v>
      </c>
      <c r="AE146" s="12">
        <f>AVERAGE(All_India_Index_Upto_April23__1___14[[#This Row],[Cereals and products]:[Pan, tobacco and intoxicants]])</f>
        <v>134.31428571428572</v>
      </c>
      <c r="AF146" s="12">
        <f>AVERAGE(All_India_Index_Upto_April23__1___14[[#This Row],[Household goods and services]],All_India_Index_Upto_April23__1___14[[#This Row],[Housing]])</f>
        <v>136.23548387096781</v>
      </c>
      <c r="AG146" s="12">
        <f>AVERAGE(All_India_Index_Upto_April23__1___14[[#This Row],[Miscellaneous]],All_India_Index_Upto_April23__1___14[[#This Row],[Personal care and effects]],All_India_Index_Upto_April23__1___14[[#This Row],[Education]],All_India_Index_Upto_April23__1___14[[#This Row],[Recreation and amusement]])</f>
        <v>127.625</v>
      </c>
      <c r="AH146" s="12">
        <f>SUM(All_India_Index_Upto_April23__1___14[[#This Row],[Cereals and products]:[Pan, tobacco and intoxicants]])</f>
        <v>1880.4</v>
      </c>
      <c r="AI146" s="12">
        <f>SUM(All_India_Index_Upto_April23__1___14[[#This Row],[Household goods and services]],All_India_Index_Upto_April23__1___14[[#This Row],[Housing]])</f>
        <v>272.47096774193562</v>
      </c>
      <c r="AJ146" s="12">
        <f>All_India_Index_Upto_April23__1___14[[#This Row],[Clothing]]+All_India_Index_Upto_April23__1___14[[#This Row],[Footwear]]</f>
        <v>276.5</v>
      </c>
      <c r="AK146" s="12">
        <f>All_India_Index_Upto_April23__1___14[[#This Row],[Miscellaneous]]+All_India_Index_Upto_April23__1___14[[#This Row],[Personal care and effects]]+All_India_Index_Upto_April23__1___14[[#This Row],[Education]]+All_India_Index_Upto_April23__1___14[[#This Row],[Recreation and amusement]]</f>
        <v>510.5</v>
      </c>
      <c r="AL14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3320.9709677419355</v>
      </c>
    </row>
    <row r="147" spans="1:38" hidden="1" x14ac:dyDescent="0.3">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s="12">
        <f>AVERAGE(All_India_Index_Upto_April23__1___14[[#This Row],[Cereals and products]:[Pan, tobacco and intoxicants]])</f>
        <v>132.77142857142857</v>
      </c>
      <c r="AF147" s="12">
        <f>AVERAGE(All_India_Index_Upto_April23__1___14[[#This Row],[Household goods and services]],All_India_Index_Upto_April23__1___14[[#This Row],[Housing]])</f>
        <v>127.35</v>
      </c>
      <c r="AG147" s="12">
        <f>AVERAGE(All_India_Index_Upto_April23__1___14[[#This Row],[Miscellaneous]],All_India_Index_Upto_April23__1___14[[#This Row],[Personal care and effects]],All_India_Index_Upto_April23__1___14[[#This Row],[Education]],All_India_Index_Upto_April23__1___14[[#This Row],[Recreation and amusement]])</f>
        <v>124.35</v>
      </c>
      <c r="AH147" s="12">
        <f>SUM(All_India_Index_Upto_April23__1___14[[#This Row],[Cereals and products]:[Pan, tobacco and intoxicants]])</f>
        <v>1858.8</v>
      </c>
      <c r="AI147" s="12">
        <f>SUM(All_India_Index_Upto_April23__1___14[[#This Row],[Household goods and services]],All_India_Index_Upto_April23__1___14[[#This Row],[Housing]])</f>
        <v>254.7</v>
      </c>
      <c r="AJ147" s="12">
        <f>All_India_Index_Upto_April23__1___14[[#This Row],[Clothing]]+All_India_Index_Upto_April23__1___14[[#This Row],[Footwear]]</f>
        <v>252.5</v>
      </c>
      <c r="AK147" s="12">
        <f>All_India_Index_Upto_April23__1___14[[#This Row],[Miscellaneous]]+All_India_Index_Upto_April23__1___14[[#This Row],[Personal care and effects]]+All_India_Index_Upto_April23__1___14[[#This Row],[Education]]+All_India_Index_Upto_April23__1___14[[#This Row],[Recreation and amusement]]</f>
        <v>497.4</v>
      </c>
      <c r="AL14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3219.1999999999994</v>
      </c>
    </row>
    <row r="148" spans="1:38" hidden="1" x14ac:dyDescent="0.3">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s="12">
        <f>AVERAGE(All_India_Index_Upto_April23__1___14[[#This Row],[Cereals and products]:[Pan, tobacco and intoxicants]])</f>
        <v>133.64999999999995</v>
      </c>
      <c r="AF148" s="12">
        <f>AVERAGE(All_India_Index_Upto_April23__1___14[[#This Row],[Household goods and services]],All_India_Index_Upto_April23__1___14[[#This Row],[Housing]])</f>
        <v>129.5</v>
      </c>
      <c r="AG148" s="12">
        <f>AVERAGE(All_India_Index_Upto_April23__1___14[[#This Row],[Miscellaneous]],All_India_Index_Upto_April23__1___14[[#This Row],[Personal care and effects]],All_India_Index_Upto_April23__1___14[[#This Row],[Education]],All_India_Index_Upto_April23__1___14[[#This Row],[Recreation and amusement]])</f>
        <v>125.9</v>
      </c>
      <c r="AH148" s="12">
        <f>SUM(All_India_Index_Upto_April23__1___14[[#This Row],[Cereals and products]:[Pan, tobacco and intoxicants]])</f>
        <v>1871.0999999999995</v>
      </c>
      <c r="AI148" s="12">
        <f>SUM(All_India_Index_Upto_April23__1___14[[#This Row],[Household goods and services]],All_India_Index_Upto_April23__1___14[[#This Row],[Housing]])</f>
        <v>259</v>
      </c>
      <c r="AJ148" s="12">
        <f>All_India_Index_Upto_April23__1___14[[#This Row],[Clothing]]+All_India_Index_Upto_April23__1___14[[#This Row],[Footwear]]</f>
        <v>266.79999999999995</v>
      </c>
      <c r="AK148" s="12">
        <f>All_India_Index_Upto_April23__1___14[[#This Row],[Miscellaneous]]+All_India_Index_Upto_April23__1___14[[#This Row],[Personal care and effects]]+All_India_Index_Upto_April23__1___14[[#This Row],[Education]]+All_India_Index_Upto_April23__1___14[[#This Row],[Recreation and amusement]]</f>
        <v>503.6</v>
      </c>
      <c r="AL14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3271.3999999999996</v>
      </c>
    </row>
    <row r="149" spans="1:38" hidden="1" x14ac:dyDescent="0.3">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s="12">
        <f>'Handle Missing Value Sheet only'!$F$5</f>
        <v>139.27096774193564</v>
      </c>
      <c r="V149">
        <v>133.19999999999999</v>
      </c>
      <c r="W149">
        <v>133.6</v>
      </c>
      <c r="X149">
        <v>130.1</v>
      </c>
      <c r="Y149">
        <v>119.5</v>
      </c>
      <c r="Z149">
        <v>127.7</v>
      </c>
      <c r="AA149">
        <v>134.9</v>
      </c>
      <c r="AB149">
        <v>123.2</v>
      </c>
      <c r="AC149">
        <v>127</v>
      </c>
      <c r="AD149">
        <v>132.6</v>
      </c>
      <c r="AE149" s="12">
        <f>AVERAGE(All_India_Index_Upto_April23__1___14[[#This Row],[Cereals and products]:[Pan, tobacco and intoxicants]])</f>
        <v>134.15714285714287</v>
      </c>
      <c r="AF149" s="12">
        <f>AVERAGE(All_India_Index_Upto_April23__1___14[[#This Row],[Household goods and services]],All_India_Index_Upto_April23__1___14[[#This Row],[Housing]])</f>
        <v>136.4354838709678</v>
      </c>
      <c r="AG149" s="12">
        <f>AVERAGE(All_India_Index_Upto_April23__1___14[[#This Row],[Miscellaneous]],All_India_Index_Upto_April23__1___14[[#This Row],[Personal care and effects]],All_India_Index_Upto_April23__1___14[[#This Row],[Education]],All_India_Index_Upto_April23__1___14[[#This Row],[Recreation and amusement]])</f>
        <v>128.20000000000002</v>
      </c>
      <c r="AH149" s="12">
        <f>SUM(All_India_Index_Upto_April23__1___14[[#This Row],[Cereals and products]:[Pan, tobacco and intoxicants]])</f>
        <v>1878.2000000000003</v>
      </c>
      <c r="AI149" s="12">
        <f>SUM(All_India_Index_Upto_April23__1___14[[#This Row],[Household goods and services]],All_India_Index_Upto_April23__1___14[[#This Row],[Housing]])</f>
        <v>272.8709677419356</v>
      </c>
      <c r="AJ149" s="12">
        <f>All_India_Index_Upto_April23__1___14[[#This Row],[Clothing]]+All_India_Index_Upto_April23__1___14[[#This Row],[Footwear]]</f>
        <v>276.70000000000005</v>
      </c>
      <c r="AK149" s="12">
        <f>All_India_Index_Upto_April23__1___14[[#This Row],[Miscellaneous]]+All_India_Index_Upto_April23__1___14[[#This Row],[Personal care and effects]]+All_India_Index_Upto_April23__1___14[[#This Row],[Education]]+All_India_Index_Upto_April23__1___14[[#This Row],[Recreation and amusement]]</f>
        <v>512.80000000000007</v>
      </c>
      <c r="AL14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3323.3709677419356</v>
      </c>
    </row>
    <row r="150" spans="1:38" hidden="1" x14ac:dyDescent="0.3">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s="12">
        <f>AVERAGE(All_India_Index_Upto_April23__1___14[[#This Row],[Cereals and products]:[Pan, tobacco and intoxicants]])</f>
        <v>132.25714285714287</v>
      </c>
      <c r="AF150" s="12">
        <f>AVERAGE(All_India_Index_Upto_April23__1___14[[#This Row],[Household goods and services]],All_India_Index_Upto_April23__1___14[[#This Row],[Housing]])</f>
        <v>127.9</v>
      </c>
      <c r="AG150" s="12">
        <f>AVERAGE(All_India_Index_Upto_April23__1___14[[#This Row],[Miscellaneous]],All_India_Index_Upto_April23__1___14[[#This Row],[Personal care and effects]],All_India_Index_Upto_April23__1___14[[#This Row],[Education]],All_India_Index_Upto_April23__1___14[[#This Row],[Recreation and amusement]])</f>
        <v>124.675</v>
      </c>
      <c r="AH150" s="12">
        <f>SUM(All_India_Index_Upto_April23__1___14[[#This Row],[Cereals and products]:[Pan, tobacco and intoxicants]])</f>
        <v>1851.6000000000001</v>
      </c>
      <c r="AI150" s="12">
        <f>SUM(All_India_Index_Upto_April23__1___14[[#This Row],[Household goods and services]],All_India_Index_Upto_April23__1___14[[#This Row],[Housing]])</f>
        <v>255.8</v>
      </c>
      <c r="AJ150" s="12">
        <f>All_India_Index_Upto_April23__1___14[[#This Row],[Clothing]]+All_India_Index_Upto_April23__1___14[[#This Row],[Footwear]]</f>
        <v>253</v>
      </c>
      <c r="AK150" s="12">
        <f>All_India_Index_Upto_April23__1___14[[#This Row],[Miscellaneous]]+All_India_Index_Upto_April23__1___14[[#This Row],[Personal care and effects]]+All_India_Index_Upto_April23__1___14[[#This Row],[Education]]+All_India_Index_Upto_April23__1___14[[#This Row],[Recreation and amusement]]</f>
        <v>498.7</v>
      </c>
      <c r="AL15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3216.7000000000003</v>
      </c>
    </row>
    <row r="151" spans="1:38" hidden="1" x14ac:dyDescent="0.3">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s="12">
        <f>AVERAGE(All_India_Index_Upto_April23__1___14[[#This Row],[Cereals and products]:[Pan, tobacco and intoxicants]])</f>
        <v>133.33571428571432</v>
      </c>
      <c r="AF151" s="12">
        <f>AVERAGE(All_India_Index_Upto_April23__1___14[[#This Row],[Household goods and services]],All_India_Index_Upto_April23__1___14[[#This Row],[Housing]])</f>
        <v>130.1</v>
      </c>
      <c r="AG151" s="12">
        <f>AVERAGE(All_India_Index_Upto_April23__1___14[[#This Row],[Miscellaneous]],All_India_Index_Upto_April23__1___14[[#This Row],[Personal care and effects]],All_India_Index_Upto_April23__1___14[[#This Row],[Education]],All_India_Index_Upto_April23__1___14[[#This Row],[Recreation and amusement]])</f>
        <v>126.35</v>
      </c>
      <c r="AH151" s="12">
        <f>SUM(All_India_Index_Upto_April23__1___14[[#This Row],[Cereals and products]:[Pan, tobacco and intoxicants]])</f>
        <v>1866.7000000000003</v>
      </c>
      <c r="AI151" s="12">
        <f>SUM(All_India_Index_Upto_April23__1___14[[#This Row],[Household goods and services]],All_India_Index_Upto_April23__1___14[[#This Row],[Housing]])</f>
        <v>260.2</v>
      </c>
      <c r="AJ151" s="12">
        <f>All_India_Index_Upto_April23__1___14[[#This Row],[Clothing]]+All_India_Index_Upto_April23__1___14[[#This Row],[Footwear]]</f>
        <v>267.10000000000002</v>
      </c>
      <c r="AK151" s="12">
        <f>All_India_Index_Upto_April23__1___14[[#This Row],[Miscellaneous]]+All_India_Index_Upto_April23__1___14[[#This Row],[Personal care and effects]]+All_India_Index_Upto_April23__1___14[[#This Row],[Education]]+All_India_Index_Upto_April23__1___14[[#This Row],[Recreation and amusement]]</f>
        <v>505.4</v>
      </c>
      <c r="AL15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3272.1000000000008</v>
      </c>
    </row>
    <row r="152" spans="1:38" hidden="1" x14ac:dyDescent="0.3">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s="12">
        <f>'Handle Missing Value Sheet only'!$F$5</f>
        <v>139.27096774193564</v>
      </c>
      <c r="V152">
        <v>134.19999999999999</v>
      </c>
      <c r="W152">
        <v>134.1</v>
      </c>
      <c r="X152">
        <v>130.6</v>
      </c>
      <c r="Y152">
        <v>119.8</v>
      </c>
      <c r="Z152">
        <v>128.30000000000001</v>
      </c>
      <c r="AA152">
        <v>135.19999999999999</v>
      </c>
      <c r="AB152">
        <v>123.3</v>
      </c>
      <c r="AC152">
        <v>127.4</v>
      </c>
      <c r="AD152">
        <v>132.80000000000001</v>
      </c>
      <c r="AE152" s="12">
        <f>AVERAGE(All_India_Index_Upto_April23__1___14[[#This Row],[Cereals and products]:[Pan, tobacco and intoxicants]])</f>
        <v>133.76428571428573</v>
      </c>
      <c r="AF152" s="12">
        <f>AVERAGE(All_India_Index_Upto_April23__1___14[[#This Row],[Household goods and services]],All_India_Index_Upto_April23__1___14[[#This Row],[Housing]])</f>
        <v>136.6854838709678</v>
      </c>
      <c r="AG152" s="12">
        <f>AVERAGE(All_India_Index_Upto_April23__1___14[[#This Row],[Miscellaneous]],All_India_Index_Upto_April23__1___14[[#This Row],[Personal care and effects]],All_India_Index_Upto_April23__1___14[[#This Row],[Education]],All_India_Index_Upto_April23__1___14[[#This Row],[Recreation and amusement]])</f>
        <v>128.55000000000001</v>
      </c>
      <c r="AH152" s="12">
        <f>SUM(All_India_Index_Upto_April23__1___14[[#This Row],[Cereals and products]:[Pan, tobacco and intoxicants]])</f>
        <v>1872.7000000000003</v>
      </c>
      <c r="AI152" s="12">
        <f>SUM(All_India_Index_Upto_April23__1___14[[#This Row],[Household goods and services]],All_India_Index_Upto_April23__1___14[[#This Row],[Housing]])</f>
        <v>273.3709677419356</v>
      </c>
      <c r="AJ152" s="12">
        <f>All_India_Index_Upto_April23__1___14[[#This Row],[Clothing]]+All_India_Index_Upto_April23__1___14[[#This Row],[Footwear]]</f>
        <v>277.79999999999995</v>
      </c>
      <c r="AK152" s="12">
        <f>All_India_Index_Upto_April23__1___14[[#This Row],[Miscellaneous]]+All_India_Index_Upto_April23__1___14[[#This Row],[Personal care and effects]]+All_India_Index_Upto_April23__1___14[[#This Row],[Education]]+All_India_Index_Upto_April23__1___14[[#This Row],[Recreation and amusement]]</f>
        <v>514.20000000000005</v>
      </c>
      <c r="AL15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3322.6709677419358</v>
      </c>
    </row>
    <row r="153" spans="1:38" hidden="1" x14ac:dyDescent="0.3">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s="12">
        <f>AVERAGE(All_India_Index_Upto_April23__1___14[[#This Row],[Cereals and products]:[Pan, tobacco and intoxicants]])</f>
        <v>132.37142857142857</v>
      </c>
      <c r="AF153" s="12">
        <f>AVERAGE(All_India_Index_Upto_April23__1___14[[#This Row],[Household goods and services]],All_India_Index_Upto_April23__1___14[[#This Row],[Housing]])</f>
        <v>128.35</v>
      </c>
      <c r="AG153" s="12">
        <f>AVERAGE(All_India_Index_Upto_April23__1___14[[#This Row],[Miscellaneous]],All_India_Index_Upto_April23__1___14[[#This Row],[Personal care and effects]],All_India_Index_Upto_April23__1___14[[#This Row],[Education]],All_India_Index_Upto_April23__1___14[[#This Row],[Recreation and amusement]])</f>
        <v>124.875</v>
      </c>
      <c r="AH153" s="12">
        <f>SUM(All_India_Index_Upto_April23__1___14[[#This Row],[Cereals and products]:[Pan, tobacco and intoxicants]])</f>
        <v>1853.1999999999998</v>
      </c>
      <c r="AI153" s="12">
        <f>SUM(All_India_Index_Upto_April23__1___14[[#This Row],[Household goods and services]],All_India_Index_Upto_April23__1___14[[#This Row],[Housing]])</f>
        <v>256.7</v>
      </c>
      <c r="AJ153" s="12">
        <f>All_India_Index_Upto_April23__1___14[[#This Row],[Clothing]]+All_India_Index_Upto_April23__1___14[[#This Row],[Footwear]]</f>
        <v>253.60000000000002</v>
      </c>
      <c r="AK153" s="12">
        <f>All_India_Index_Upto_April23__1___14[[#This Row],[Miscellaneous]]+All_India_Index_Upto_April23__1___14[[#This Row],[Personal care and effects]]+All_India_Index_Upto_April23__1___14[[#This Row],[Education]]+All_India_Index_Upto_April23__1___14[[#This Row],[Recreation and amusement]]</f>
        <v>499.5</v>
      </c>
      <c r="AL15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3222.5</v>
      </c>
    </row>
    <row r="154" spans="1:38" hidden="1" x14ac:dyDescent="0.3">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s="12">
        <f>AVERAGE(All_India_Index_Upto_April23__1___14[[#This Row],[Cereals and products]:[Pan, tobacco and intoxicants]])</f>
        <v>133.14285714285714</v>
      </c>
      <c r="AF154" s="12">
        <f>AVERAGE(All_India_Index_Upto_April23__1___14[[#This Row],[Household goods and services]],All_India_Index_Upto_April23__1___14[[#This Row],[Housing]])</f>
        <v>130.6</v>
      </c>
      <c r="AG154" s="12">
        <f>AVERAGE(All_India_Index_Upto_April23__1___14[[#This Row],[Miscellaneous]],All_India_Index_Upto_April23__1___14[[#This Row],[Personal care and effects]],All_India_Index_Upto_April23__1___14[[#This Row],[Education]],All_India_Index_Upto_April23__1___14[[#This Row],[Recreation and amusement]])</f>
        <v>126.625</v>
      </c>
      <c r="AH154" s="12">
        <f>SUM(All_India_Index_Upto_April23__1___14[[#This Row],[Cereals and products]:[Pan, tobacco and intoxicants]])</f>
        <v>1864</v>
      </c>
      <c r="AI154" s="12">
        <f>SUM(All_India_Index_Upto_April23__1___14[[#This Row],[Household goods and services]],All_India_Index_Upto_April23__1___14[[#This Row],[Housing]])</f>
        <v>261.2</v>
      </c>
      <c r="AJ154" s="12">
        <f>All_India_Index_Upto_April23__1___14[[#This Row],[Clothing]]+All_India_Index_Upto_April23__1___14[[#This Row],[Footwear]]</f>
        <v>267.89999999999998</v>
      </c>
      <c r="AK154" s="12">
        <f>All_India_Index_Upto_April23__1___14[[#This Row],[Miscellaneous]]+All_India_Index_Upto_April23__1___14[[#This Row],[Personal care and effects]]+All_India_Index_Upto_April23__1___14[[#This Row],[Education]]+All_India_Index_Upto_April23__1___14[[#This Row],[Recreation and amusement]]</f>
        <v>506.5</v>
      </c>
      <c r="AL15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3274.1</v>
      </c>
    </row>
    <row r="155" spans="1:38" hidden="1" x14ac:dyDescent="0.3">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s="12">
        <f>'Handle Missing Value Sheet only'!$F$5</f>
        <v>139.27096774193564</v>
      </c>
      <c r="V155">
        <v>135</v>
      </c>
      <c r="W155">
        <v>134.30000000000001</v>
      </c>
      <c r="X155">
        <v>131</v>
      </c>
      <c r="Y155">
        <v>119.2</v>
      </c>
      <c r="Z155">
        <v>128.30000000000001</v>
      </c>
      <c r="AA155">
        <v>135.69999999999999</v>
      </c>
      <c r="AB155">
        <v>123.7</v>
      </c>
      <c r="AC155">
        <v>127.5</v>
      </c>
      <c r="AD155">
        <v>132.9</v>
      </c>
      <c r="AE155" s="12">
        <f>AVERAGE(All_India_Index_Upto_April23__1___14[[#This Row],[Cereals and products]:[Pan, tobacco and intoxicants]])</f>
        <v>133.62142857142857</v>
      </c>
      <c r="AF155" s="12">
        <f>AVERAGE(All_India_Index_Upto_April23__1___14[[#This Row],[Household goods and services]],All_India_Index_Upto_April23__1___14[[#This Row],[Housing]])</f>
        <v>136.78548387096782</v>
      </c>
      <c r="AG155" s="12">
        <f>AVERAGE(All_India_Index_Upto_April23__1___14[[#This Row],[Miscellaneous]],All_India_Index_Upto_April23__1___14[[#This Row],[Personal care and effects]],All_India_Index_Upto_April23__1___14[[#This Row],[Education]],All_India_Index_Upto_April23__1___14[[#This Row],[Recreation and amusement]])</f>
        <v>128.80000000000001</v>
      </c>
      <c r="AH155" s="12">
        <f>SUM(All_India_Index_Upto_April23__1___14[[#This Row],[Cereals and products]:[Pan, tobacco and intoxicants]])</f>
        <v>1870.7</v>
      </c>
      <c r="AI155" s="12">
        <f>SUM(All_India_Index_Upto_April23__1___14[[#This Row],[Household goods and services]],All_India_Index_Upto_April23__1___14[[#This Row],[Housing]])</f>
        <v>273.57096774193565</v>
      </c>
      <c r="AJ155" s="12">
        <f>All_India_Index_Upto_April23__1___14[[#This Row],[Clothing]]+All_India_Index_Upto_April23__1___14[[#This Row],[Footwear]]</f>
        <v>279.20000000000005</v>
      </c>
      <c r="AK155" s="12">
        <f>All_India_Index_Upto_April23__1___14[[#This Row],[Miscellaneous]]+All_India_Index_Upto_April23__1___14[[#This Row],[Personal care and effects]]+All_India_Index_Upto_April23__1___14[[#This Row],[Education]]+All_India_Index_Upto_April23__1___14[[#This Row],[Recreation and amusement]]</f>
        <v>515.20000000000005</v>
      </c>
      <c r="AL15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3323.8709677419356</v>
      </c>
    </row>
    <row r="156" spans="1:38" hidden="1" x14ac:dyDescent="0.3">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s="12">
        <f>AVERAGE(All_India_Index_Upto_April23__1___14[[#This Row],[Cereals and products]:[Pan, tobacco and intoxicants]])</f>
        <v>132.57857142857142</v>
      </c>
      <c r="AF156" s="12">
        <f>AVERAGE(All_India_Index_Upto_April23__1___14[[#This Row],[Household goods and services]],All_India_Index_Upto_April23__1___14[[#This Row],[Housing]])</f>
        <v>128.85</v>
      </c>
      <c r="AG156" s="12">
        <f>AVERAGE(All_India_Index_Upto_April23__1___14[[#This Row],[Miscellaneous]],All_India_Index_Upto_April23__1___14[[#This Row],[Personal care and effects]],All_India_Index_Upto_April23__1___14[[#This Row],[Education]],All_India_Index_Upto_April23__1___14[[#This Row],[Recreation and amusement]])</f>
        <v>125.22499999999999</v>
      </c>
      <c r="AH156" s="12">
        <f>SUM(All_India_Index_Upto_April23__1___14[[#This Row],[Cereals and products]:[Pan, tobacco and intoxicants]])</f>
        <v>1856.1</v>
      </c>
      <c r="AI156" s="12">
        <f>SUM(All_India_Index_Upto_April23__1___14[[#This Row],[Household goods and services]],All_India_Index_Upto_April23__1___14[[#This Row],[Housing]])</f>
        <v>257.7</v>
      </c>
      <c r="AJ156" s="12">
        <f>All_India_Index_Upto_April23__1___14[[#This Row],[Clothing]]+All_India_Index_Upto_April23__1___14[[#This Row],[Footwear]]</f>
        <v>254.2</v>
      </c>
      <c r="AK156" s="12">
        <f>All_India_Index_Upto_April23__1___14[[#This Row],[Miscellaneous]]+All_India_Index_Upto_April23__1___14[[#This Row],[Personal care and effects]]+All_India_Index_Upto_April23__1___14[[#This Row],[Education]]+All_India_Index_Upto_April23__1___14[[#This Row],[Recreation and amusement]]</f>
        <v>500.9</v>
      </c>
      <c r="AL15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3228</v>
      </c>
    </row>
    <row r="157" spans="1:38" hidden="1" x14ac:dyDescent="0.3">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s="12">
        <f>AVERAGE(All_India_Index_Upto_April23__1___14[[#This Row],[Cereals and products]:[Pan, tobacco and intoxicants]])</f>
        <v>133.12857142857143</v>
      </c>
      <c r="AF157" s="12">
        <f>AVERAGE(All_India_Index_Upto_April23__1___14[[#This Row],[Household goods and services]],All_India_Index_Upto_April23__1___14[[#This Row],[Housing]])</f>
        <v>131.05000000000001</v>
      </c>
      <c r="AG157" s="12">
        <f>AVERAGE(All_India_Index_Upto_April23__1___14[[#This Row],[Miscellaneous]],All_India_Index_Upto_April23__1___14[[#This Row],[Personal care and effects]],All_India_Index_Upto_April23__1___14[[#This Row],[Education]],All_India_Index_Upto_April23__1___14[[#This Row],[Recreation and amusement]])</f>
        <v>126.94999999999999</v>
      </c>
      <c r="AH157" s="12">
        <f>SUM(All_India_Index_Upto_April23__1___14[[#This Row],[Cereals and products]:[Pan, tobacco and intoxicants]])</f>
        <v>1863.8000000000002</v>
      </c>
      <c r="AI157" s="12">
        <f>SUM(All_India_Index_Upto_April23__1___14[[#This Row],[Household goods and services]],All_India_Index_Upto_April23__1___14[[#This Row],[Housing]])</f>
        <v>262.10000000000002</v>
      </c>
      <c r="AJ157" s="12">
        <f>All_India_Index_Upto_April23__1___14[[#This Row],[Clothing]]+All_India_Index_Upto_April23__1___14[[#This Row],[Footwear]]</f>
        <v>269.10000000000002</v>
      </c>
      <c r="AK157" s="12">
        <f>All_India_Index_Upto_April23__1___14[[#This Row],[Miscellaneous]]+All_India_Index_Upto_April23__1___14[[#This Row],[Personal care and effects]]+All_India_Index_Upto_April23__1___14[[#This Row],[Education]]+All_India_Index_Upto_April23__1___14[[#This Row],[Recreation and amusement]]</f>
        <v>507.79999999999995</v>
      </c>
      <c r="AL15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3277.3</v>
      </c>
    </row>
    <row r="158" spans="1:38" hidden="1" x14ac:dyDescent="0.3">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s="12">
        <f>'Handle Missing Value Sheet only'!$F$5</f>
        <v>139.27096774193564</v>
      </c>
      <c r="V158">
        <v>135</v>
      </c>
      <c r="W158">
        <v>134.9</v>
      </c>
      <c r="X158">
        <v>131.4</v>
      </c>
      <c r="Y158">
        <v>119.4</v>
      </c>
      <c r="Z158">
        <v>129.4</v>
      </c>
      <c r="AA158">
        <v>136.30000000000001</v>
      </c>
      <c r="AB158">
        <v>123.7</v>
      </c>
      <c r="AC158">
        <v>127.9</v>
      </c>
      <c r="AD158">
        <v>133.30000000000001</v>
      </c>
      <c r="AE158" s="12">
        <f>AVERAGE(All_India_Index_Upto_April23__1___14[[#This Row],[Cereals and products]:[Pan, tobacco and intoxicants]])</f>
        <v>133.78571428571425</v>
      </c>
      <c r="AF158" s="12">
        <f>AVERAGE(All_India_Index_Upto_April23__1___14[[#This Row],[Household goods and services]],All_India_Index_Upto_April23__1___14[[#This Row],[Housing]])</f>
        <v>137.08548387096783</v>
      </c>
      <c r="AG158" s="12">
        <f>AVERAGE(All_India_Index_Upto_April23__1___14[[#This Row],[Miscellaneous]],All_India_Index_Upto_April23__1___14[[#This Row],[Personal care and effects]],All_India_Index_Upto_April23__1___14[[#This Row],[Education]],All_India_Index_Upto_April23__1___14[[#This Row],[Recreation and amusement]])</f>
        <v>129.32500000000002</v>
      </c>
      <c r="AH158" s="12">
        <f>SUM(All_India_Index_Upto_April23__1___14[[#This Row],[Cereals and products]:[Pan, tobacco and intoxicants]])</f>
        <v>1872.9999999999995</v>
      </c>
      <c r="AI158" s="12">
        <f>SUM(All_India_Index_Upto_April23__1___14[[#This Row],[Household goods and services]],All_India_Index_Upto_April23__1___14[[#This Row],[Housing]])</f>
        <v>274.17096774193567</v>
      </c>
      <c r="AJ158" s="12">
        <f>All_India_Index_Upto_April23__1___14[[#This Row],[Clothing]]+All_India_Index_Upto_April23__1___14[[#This Row],[Footwear]]</f>
        <v>279.8</v>
      </c>
      <c r="AK158" s="12">
        <f>All_India_Index_Upto_April23__1___14[[#This Row],[Miscellaneous]]+All_India_Index_Upto_April23__1___14[[#This Row],[Personal care and effects]]+All_India_Index_Upto_April23__1___14[[#This Row],[Education]]+All_India_Index_Upto_April23__1___14[[#This Row],[Recreation and amusement]]</f>
        <v>517.30000000000007</v>
      </c>
      <c r="AL15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3330.0709677419354</v>
      </c>
    </row>
    <row r="159" spans="1:38" hidden="1" x14ac:dyDescent="0.3">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s="12">
        <f>AVERAGE(All_India_Index_Upto_April23__1___14[[#This Row],[Cereals and products]:[Pan, tobacco and intoxicants]])</f>
        <v>132.70714285714286</v>
      </c>
      <c r="AF159" s="12">
        <f>AVERAGE(All_India_Index_Upto_April23__1___14[[#This Row],[Household goods and services]],All_India_Index_Upto_April23__1___14[[#This Row],[Housing]])</f>
        <v>129.30000000000001</v>
      </c>
      <c r="AG159" s="12">
        <f>AVERAGE(All_India_Index_Upto_April23__1___14[[#This Row],[Miscellaneous]],All_India_Index_Upto_April23__1___14[[#This Row],[Personal care and effects]],All_India_Index_Upto_April23__1___14[[#This Row],[Education]],All_India_Index_Upto_April23__1___14[[#This Row],[Recreation and amusement]])</f>
        <v>125.3</v>
      </c>
      <c r="AH159" s="12">
        <f>SUM(All_India_Index_Upto_April23__1___14[[#This Row],[Cereals and products]:[Pan, tobacco and intoxicants]])</f>
        <v>1857.8999999999999</v>
      </c>
      <c r="AI159" s="12">
        <f>SUM(All_India_Index_Upto_April23__1___14[[#This Row],[Household goods and services]],All_India_Index_Upto_April23__1___14[[#This Row],[Housing]])</f>
        <v>258.60000000000002</v>
      </c>
      <c r="AJ159" s="12">
        <f>All_India_Index_Upto_April23__1___14[[#This Row],[Clothing]]+All_India_Index_Upto_April23__1___14[[#This Row],[Footwear]]</f>
        <v>254.7</v>
      </c>
      <c r="AK159" s="12">
        <f>All_India_Index_Upto_April23__1___14[[#This Row],[Miscellaneous]]+All_India_Index_Upto_April23__1___14[[#This Row],[Personal care and effects]]+All_India_Index_Upto_April23__1___14[[#This Row],[Education]]+All_India_Index_Upto_April23__1___14[[#This Row],[Recreation and amusement]]</f>
        <v>501.2</v>
      </c>
      <c r="AL15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3230.3999999999996</v>
      </c>
    </row>
    <row r="160" spans="1:38" hidden="1" x14ac:dyDescent="0.3">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s="12">
        <f>AVERAGE(All_India_Index_Upto_April23__1___14[[#This Row],[Cereals and products]:[Pan, tobacco and intoxicants]])</f>
        <v>133.27142857142857</v>
      </c>
      <c r="AF160" s="12">
        <f>AVERAGE(All_India_Index_Upto_April23__1___14[[#This Row],[Household goods and services]],All_India_Index_Upto_April23__1___14[[#This Row],[Housing]])</f>
        <v>131.5</v>
      </c>
      <c r="AG160" s="12">
        <f>AVERAGE(All_India_Index_Upto_April23__1___14[[#This Row],[Miscellaneous]],All_India_Index_Upto_April23__1___14[[#This Row],[Personal care and effects]],All_India_Index_Upto_April23__1___14[[#This Row],[Education]],All_India_Index_Upto_April23__1___14[[#This Row],[Recreation and amusement]])</f>
        <v>127.2</v>
      </c>
      <c r="AH160" s="12">
        <f>SUM(All_India_Index_Upto_April23__1___14[[#This Row],[Cereals and products]:[Pan, tobacco and intoxicants]])</f>
        <v>1865.8000000000002</v>
      </c>
      <c r="AI160" s="12">
        <f>SUM(All_India_Index_Upto_April23__1___14[[#This Row],[Household goods and services]],All_India_Index_Upto_April23__1___14[[#This Row],[Housing]])</f>
        <v>263</v>
      </c>
      <c r="AJ160" s="12">
        <f>All_India_Index_Upto_April23__1___14[[#This Row],[Clothing]]+All_India_Index_Upto_April23__1___14[[#This Row],[Footwear]]</f>
        <v>269.60000000000002</v>
      </c>
      <c r="AK160" s="12">
        <f>All_India_Index_Upto_April23__1___14[[#This Row],[Miscellaneous]]+All_India_Index_Upto_April23__1___14[[#This Row],[Personal care and effects]]+All_India_Index_Upto_April23__1___14[[#This Row],[Education]]+All_India_Index_Upto_April23__1___14[[#This Row],[Recreation and amusement]]</f>
        <v>508.8</v>
      </c>
      <c r="AL16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3281.7000000000003</v>
      </c>
    </row>
    <row r="161" spans="1:38" hidden="1" x14ac:dyDescent="0.3">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s="12">
        <f>'Handle Missing Value Sheet only'!$F$5</f>
        <v>139.27096774193564</v>
      </c>
      <c r="V161">
        <v>134.80000000000001</v>
      </c>
      <c r="W161">
        <v>135.19999999999999</v>
      </c>
      <c r="X161">
        <v>131.30000000000001</v>
      </c>
      <c r="Y161">
        <v>119.4</v>
      </c>
      <c r="Z161">
        <v>129.80000000000001</v>
      </c>
      <c r="AA161">
        <v>136.9</v>
      </c>
      <c r="AB161">
        <v>124.1</v>
      </c>
      <c r="AC161">
        <v>128.1</v>
      </c>
      <c r="AD161">
        <v>133.9</v>
      </c>
      <c r="AE161" s="12">
        <f>AVERAGE(All_India_Index_Upto_April23__1___14[[#This Row],[Cereals and products]:[Pan, tobacco and intoxicants]])</f>
        <v>134.61428571428573</v>
      </c>
      <c r="AF161" s="12">
        <f>AVERAGE(All_India_Index_Upto_April23__1___14[[#This Row],[Household goods and services]],All_India_Index_Upto_April23__1___14[[#This Row],[Housing]])</f>
        <v>137.23548387096781</v>
      </c>
      <c r="AG161" s="12">
        <f>AVERAGE(All_India_Index_Upto_April23__1___14[[#This Row],[Miscellaneous]],All_India_Index_Upto_April23__1___14[[#This Row],[Personal care and effects]],All_India_Index_Upto_April23__1___14[[#This Row],[Education]],All_India_Index_Upto_April23__1___14[[#This Row],[Recreation and amusement]])</f>
        <v>129.72500000000002</v>
      </c>
      <c r="AH161" s="12">
        <f>SUM(All_India_Index_Upto_April23__1___14[[#This Row],[Cereals and products]:[Pan, tobacco and intoxicants]])</f>
        <v>1884.6000000000001</v>
      </c>
      <c r="AI161" s="12">
        <f>SUM(All_India_Index_Upto_April23__1___14[[#This Row],[Household goods and services]],All_India_Index_Upto_April23__1___14[[#This Row],[Housing]])</f>
        <v>274.47096774193562</v>
      </c>
      <c r="AJ161" s="12">
        <f>All_India_Index_Upto_April23__1___14[[#This Row],[Clothing]]+All_India_Index_Upto_April23__1___14[[#This Row],[Footwear]]</f>
        <v>280.79999999999995</v>
      </c>
      <c r="AK161" s="12">
        <f>All_India_Index_Upto_April23__1___14[[#This Row],[Miscellaneous]]+All_India_Index_Upto_April23__1___14[[#This Row],[Personal care and effects]]+All_India_Index_Upto_April23__1___14[[#This Row],[Education]]+All_India_Index_Upto_April23__1___14[[#This Row],[Recreation and amusement]]</f>
        <v>518.90000000000009</v>
      </c>
      <c r="AL16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3344.2709677419366</v>
      </c>
    </row>
    <row r="162" spans="1:38" hidden="1" x14ac:dyDescent="0.3">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s="12">
        <f>AVERAGE(All_India_Index_Upto_April23__1___14[[#This Row],[Cereals and products]:[Pan, tobacco and intoxicants]])</f>
        <v>134.25714285714287</v>
      </c>
      <c r="AF162" s="12">
        <f>AVERAGE(All_India_Index_Upto_April23__1___14[[#This Row],[Household goods and services]],All_India_Index_Upto_April23__1___14[[#This Row],[Housing]])</f>
        <v>129.1</v>
      </c>
      <c r="AG162" s="12">
        <f>AVERAGE(All_India_Index_Upto_April23__1___14[[#This Row],[Miscellaneous]],All_India_Index_Upto_April23__1___14[[#This Row],[Personal care and effects]],All_India_Index_Upto_April23__1___14[[#This Row],[Education]],All_India_Index_Upto_April23__1___14[[#This Row],[Recreation and amusement]])</f>
        <v>125.6</v>
      </c>
      <c r="AH162" s="12">
        <f>SUM(All_India_Index_Upto_April23__1___14[[#This Row],[Cereals and products]:[Pan, tobacco and intoxicants]])</f>
        <v>1879.6000000000001</v>
      </c>
      <c r="AI162" s="12">
        <f>SUM(All_India_Index_Upto_April23__1___14[[#This Row],[Household goods and services]],All_India_Index_Upto_April23__1___14[[#This Row],[Housing]])</f>
        <v>258.2</v>
      </c>
      <c r="AJ162" s="12">
        <f>All_India_Index_Upto_April23__1___14[[#This Row],[Clothing]]+All_India_Index_Upto_April23__1___14[[#This Row],[Footwear]]</f>
        <v>254.7</v>
      </c>
      <c r="AK162" s="12">
        <f>All_India_Index_Upto_April23__1___14[[#This Row],[Miscellaneous]]+All_India_Index_Upto_April23__1___14[[#This Row],[Personal care and effects]]+All_India_Index_Upto_April23__1___14[[#This Row],[Education]]+All_India_Index_Upto_April23__1___14[[#This Row],[Recreation and amusement]]</f>
        <v>502.4</v>
      </c>
      <c r="AL16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3251.6000000000004</v>
      </c>
    </row>
    <row r="163" spans="1:38" hidden="1" x14ac:dyDescent="0.3">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s="12">
        <f>AVERAGE(All_India_Index_Upto_April23__1___14[[#This Row],[Cereals and products]:[Pan, tobacco and intoxicants]])</f>
        <v>134.37142857142857</v>
      </c>
      <c r="AF163" s="12">
        <f>AVERAGE(All_India_Index_Upto_April23__1___14[[#This Row],[Household goods and services]],All_India_Index_Upto_April23__1___14[[#This Row],[Housing]])</f>
        <v>131.30000000000001</v>
      </c>
      <c r="AG163" s="12">
        <f>AVERAGE(All_India_Index_Upto_April23__1___14[[#This Row],[Miscellaneous]],All_India_Index_Upto_April23__1___14[[#This Row],[Personal care and effects]],All_India_Index_Upto_April23__1___14[[#This Row],[Education]],All_India_Index_Upto_April23__1___14[[#This Row],[Recreation and amusement]])</f>
        <v>127.55000000000001</v>
      </c>
      <c r="AH163" s="12">
        <f>SUM(All_India_Index_Upto_April23__1___14[[#This Row],[Cereals and products]:[Pan, tobacco and intoxicants]])</f>
        <v>1881.2</v>
      </c>
      <c r="AI163" s="12">
        <f>SUM(All_India_Index_Upto_April23__1___14[[#This Row],[Household goods and services]],All_India_Index_Upto_April23__1___14[[#This Row],[Housing]])</f>
        <v>262.60000000000002</v>
      </c>
      <c r="AJ163" s="12">
        <f>All_India_Index_Upto_April23__1___14[[#This Row],[Clothing]]+All_India_Index_Upto_April23__1___14[[#This Row],[Footwear]]</f>
        <v>270.2</v>
      </c>
      <c r="AK163" s="12">
        <f>All_India_Index_Upto_April23__1___14[[#This Row],[Miscellaneous]]+All_India_Index_Upto_April23__1___14[[#This Row],[Personal care and effects]]+All_India_Index_Upto_April23__1___14[[#This Row],[Education]]+All_India_Index_Upto_April23__1___14[[#This Row],[Recreation and amusement]]</f>
        <v>510.20000000000005</v>
      </c>
      <c r="AL16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3298</v>
      </c>
    </row>
    <row r="164" spans="1:38" hidden="1" x14ac:dyDescent="0.3">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s="12">
        <f>'Handle Missing Value Sheet only'!$F$5</f>
        <v>139.27096774193564</v>
      </c>
      <c r="V164">
        <v>135.30000000000001</v>
      </c>
      <c r="W164">
        <v>136.1</v>
      </c>
      <c r="X164">
        <v>132.1</v>
      </c>
      <c r="Y164">
        <v>119.1</v>
      </c>
      <c r="Z164">
        <v>130.6</v>
      </c>
      <c r="AA164">
        <v>138.6</v>
      </c>
      <c r="AB164">
        <v>124.4</v>
      </c>
      <c r="AC164">
        <v>128.6</v>
      </c>
      <c r="AD164">
        <v>136.19999999999999</v>
      </c>
      <c r="AE164" s="12">
        <f>AVERAGE(All_India_Index_Upto_April23__1___14[[#This Row],[Cereals and products]:[Pan, tobacco and intoxicants]])</f>
        <v>137.16428571428574</v>
      </c>
      <c r="AF164" s="12">
        <f>AVERAGE(All_India_Index_Upto_April23__1___14[[#This Row],[Household goods and services]],All_India_Index_Upto_April23__1___14[[#This Row],[Housing]])</f>
        <v>137.6854838709678</v>
      </c>
      <c r="AG164" s="12">
        <f>AVERAGE(All_India_Index_Upto_April23__1___14[[#This Row],[Miscellaneous]],All_India_Index_Upto_April23__1___14[[#This Row],[Personal care and effects]],All_India_Index_Upto_April23__1___14[[#This Row],[Education]],All_India_Index_Upto_April23__1___14[[#This Row],[Recreation and amusement]])</f>
        <v>130.55000000000001</v>
      </c>
      <c r="AH164" s="12">
        <f>SUM(All_India_Index_Upto_April23__1___14[[#This Row],[Cereals and products]:[Pan, tobacco and intoxicants]])</f>
        <v>1920.3000000000002</v>
      </c>
      <c r="AI164" s="12">
        <f>SUM(All_India_Index_Upto_April23__1___14[[#This Row],[Household goods and services]],All_India_Index_Upto_April23__1___14[[#This Row],[Housing]])</f>
        <v>275.3709677419356</v>
      </c>
      <c r="AJ164" s="12">
        <f>All_India_Index_Upto_April23__1___14[[#This Row],[Clothing]]+All_India_Index_Upto_April23__1___14[[#This Row],[Footwear]]</f>
        <v>282.39999999999998</v>
      </c>
      <c r="AK164" s="12">
        <f>All_India_Index_Upto_April23__1___14[[#This Row],[Miscellaneous]]+All_India_Index_Upto_April23__1___14[[#This Row],[Personal care and effects]]+All_India_Index_Upto_April23__1___14[[#This Row],[Education]]+All_India_Index_Upto_April23__1___14[[#This Row],[Recreation and amusement]]</f>
        <v>522.20000000000005</v>
      </c>
      <c r="AL16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3386.7709677419357</v>
      </c>
    </row>
    <row r="165" spans="1:38" hidden="1" x14ac:dyDescent="0.3">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s="12">
        <f>AVERAGE(All_India_Index_Upto_April23__1___14[[#This Row],[Cereals and products]:[Pan, tobacco and intoxicants]])</f>
        <v>137.04285714285714</v>
      </c>
      <c r="AF165" s="12">
        <f>AVERAGE(All_India_Index_Upto_April23__1___14[[#This Row],[Household goods and services]],All_India_Index_Upto_April23__1___14[[#This Row],[Housing]])</f>
        <v>129.9</v>
      </c>
      <c r="AG165" s="12">
        <f>AVERAGE(All_India_Index_Upto_April23__1___14[[#This Row],[Miscellaneous]],All_India_Index_Upto_April23__1___14[[#This Row],[Personal care and effects]],All_India_Index_Upto_April23__1___14[[#This Row],[Education]],All_India_Index_Upto_April23__1___14[[#This Row],[Recreation and amusement]])</f>
        <v>126.1</v>
      </c>
      <c r="AH165" s="12">
        <f>SUM(All_India_Index_Upto_April23__1___14[[#This Row],[Cereals and products]:[Pan, tobacco and intoxicants]])</f>
        <v>1918.6</v>
      </c>
      <c r="AI165" s="12">
        <f>SUM(All_India_Index_Upto_April23__1___14[[#This Row],[Household goods and services]],All_India_Index_Upto_April23__1___14[[#This Row],[Housing]])</f>
        <v>259.8</v>
      </c>
      <c r="AJ165" s="12">
        <f>All_India_Index_Upto_April23__1___14[[#This Row],[Clothing]]+All_India_Index_Upto_April23__1___14[[#This Row],[Footwear]]</f>
        <v>255.3</v>
      </c>
      <c r="AK165" s="12">
        <f>All_India_Index_Upto_April23__1___14[[#This Row],[Miscellaneous]]+All_India_Index_Upto_April23__1___14[[#This Row],[Personal care and effects]]+All_India_Index_Upto_April23__1___14[[#This Row],[Education]]+All_India_Index_Upto_April23__1___14[[#This Row],[Recreation and amusement]]</f>
        <v>504.4</v>
      </c>
      <c r="AL16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3295.9999999999995</v>
      </c>
    </row>
    <row r="166" spans="1:38" hidden="1" x14ac:dyDescent="0.3">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s="12">
        <f>AVERAGE(All_India_Index_Upto_April23__1___14[[#This Row],[Cereals and products]:[Pan, tobacco and intoxicants]])</f>
        <v>136.97142857142856</v>
      </c>
      <c r="AF166" s="12">
        <f>AVERAGE(All_India_Index_Upto_April23__1___14[[#This Row],[Household goods and services]],All_India_Index_Upto_April23__1___14[[#This Row],[Housing]])</f>
        <v>132.25</v>
      </c>
      <c r="AG166" s="12">
        <f>AVERAGE(All_India_Index_Upto_April23__1___14[[#This Row],[Miscellaneous]],All_India_Index_Upto_April23__1___14[[#This Row],[Personal care and effects]],All_India_Index_Upto_April23__1___14[[#This Row],[Education]],All_India_Index_Upto_April23__1___14[[#This Row],[Recreation and amusement]])</f>
        <v>128.22499999999999</v>
      </c>
      <c r="AH166" s="12">
        <f>SUM(All_India_Index_Upto_April23__1___14[[#This Row],[Cereals and products]:[Pan, tobacco and intoxicants]])</f>
        <v>1917.6</v>
      </c>
      <c r="AI166" s="12">
        <f>SUM(All_India_Index_Upto_April23__1___14[[#This Row],[Household goods and services]],All_India_Index_Upto_April23__1___14[[#This Row],[Housing]])</f>
        <v>264.5</v>
      </c>
      <c r="AJ166" s="12">
        <f>All_India_Index_Upto_April23__1___14[[#This Row],[Clothing]]+All_India_Index_Upto_April23__1___14[[#This Row],[Footwear]]</f>
        <v>271.39999999999998</v>
      </c>
      <c r="AK166" s="12">
        <f>All_India_Index_Upto_April23__1___14[[#This Row],[Miscellaneous]]+All_India_Index_Upto_April23__1___14[[#This Row],[Personal care and effects]]+All_India_Index_Upto_April23__1___14[[#This Row],[Education]]+All_India_Index_Upto_April23__1___14[[#This Row],[Recreation and amusement]]</f>
        <v>512.9</v>
      </c>
      <c r="AL16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3341.2</v>
      </c>
    </row>
    <row r="167" spans="1:38" hidden="1" x14ac:dyDescent="0.3">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s="12">
        <f>'Handle Missing Value Sheet only'!$F$5</f>
        <v>139.27096774193564</v>
      </c>
      <c r="V167">
        <v>136.4</v>
      </c>
      <c r="W167">
        <v>137.30000000000001</v>
      </c>
      <c r="X167">
        <v>133</v>
      </c>
      <c r="Y167">
        <v>120.3</v>
      </c>
      <c r="Z167">
        <v>131.5</v>
      </c>
      <c r="AA167">
        <v>140.19999999999999</v>
      </c>
      <c r="AB167">
        <v>125.4</v>
      </c>
      <c r="AC167">
        <v>129.69999999999999</v>
      </c>
      <c r="AD167">
        <v>137.80000000000001</v>
      </c>
      <c r="AE167" s="12">
        <f>AVERAGE(All_India_Index_Upto_April23__1___14[[#This Row],[Cereals and products]:[Pan, tobacco and intoxicants]])</f>
        <v>138.67857142857142</v>
      </c>
      <c r="AF167" s="12">
        <f>AVERAGE(All_India_Index_Upto_April23__1___14[[#This Row],[Household goods and services]],All_India_Index_Upto_April23__1___14[[#This Row],[Housing]])</f>
        <v>138.28548387096782</v>
      </c>
      <c r="AG167" s="12">
        <f>AVERAGE(All_India_Index_Upto_April23__1___14[[#This Row],[Miscellaneous]],All_India_Index_Upto_April23__1___14[[#This Row],[Personal care and effects]],All_India_Index_Upto_April23__1___14[[#This Row],[Education]],All_India_Index_Upto_April23__1___14[[#This Row],[Recreation and amusement]])</f>
        <v>131.69999999999999</v>
      </c>
      <c r="AH167" s="12">
        <f>SUM(All_India_Index_Upto_April23__1___14[[#This Row],[Cereals and products]:[Pan, tobacco and intoxicants]])</f>
        <v>1941.4999999999998</v>
      </c>
      <c r="AI167" s="12">
        <f>SUM(All_India_Index_Upto_April23__1___14[[#This Row],[Household goods and services]],All_India_Index_Upto_April23__1___14[[#This Row],[Housing]])</f>
        <v>276.57096774193565</v>
      </c>
      <c r="AJ167" s="12">
        <f>All_India_Index_Upto_April23__1___14[[#This Row],[Clothing]]+All_India_Index_Upto_April23__1___14[[#This Row],[Footwear]]</f>
        <v>284.5</v>
      </c>
      <c r="AK167" s="12">
        <f>All_India_Index_Upto_April23__1___14[[#This Row],[Miscellaneous]]+All_India_Index_Upto_April23__1___14[[#This Row],[Personal care and effects]]+All_India_Index_Upto_April23__1___14[[#This Row],[Education]]+All_India_Index_Upto_April23__1___14[[#This Row],[Recreation and amusement]]</f>
        <v>526.79999999999995</v>
      </c>
      <c r="AL16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3419.0709677419359</v>
      </c>
    </row>
    <row r="168" spans="1:38" hidden="1" x14ac:dyDescent="0.3">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s="12">
        <f>AVERAGE(All_India_Index_Upto_April23__1___14[[#This Row],[Cereals and products]:[Pan, tobacco and intoxicants]])</f>
        <v>137.50714285714284</v>
      </c>
      <c r="AF168" s="12">
        <f>AVERAGE(All_India_Index_Upto_April23__1___14[[#This Row],[Household goods and services]],All_India_Index_Upto_April23__1___14[[#This Row],[Housing]])</f>
        <v>131.05000000000001</v>
      </c>
      <c r="AG168" s="12">
        <f>AVERAGE(All_India_Index_Upto_April23__1___14[[#This Row],[Miscellaneous]],All_India_Index_Upto_April23__1___14[[#This Row],[Personal care and effects]],All_India_Index_Upto_April23__1___14[[#This Row],[Education]],All_India_Index_Upto_April23__1___14[[#This Row],[Recreation and amusement]])</f>
        <v>126.72499999999999</v>
      </c>
      <c r="AH168" s="12">
        <f>SUM(All_India_Index_Upto_April23__1___14[[#This Row],[Cereals and products]:[Pan, tobacco and intoxicants]])</f>
        <v>1925.0999999999997</v>
      </c>
      <c r="AI168" s="12">
        <f>SUM(All_India_Index_Upto_April23__1___14[[#This Row],[Household goods and services]],All_India_Index_Upto_April23__1___14[[#This Row],[Housing]])</f>
        <v>262.10000000000002</v>
      </c>
      <c r="AJ168" s="12">
        <f>All_India_Index_Upto_April23__1___14[[#This Row],[Clothing]]+All_India_Index_Upto_April23__1___14[[#This Row],[Footwear]]</f>
        <v>257</v>
      </c>
      <c r="AK168" s="12">
        <f>All_India_Index_Upto_April23__1___14[[#This Row],[Miscellaneous]]+All_India_Index_Upto_April23__1___14[[#This Row],[Personal care and effects]]+All_India_Index_Upto_April23__1___14[[#This Row],[Education]]+All_India_Index_Upto_April23__1___14[[#This Row],[Recreation and amusement]]</f>
        <v>506.9</v>
      </c>
      <c r="AL16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3310.2999999999993</v>
      </c>
    </row>
    <row r="169" spans="1:38" hidden="1" x14ac:dyDescent="0.3">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s="12">
        <f>AVERAGE(All_India_Index_Upto_April23__1___14[[#This Row],[Cereals and products]:[Pan, tobacco and intoxicants]])</f>
        <v>138.1142857142857</v>
      </c>
      <c r="AF169" s="12">
        <f>AVERAGE(All_India_Index_Upto_April23__1___14[[#This Row],[Household goods and services]],All_India_Index_Upto_April23__1___14[[#This Row],[Housing]])</f>
        <v>133.60000000000002</v>
      </c>
      <c r="AG169" s="12">
        <f>AVERAGE(All_India_Index_Upto_April23__1___14[[#This Row],[Miscellaneous]],All_India_Index_Upto_April23__1___14[[#This Row],[Personal care and effects]],All_India_Index_Upto_April23__1___14[[#This Row],[Education]],All_India_Index_Upto_April23__1___14[[#This Row],[Recreation and amusement]])</f>
        <v>129.04999999999998</v>
      </c>
      <c r="AH169" s="12">
        <f>SUM(All_India_Index_Upto_April23__1___14[[#This Row],[Cereals and products]:[Pan, tobacco and intoxicants]])</f>
        <v>1933.6</v>
      </c>
      <c r="AI169" s="12">
        <f>SUM(All_India_Index_Upto_April23__1___14[[#This Row],[Household goods and services]],All_India_Index_Upto_April23__1___14[[#This Row],[Housing]])</f>
        <v>267.20000000000005</v>
      </c>
      <c r="AJ169" s="12">
        <f>All_India_Index_Upto_April23__1___14[[#This Row],[Clothing]]+All_India_Index_Upto_April23__1___14[[#This Row],[Footwear]]</f>
        <v>273.3</v>
      </c>
      <c r="AK169" s="12">
        <f>All_India_Index_Upto_April23__1___14[[#This Row],[Miscellaneous]]+All_India_Index_Upto_April23__1___14[[#This Row],[Personal care and effects]]+All_India_Index_Upto_April23__1___14[[#This Row],[Education]]+All_India_Index_Upto_April23__1___14[[#This Row],[Recreation and amusement]]</f>
        <v>516.19999999999993</v>
      </c>
      <c r="AL16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3367.6000000000004</v>
      </c>
    </row>
    <row r="170" spans="1:38" hidden="1" x14ac:dyDescent="0.3">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s="12">
        <f>'Handle Missing Value Sheet only'!$F$5</f>
        <v>139.27096774193564</v>
      </c>
      <c r="V170">
        <v>137.4</v>
      </c>
      <c r="W170">
        <v>137.9</v>
      </c>
      <c r="X170">
        <v>133.4</v>
      </c>
      <c r="Y170">
        <v>121.2</v>
      </c>
      <c r="Z170">
        <v>132.30000000000001</v>
      </c>
      <c r="AA170">
        <v>139.6</v>
      </c>
      <c r="AB170">
        <v>126.7</v>
      </c>
      <c r="AC170">
        <v>130.30000000000001</v>
      </c>
      <c r="AD170">
        <v>137.6</v>
      </c>
      <c r="AE170" s="12">
        <f>AVERAGE(All_India_Index_Upto_April23__1___14[[#This Row],[Cereals and products]:[Pan, tobacco and intoxicants]])</f>
        <v>138.15</v>
      </c>
      <c r="AF170" s="12">
        <f>AVERAGE(All_India_Index_Upto_April23__1___14[[#This Row],[Household goods and services]],All_India_Index_Upto_April23__1___14[[#This Row],[Housing]])</f>
        <v>138.58548387096783</v>
      </c>
      <c r="AG170" s="12">
        <f>AVERAGE(All_India_Index_Upto_April23__1___14[[#This Row],[Miscellaneous]],All_India_Index_Upto_April23__1___14[[#This Row],[Personal care and effects]],All_India_Index_Upto_April23__1___14[[#This Row],[Education]],All_India_Index_Upto_April23__1___14[[#This Row],[Recreation and amusement]])</f>
        <v>132.22500000000002</v>
      </c>
      <c r="AH170" s="12">
        <f>SUM(All_India_Index_Upto_April23__1___14[[#This Row],[Cereals and products]:[Pan, tobacco and intoxicants]])</f>
        <v>1934.1</v>
      </c>
      <c r="AI170" s="12">
        <f>SUM(All_India_Index_Upto_April23__1___14[[#This Row],[Household goods and services]],All_India_Index_Upto_April23__1___14[[#This Row],[Housing]])</f>
        <v>277.17096774193567</v>
      </c>
      <c r="AJ170" s="12">
        <f>All_India_Index_Upto_April23__1___14[[#This Row],[Clothing]]+All_India_Index_Upto_April23__1___14[[#This Row],[Footwear]]</f>
        <v>285.79999999999995</v>
      </c>
      <c r="AK170" s="12">
        <f>All_India_Index_Upto_April23__1___14[[#This Row],[Miscellaneous]]+All_India_Index_Upto_April23__1___14[[#This Row],[Personal care and effects]]+All_India_Index_Upto_April23__1___14[[#This Row],[Education]]+All_India_Index_Upto_April23__1___14[[#This Row],[Recreation and amusement]]</f>
        <v>528.90000000000009</v>
      </c>
      <c r="AL17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3417.9709677419355</v>
      </c>
    </row>
    <row r="171" spans="1:38" hidden="1" x14ac:dyDescent="0.3">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s="12">
        <f>AVERAGE(All_India_Index_Upto_April23__1___14[[#This Row],[Cereals and products]:[Pan, tobacco and intoxicants]])</f>
        <v>135.94999999999999</v>
      </c>
      <c r="AF171" s="12">
        <f>AVERAGE(All_India_Index_Upto_April23__1___14[[#This Row],[Household goods and services]],All_India_Index_Upto_April23__1___14[[#This Row],[Housing]])</f>
        <v>131.89999999999998</v>
      </c>
      <c r="AG171" s="12">
        <f>AVERAGE(All_India_Index_Upto_April23__1___14[[#This Row],[Miscellaneous]],All_India_Index_Upto_April23__1___14[[#This Row],[Personal care and effects]],All_India_Index_Upto_April23__1___14[[#This Row],[Education]],All_India_Index_Upto_April23__1___14[[#This Row],[Recreation and amusement]])</f>
        <v>127.325</v>
      </c>
      <c r="AH171" s="12">
        <f>SUM(All_India_Index_Upto_April23__1___14[[#This Row],[Cereals and products]:[Pan, tobacco and intoxicants]])</f>
        <v>1903.3</v>
      </c>
      <c r="AI171" s="12">
        <f>SUM(All_India_Index_Upto_April23__1___14[[#This Row],[Household goods and services]],All_India_Index_Upto_April23__1___14[[#This Row],[Housing]])</f>
        <v>263.79999999999995</v>
      </c>
      <c r="AJ171" s="12">
        <f>All_India_Index_Upto_April23__1___14[[#This Row],[Clothing]]+All_India_Index_Upto_April23__1___14[[#This Row],[Footwear]]</f>
        <v>257.89999999999998</v>
      </c>
      <c r="AK171" s="12">
        <f>All_India_Index_Upto_April23__1___14[[#This Row],[Miscellaneous]]+All_India_Index_Upto_April23__1___14[[#This Row],[Personal care and effects]]+All_India_Index_Upto_April23__1___14[[#This Row],[Education]]+All_India_Index_Upto_April23__1___14[[#This Row],[Recreation and amusement]]</f>
        <v>509.3</v>
      </c>
      <c r="AL17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3296.7</v>
      </c>
    </row>
    <row r="172" spans="1:38" hidden="1" x14ac:dyDescent="0.3">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s="12">
        <f>AVERAGE(All_India_Index_Upto_April23__1___14[[#This Row],[Cereals and products]:[Pan, tobacco and intoxicants]])</f>
        <v>137.19999999999999</v>
      </c>
      <c r="AF172" s="12">
        <f>AVERAGE(All_India_Index_Upto_April23__1___14[[#This Row],[Household goods and services]],All_India_Index_Upto_April23__1___14[[#This Row],[Housing]])</f>
        <v>134.5</v>
      </c>
      <c r="AG172" s="12">
        <f>AVERAGE(All_India_Index_Upto_April23__1___14[[#This Row],[Miscellaneous]],All_India_Index_Upto_April23__1___14[[#This Row],[Personal care and effects]],All_India_Index_Upto_April23__1___14[[#This Row],[Education]],All_India_Index_Upto_April23__1___14[[#This Row],[Recreation and amusement]])</f>
        <v>129.625</v>
      </c>
      <c r="AH172" s="12">
        <f>SUM(All_India_Index_Upto_April23__1___14[[#This Row],[Cereals and products]:[Pan, tobacco and intoxicants]])</f>
        <v>1920.7999999999997</v>
      </c>
      <c r="AI172" s="12">
        <f>SUM(All_India_Index_Upto_April23__1___14[[#This Row],[Household goods and services]],All_India_Index_Upto_April23__1___14[[#This Row],[Housing]])</f>
        <v>269</v>
      </c>
      <c r="AJ172" s="12">
        <f>All_India_Index_Upto_April23__1___14[[#This Row],[Clothing]]+All_India_Index_Upto_April23__1___14[[#This Row],[Footwear]]</f>
        <v>274.5</v>
      </c>
      <c r="AK172" s="12">
        <f>All_India_Index_Upto_April23__1___14[[#This Row],[Miscellaneous]]+All_India_Index_Upto_April23__1___14[[#This Row],[Personal care and effects]]+All_India_Index_Upto_April23__1___14[[#This Row],[Education]]+All_India_Index_Upto_April23__1___14[[#This Row],[Recreation and amusement]]</f>
        <v>518.5</v>
      </c>
      <c r="AL17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3362.7</v>
      </c>
    </row>
    <row r="173" spans="1:38" hidden="1" x14ac:dyDescent="0.3">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s="12">
        <f>'Handle Missing Value Sheet only'!$F$5</f>
        <v>139.27096774193564</v>
      </c>
      <c r="V173">
        <v>138.1</v>
      </c>
      <c r="W173">
        <v>138.4</v>
      </c>
      <c r="X173">
        <v>134.19999999999999</v>
      </c>
      <c r="Y173">
        <v>121</v>
      </c>
      <c r="Z173">
        <v>133</v>
      </c>
      <c r="AA173">
        <v>140.1</v>
      </c>
      <c r="AB173">
        <v>127.4</v>
      </c>
      <c r="AC173">
        <v>130.69999999999999</v>
      </c>
      <c r="AD173">
        <v>138.30000000000001</v>
      </c>
      <c r="AE173" s="12">
        <f>AVERAGE(All_India_Index_Upto_April23__1___14[[#This Row],[Cereals and products]:[Pan, tobacco and intoxicants]])</f>
        <v>138.67142857142855</v>
      </c>
      <c r="AF173" s="12">
        <f>AVERAGE(All_India_Index_Upto_April23__1___14[[#This Row],[Household goods and services]],All_India_Index_Upto_April23__1___14[[#This Row],[Housing]])</f>
        <v>138.83548387096783</v>
      </c>
      <c r="AG173" s="12">
        <f>AVERAGE(All_India_Index_Upto_April23__1___14[[#This Row],[Miscellaneous]],All_India_Index_Upto_April23__1___14[[#This Row],[Personal care and effects]],All_India_Index_Upto_April23__1___14[[#This Row],[Education]],All_India_Index_Upto_April23__1___14[[#This Row],[Recreation and amusement]])</f>
        <v>132.80000000000001</v>
      </c>
      <c r="AH173" s="12">
        <f>SUM(All_India_Index_Upto_April23__1___14[[#This Row],[Cereals and products]:[Pan, tobacco and intoxicants]])</f>
        <v>1941.3999999999999</v>
      </c>
      <c r="AI173" s="12">
        <f>SUM(All_India_Index_Upto_April23__1___14[[#This Row],[Household goods and services]],All_India_Index_Upto_April23__1___14[[#This Row],[Housing]])</f>
        <v>277.67096774193567</v>
      </c>
      <c r="AJ173" s="12">
        <f>All_India_Index_Upto_April23__1___14[[#This Row],[Clothing]]+All_India_Index_Upto_April23__1___14[[#This Row],[Footwear]]</f>
        <v>287.79999999999995</v>
      </c>
      <c r="AK173" s="12">
        <f>All_India_Index_Upto_April23__1___14[[#This Row],[Miscellaneous]]+All_India_Index_Upto_April23__1___14[[#This Row],[Personal care and effects]]+All_India_Index_Upto_April23__1___14[[#This Row],[Education]]+All_India_Index_Upto_April23__1___14[[#This Row],[Recreation and amusement]]</f>
        <v>531.20000000000005</v>
      </c>
      <c r="AL17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3431.3709677419351</v>
      </c>
    </row>
    <row r="174" spans="1:38" hidden="1" x14ac:dyDescent="0.3">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s="12">
        <f>AVERAGE(All_India_Index_Upto_April23__1___14[[#This Row],[Cereals and products]:[Pan, tobacco and intoxicants]])</f>
        <v>137.16428571428568</v>
      </c>
      <c r="AF174" s="12">
        <f>AVERAGE(All_India_Index_Upto_April23__1___14[[#This Row],[Household goods and services]],All_India_Index_Upto_April23__1___14[[#This Row],[Housing]])</f>
        <v>132.80000000000001</v>
      </c>
      <c r="AG174" s="12">
        <f>AVERAGE(All_India_Index_Upto_April23__1___14[[#This Row],[Miscellaneous]],All_India_Index_Upto_April23__1___14[[#This Row],[Personal care and effects]],All_India_Index_Upto_April23__1___14[[#This Row],[Education]],All_India_Index_Upto_April23__1___14[[#This Row],[Recreation and amusement]])</f>
        <v>127.55</v>
      </c>
      <c r="AH174" s="12">
        <f>SUM(All_India_Index_Upto_April23__1___14[[#This Row],[Cereals and products]:[Pan, tobacco and intoxicants]])</f>
        <v>1920.2999999999997</v>
      </c>
      <c r="AI174" s="12">
        <f>SUM(All_India_Index_Upto_April23__1___14[[#This Row],[Household goods and services]],All_India_Index_Upto_April23__1___14[[#This Row],[Housing]])</f>
        <v>265.60000000000002</v>
      </c>
      <c r="AJ174" s="12">
        <f>All_India_Index_Upto_April23__1___14[[#This Row],[Clothing]]+All_India_Index_Upto_April23__1___14[[#This Row],[Footwear]]</f>
        <v>258.89999999999998</v>
      </c>
      <c r="AK174" s="12">
        <f>All_India_Index_Upto_April23__1___14[[#This Row],[Miscellaneous]]+All_India_Index_Upto_April23__1___14[[#This Row],[Personal care and effects]]+All_India_Index_Upto_April23__1___14[[#This Row],[Education]]+All_India_Index_Upto_April23__1___14[[#This Row],[Recreation and amusement]]</f>
        <v>510.2</v>
      </c>
      <c r="AL17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3319.1999999999994</v>
      </c>
    </row>
    <row r="175" spans="1:38" hidden="1" x14ac:dyDescent="0.3">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s="12">
        <f>AVERAGE(All_India_Index_Upto_April23__1___14[[#This Row],[Cereals and products]:[Pan, tobacco and intoxicants]])</f>
        <v>137.94999999999999</v>
      </c>
      <c r="AF175" s="12">
        <f>AVERAGE(All_India_Index_Upto_April23__1___14[[#This Row],[Household goods and services]],All_India_Index_Upto_April23__1___14[[#This Row],[Housing]])</f>
        <v>135.44999999999999</v>
      </c>
      <c r="AG175" s="12">
        <f>AVERAGE(All_India_Index_Upto_April23__1___14[[#This Row],[Miscellaneous]],All_India_Index_Upto_April23__1___14[[#This Row],[Personal care and effects]],All_India_Index_Upto_April23__1___14[[#This Row],[Education]],All_India_Index_Upto_April23__1___14[[#This Row],[Recreation and amusement]])</f>
        <v>130.05000000000001</v>
      </c>
      <c r="AH175" s="12">
        <f>SUM(All_India_Index_Upto_April23__1___14[[#This Row],[Cereals and products]:[Pan, tobacco and intoxicants]])</f>
        <v>1931.2999999999997</v>
      </c>
      <c r="AI175" s="12">
        <f>SUM(All_India_Index_Upto_April23__1___14[[#This Row],[Household goods and services]],All_India_Index_Upto_April23__1___14[[#This Row],[Housing]])</f>
        <v>270.89999999999998</v>
      </c>
      <c r="AJ175" s="12">
        <f>All_India_Index_Upto_April23__1___14[[#This Row],[Clothing]]+All_India_Index_Upto_April23__1___14[[#This Row],[Footwear]]</f>
        <v>276.10000000000002</v>
      </c>
      <c r="AK175" s="12">
        <f>All_India_Index_Upto_April23__1___14[[#This Row],[Miscellaneous]]+All_India_Index_Upto_April23__1___14[[#This Row],[Personal care and effects]]+All_India_Index_Upto_April23__1___14[[#This Row],[Education]]+All_India_Index_Upto_April23__1___14[[#This Row],[Recreation and amusement]]</f>
        <v>520.20000000000005</v>
      </c>
      <c r="AL17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3379.8</v>
      </c>
    </row>
    <row r="176" spans="1:38" hidden="1"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s="12">
        <f>'Handle Missing Value Sheet only'!$F$5</f>
        <v>139.27096774193564</v>
      </c>
      <c r="V176">
        <v>141.1</v>
      </c>
      <c r="W176">
        <v>139.4</v>
      </c>
      <c r="X176">
        <v>135.80000000000001</v>
      </c>
      <c r="Y176">
        <v>121.6</v>
      </c>
      <c r="Z176">
        <v>133.69999999999999</v>
      </c>
      <c r="AA176">
        <v>141.5</v>
      </c>
      <c r="AB176">
        <v>128.1</v>
      </c>
      <c r="AC176">
        <v>131.69999999999999</v>
      </c>
      <c r="AD176">
        <v>140</v>
      </c>
      <c r="AE176" s="12">
        <f>AVERAGE(All_India_Index_Upto_April23__1___14[[#This Row],[Cereals and products]:[Pan, tobacco and intoxicants]])</f>
        <v>140.70000000000002</v>
      </c>
      <c r="AF176" s="12">
        <f>AVERAGE(All_India_Index_Upto_April23__1___14[[#This Row],[Household goods and services]],All_India_Index_Upto_April23__1___14[[#This Row],[Housing]])</f>
        <v>139.33548387096783</v>
      </c>
      <c r="AG176" s="12">
        <f>AVERAGE(All_India_Index_Upto_April23__1___14[[#This Row],[Miscellaneous]],All_India_Index_Upto_April23__1___14[[#This Row],[Personal care and effects]],All_India_Index_Upto_April23__1___14[[#This Row],[Education]],All_India_Index_Upto_April23__1___14[[#This Row],[Recreation and amusement]])</f>
        <v>133.75</v>
      </c>
      <c r="AH176" s="12">
        <f>SUM(All_India_Index_Upto_April23__1___14[[#This Row],[Cereals and products]:[Pan, tobacco and intoxicants]])</f>
        <v>1969.8000000000002</v>
      </c>
      <c r="AI176" s="12">
        <f>SUM(All_India_Index_Upto_April23__1___14[[#This Row],[Household goods and services]],All_India_Index_Upto_April23__1___14[[#This Row],[Housing]])</f>
        <v>278.67096774193567</v>
      </c>
      <c r="AJ176" s="12">
        <f>All_India_Index_Upto_April23__1___14[[#This Row],[Clothing]]+All_India_Index_Upto_April23__1___14[[#This Row],[Footwear]]</f>
        <v>289.7</v>
      </c>
      <c r="AK176" s="12">
        <f>All_India_Index_Upto_April23__1___14[[#This Row],[Miscellaneous]]+All_India_Index_Upto_April23__1___14[[#This Row],[Personal care and effects]]+All_India_Index_Upto_April23__1___14[[#This Row],[Education]]+All_India_Index_Upto_April23__1___14[[#This Row],[Recreation and amusement]]</f>
        <v>535</v>
      </c>
      <c r="AL17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3471.6709677419358</v>
      </c>
    </row>
    <row r="177" spans="1:38" hidden="1" x14ac:dyDescent="0.3">
      <c r="A177" t="s">
        <v>32</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s="12">
        <f>AVERAGE(All_India_Index_Upto_April23__1___14[[#This Row],[Cereals and products]:[Pan, tobacco and intoxicants]])</f>
        <v>139.49285714285716</v>
      </c>
      <c r="AF177" s="12">
        <f>AVERAGE(All_India_Index_Upto_April23__1___14[[#This Row],[Household goods and services]],All_India_Index_Upto_April23__1___14[[#This Row],[Housing]])</f>
        <v>133.69999999999999</v>
      </c>
      <c r="AG177" s="12">
        <f>AVERAGE(All_India_Index_Upto_April23__1___14[[#This Row],[Miscellaneous]],All_India_Index_Upto_April23__1___14[[#This Row],[Personal care and effects]],All_India_Index_Upto_April23__1___14[[#This Row],[Education]],All_India_Index_Upto_April23__1___14[[#This Row],[Recreation and amusement]])</f>
        <v>127.875</v>
      </c>
      <c r="AH177" s="12">
        <f>SUM(All_India_Index_Upto_April23__1___14[[#This Row],[Cereals and products]:[Pan, tobacco and intoxicants]])</f>
        <v>1952.9</v>
      </c>
      <c r="AI177" s="12">
        <f>SUM(All_India_Index_Upto_April23__1___14[[#This Row],[Household goods and services]],All_India_Index_Upto_April23__1___14[[#This Row],[Housing]])</f>
        <v>267.39999999999998</v>
      </c>
      <c r="AJ177" s="12">
        <f>All_India_Index_Upto_April23__1___14[[#This Row],[Clothing]]+All_India_Index_Upto_April23__1___14[[#This Row],[Footwear]]</f>
        <v>260.39999999999998</v>
      </c>
      <c r="AK177" s="12">
        <f>All_India_Index_Upto_April23__1___14[[#This Row],[Miscellaneous]]+All_India_Index_Upto_April23__1___14[[#This Row],[Personal care and effects]]+All_India_Index_Upto_April23__1___14[[#This Row],[Education]]+All_India_Index_Upto_April23__1___14[[#This Row],[Recreation and amusement]]</f>
        <v>511.5</v>
      </c>
      <c r="AL17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3360.6</v>
      </c>
    </row>
    <row r="178" spans="1:38" hidden="1" x14ac:dyDescent="0.3">
      <c r="A178" t="s">
        <v>33</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s="12">
        <f>AVERAGE(All_India_Index_Upto_April23__1___14[[#This Row],[Cereals and products]:[Pan, tobacco and intoxicants]])</f>
        <v>140.1</v>
      </c>
      <c r="AF178" s="12">
        <f>AVERAGE(All_India_Index_Upto_April23__1___14[[#This Row],[Household goods and services]],All_India_Index_Upto_April23__1___14[[#This Row],[Housing]])</f>
        <v>136.5</v>
      </c>
      <c r="AG178" s="12">
        <f>AVERAGE(All_India_Index_Upto_April23__1___14[[#This Row],[Miscellaneous]],All_India_Index_Upto_April23__1___14[[#This Row],[Personal care and effects]],All_India_Index_Upto_April23__1___14[[#This Row],[Education]],All_India_Index_Upto_April23__1___14[[#This Row],[Recreation and amusement]])</f>
        <v>130.67499999999998</v>
      </c>
      <c r="AH178" s="12">
        <f>SUM(All_India_Index_Upto_April23__1___14[[#This Row],[Cereals and products]:[Pan, tobacco and intoxicants]])</f>
        <v>1961.4</v>
      </c>
      <c r="AI178" s="12">
        <f>SUM(All_India_Index_Upto_April23__1___14[[#This Row],[Household goods and services]],All_India_Index_Upto_April23__1___14[[#This Row],[Housing]])</f>
        <v>273</v>
      </c>
      <c r="AJ178" s="12">
        <f>All_India_Index_Upto_April23__1___14[[#This Row],[Clothing]]+All_India_Index_Upto_April23__1___14[[#This Row],[Footwear]]</f>
        <v>277.8</v>
      </c>
      <c r="AK178" s="12">
        <f>All_India_Index_Upto_April23__1___14[[#This Row],[Miscellaneous]]+All_India_Index_Upto_April23__1___14[[#This Row],[Personal care and effects]]+All_India_Index_Upto_April23__1___14[[#This Row],[Education]]+All_India_Index_Upto_April23__1___14[[#This Row],[Recreation and amusement]]</f>
        <v>522.69999999999993</v>
      </c>
      <c r="AL17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3421.1000000000004</v>
      </c>
    </row>
    <row r="179" spans="1:38" hidden="1"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s="12">
        <f>'Handle Missing Value Sheet only'!$F$5</f>
        <v>139.27096774193564</v>
      </c>
      <c r="V179">
        <v>142.6</v>
      </c>
      <c r="W179">
        <v>139.5</v>
      </c>
      <c r="X179">
        <v>136.1</v>
      </c>
      <c r="Y179">
        <v>122</v>
      </c>
      <c r="Z179">
        <v>133.4</v>
      </c>
      <c r="AA179">
        <v>141.1</v>
      </c>
      <c r="AB179">
        <v>127.8</v>
      </c>
      <c r="AC179">
        <v>131.9</v>
      </c>
      <c r="AD179">
        <v>139.80000000000001</v>
      </c>
      <c r="AE179" s="12">
        <f>AVERAGE(All_India_Index_Upto_April23__1___14[[#This Row],[Cereals and products]:[Pan, tobacco and intoxicants]])</f>
        <v>140.48571428571429</v>
      </c>
      <c r="AF179" s="12">
        <f>AVERAGE(All_India_Index_Upto_April23__1___14[[#This Row],[Household goods and services]],All_India_Index_Upto_April23__1___14[[#This Row],[Housing]])</f>
        <v>139.38548387096782</v>
      </c>
      <c r="AG179" s="12">
        <f>AVERAGE(All_India_Index_Upto_April23__1___14[[#This Row],[Miscellaneous]],All_India_Index_Upto_April23__1___14[[#This Row],[Personal care and effects]],All_India_Index_Upto_April23__1___14[[#This Row],[Education]],All_India_Index_Upto_April23__1___14[[#This Row],[Recreation and amusement]])</f>
        <v>133.54999999999998</v>
      </c>
      <c r="AH179" s="12">
        <f>SUM(All_India_Index_Upto_April23__1___14[[#This Row],[Cereals and products]:[Pan, tobacco and intoxicants]])</f>
        <v>1966.8000000000002</v>
      </c>
      <c r="AI179" s="12">
        <f>SUM(All_India_Index_Upto_April23__1___14[[#This Row],[Household goods and services]],All_India_Index_Upto_April23__1___14[[#This Row],[Housing]])</f>
        <v>278.77096774193564</v>
      </c>
      <c r="AJ179" s="12">
        <f>All_India_Index_Upto_April23__1___14[[#This Row],[Clothing]]+All_India_Index_Upto_April23__1___14[[#This Row],[Footwear]]</f>
        <v>289.89999999999998</v>
      </c>
      <c r="AK179" s="12">
        <f>All_India_Index_Upto_April23__1___14[[#This Row],[Miscellaneous]]+All_India_Index_Upto_April23__1___14[[#This Row],[Personal care and effects]]+All_India_Index_Upto_April23__1___14[[#This Row],[Education]]+All_India_Index_Upto_April23__1___14[[#This Row],[Recreation and amusement]]</f>
        <v>534.19999999999993</v>
      </c>
      <c r="AL17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3470.3709677419356</v>
      </c>
    </row>
    <row r="180" spans="1:38" hidden="1" x14ac:dyDescent="0.3">
      <c r="A180" t="s">
        <v>32</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s="12">
        <f>AVERAGE(All_India_Index_Upto_April23__1___14[[#This Row],[Cereals and products]:[Pan, tobacco and intoxicants]])</f>
        <v>137.46428571428572</v>
      </c>
      <c r="AF180" s="12">
        <f>AVERAGE(All_India_Index_Upto_April23__1___14[[#This Row],[Household goods and services]],All_India_Index_Upto_April23__1___14[[#This Row],[Housing]])</f>
        <v>134.19999999999999</v>
      </c>
      <c r="AG180" s="12">
        <f>AVERAGE(All_India_Index_Upto_April23__1___14[[#This Row],[Miscellaneous]],All_India_Index_Upto_April23__1___14[[#This Row],[Personal care and effects]],All_India_Index_Upto_April23__1___14[[#This Row],[Education]],All_India_Index_Upto_April23__1___14[[#This Row],[Recreation and amusement]])</f>
        <v>128</v>
      </c>
      <c r="AH180" s="12">
        <f>SUM(All_India_Index_Upto_April23__1___14[[#This Row],[Cereals and products]:[Pan, tobacco and intoxicants]])</f>
        <v>1924.5</v>
      </c>
      <c r="AI180" s="12">
        <f>SUM(All_India_Index_Upto_April23__1___14[[#This Row],[Household goods and services]],All_India_Index_Upto_April23__1___14[[#This Row],[Housing]])</f>
        <v>268.39999999999998</v>
      </c>
      <c r="AJ180" s="12">
        <f>All_India_Index_Upto_April23__1___14[[#This Row],[Clothing]]+All_India_Index_Upto_April23__1___14[[#This Row],[Footwear]]</f>
        <v>261.2</v>
      </c>
      <c r="AK180" s="12">
        <f>All_India_Index_Upto_April23__1___14[[#This Row],[Miscellaneous]]+All_India_Index_Upto_April23__1___14[[#This Row],[Personal care and effects]]+All_India_Index_Upto_April23__1___14[[#This Row],[Education]]+All_India_Index_Upto_April23__1___14[[#This Row],[Recreation and amusement]]</f>
        <v>512</v>
      </c>
      <c r="AL18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3336.4</v>
      </c>
    </row>
    <row r="181" spans="1:38" hidden="1" x14ac:dyDescent="0.3">
      <c r="A181" t="s">
        <v>33</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s="12">
        <f>AVERAGE(All_India_Index_Upto_April23__1___14[[#This Row],[Cereals and products]:[Pan, tobacco and intoxicants]])</f>
        <v>139.22857142857143</v>
      </c>
      <c r="AF181" s="12">
        <f>AVERAGE(All_India_Index_Upto_April23__1___14[[#This Row],[Household goods and services]],All_India_Index_Upto_April23__1___14[[#This Row],[Housing]])</f>
        <v>136.89999999999998</v>
      </c>
      <c r="AG181" s="12">
        <f>AVERAGE(All_India_Index_Upto_April23__1___14[[#This Row],[Miscellaneous]],All_India_Index_Upto_April23__1___14[[#This Row],[Personal care and effects]],All_India_Index_Upto_April23__1___14[[#This Row],[Education]],All_India_Index_Upto_April23__1___14[[#This Row],[Recreation and amusement]])</f>
        <v>130.65</v>
      </c>
      <c r="AH181" s="12">
        <f>SUM(All_India_Index_Upto_April23__1___14[[#This Row],[Cereals and products]:[Pan, tobacco and intoxicants]])</f>
        <v>1949.1999999999998</v>
      </c>
      <c r="AI181" s="12">
        <f>SUM(All_India_Index_Upto_April23__1___14[[#This Row],[Household goods and services]],All_India_Index_Upto_April23__1___14[[#This Row],[Housing]])</f>
        <v>273.79999999999995</v>
      </c>
      <c r="AJ181" s="12">
        <f>All_India_Index_Upto_April23__1___14[[#This Row],[Clothing]]+All_India_Index_Upto_April23__1___14[[#This Row],[Footwear]]</f>
        <v>278.2</v>
      </c>
      <c r="AK181" s="12">
        <f>All_India_Index_Upto_April23__1___14[[#This Row],[Miscellaneous]]+All_India_Index_Upto_April23__1___14[[#This Row],[Personal care and effects]]+All_India_Index_Upto_April23__1___14[[#This Row],[Education]]+All_India_Index_Upto_April23__1___14[[#This Row],[Recreation and amusement]]</f>
        <v>522.6</v>
      </c>
      <c r="AL18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3411.9999999999995</v>
      </c>
    </row>
    <row r="182" spans="1:38"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s="12">
        <f>'Handle Missing Value Sheet only'!$F$5</f>
        <v>139.27096774193564</v>
      </c>
      <c r="V182">
        <v>142.30000000000001</v>
      </c>
      <c r="W182">
        <v>139.80000000000001</v>
      </c>
      <c r="X182">
        <v>136</v>
      </c>
      <c r="Y182">
        <v>122.7</v>
      </c>
      <c r="Z182">
        <v>134.30000000000001</v>
      </c>
      <c r="AA182">
        <v>141.6</v>
      </c>
      <c r="AB182">
        <v>128.6</v>
      </c>
      <c r="AC182">
        <v>132.30000000000001</v>
      </c>
      <c r="AD182">
        <v>139.30000000000001</v>
      </c>
      <c r="AE182" s="12">
        <f>AVERAGE(All_India_Index_Upto_April23__1___14[[#This Row],[Cereals and products]:[Pan, tobacco and intoxicants]])</f>
        <v>139.59285714285713</v>
      </c>
      <c r="AF182" s="12">
        <f>AVERAGE(All_India_Index_Upto_April23__1___14[[#This Row],[Household goods and services]],All_India_Index_Upto_April23__1___14[[#This Row],[Housing]])</f>
        <v>139.53548387096782</v>
      </c>
      <c r="AG182" s="12">
        <f>AVERAGE(All_India_Index_Upto_April23__1___14[[#This Row],[Miscellaneous]],All_India_Index_Upto_April23__1___14[[#This Row],[Personal care and effects]],All_India_Index_Upto_April23__1___14[[#This Row],[Education]],All_India_Index_Upto_April23__1___14[[#This Row],[Recreation and amusement]])</f>
        <v>134.19999999999999</v>
      </c>
      <c r="AH182" s="12">
        <f>SUM(All_India_Index_Upto_April23__1___14[[#This Row],[Cereals and products]:[Pan, tobacco and intoxicants]])</f>
        <v>1954.3</v>
      </c>
      <c r="AI182" s="12">
        <f>SUM(All_India_Index_Upto_April23__1___14[[#This Row],[Household goods and services]],All_India_Index_Upto_April23__1___14[[#This Row],[Housing]])</f>
        <v>279.07096774193565</v>
      </c>
      <c r="AJ182" s="12">
        <f>All_India_Index_Upto_April23__1___14[[#This Row],[Clothing]]+All_India_Index_Upto_April23__1___14[[#This Row],[Footwear]]</f>
        <v>290.60000000000002</v>
      </c>
      <c r="AK182" s="12">
        <f>All_India_Index_Upto_April23__1___14[[#This Row],[Miscellaneous]]+All_India_Index_Upto_April23__1___14[[#This Row],[Personal care and effects]]+All_India_Index_Upto_April23__1___14[[#This Row],[Education]]+All_India_Index_Upto_April23__1___14[[#This Row],[Recreation and amusement]]</f>
        <v>536.79999999999995</v>
      </c>
      <c r="AL18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3461.7709677419352</v>
      </c>
    </row>
    <row r="183" spans="1:38" hidden="1" x14ac:dyDescent="0.3">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s="12">
        <f>AVERAGE(All_India_Index_Upto_April23__1___14[[#This Row],[Cereals and products]:[Pan, tobacco and intoxicants]])</f>
        <v>136.14285714285717</v>
      </c>
      <c r="AF183" s="12">
        <f>AVERAGE(All_India_Index_Upto_April23__1___14[[#This Row],[Household goods and services]],All_India_Index_Upto_April23__1___14[[#This Row],[Housing]])</f>
        <v>134.94999999999999</v>
      </c>
      <c r="AG183" s="12">
        <f>AVERAGE(All_India_Index_Upto_April23__1___14[[#This Row],[Miscellaneous]],All_India_Index_Upto_April23__1___14[[#This Row],[Personal care and effects]],All_India_Index_Upto_April23__1___14[[#This Row],[Education]],All_India_Index_Upto_April23__1___14[[#This Row],[Recreation and amusement]])</f>
        <v>128.65</v>
      </c>
      <c r="AH183" s="12">
        <f>SUM(All_India_Index_Upto_April23__1___14[[#This Row],[Cereals and products]:[Pan, tobacco and intoxicants]])</f>
        <v>1906.0000000000002</v>
      </c>
      <c r="AI183" s="12">
        <f>SUM(All_India_Index_Upto_April23__1___14[[#This Row],[Household goods and services]],All_India_Index_Upto_April23__1___14[[#This Row],[Housing]])</f>
        <v>269.89999999999998</v>
      </c>
      <c r="AJ183" s="12">
        <f>All_India_Index_Upto_April23__1___14[[#This Row],[Clothing]]+All_India_Index_Upto_April23__1___14[[#This Row],[Footwear]]</f>
        <v>261.89999999999998</v>
      </c>
      <c r="AK183" s="12">
        <f>All_India_Index_Upto_April23__1___14[[#This Row],[Miscellaneous]]+All_India_Index_Upto_April23__1___14[[#This Row],[Personal care and effects]]+All_India_Index_Upto_April23__1___14[[#This Row],[Education]]+All_India_Index_Upto_April23__1___14[[#This Row],[Recreation and amusement]]</f>
        <v>514.6</v>
      </c>
      <c r="AL18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3325.0000000000009</v>
      </c>
    </row>
    <row r="184" spans="1:38" hidden="1" x14ac:dyDescent="0.3">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s="12">
        <f>AVERAGE(All_India_Index_Upto_April23__1___14[[#This Row],[Cereals and products]:[Pan, tobacco and intoxicants]])</f>
        <v>138.18571428571428</v>
      </c>
      <c r="AF184" s="12">
        <f>AVERAGE(All_India_Index_Upto_April23__1___14[[#This Row],[Household goods and services]],All_India_Index_Upto_April23__1___14[[#This Row],[Housing]])</f>
        <v>137.65</v>
      </c>
      <c r="AG184" s="12">
        <f>AVERAGE(All_India_Index_Upto_April23__1___14[[#This Row],[Miscellaneous]],All_India_Index_Upto_April23__1___14[[#This Row],[Personal care and effects]],All_India_Index_Upto_April23__1___14[[#This Row],[Education]],All_India_Index_Upto_April23__1___14[[#This Row],[Recreation and amusement]])</f>
        <v>131.27499999999998</v>
      </c>
      <c r="AH184" s="12">
        <f>SUM(All_India_Index_Upto_April23__1___14[[#This Row],[Cereals and products]:[Pan, tobacco and intoxicants]])</f>
        <v>1934.6000000000001</v>
      </c>
      <c r="AI184" s="12">
        <f>SUM(All_India_Index_Upto_April23__1___14[[#This Row],[Household goods and services]],All_India_Index_Upto_April23__1___14[[#This Row],[Housing]])</f>
        <v>275.3</v>
      </c>
      <c r="AJ184" s="12">
        <f>All_India_Index_Upto_April23__1___14[[#This Row],[Clothing]]+All_India_Index_Upto_April23__1___14[[#This Row],[Footwear]]</f>
        <v>279</v>
      </c>
      <c r="AK184" s="12">
        <f>All_India_Index_Upto_April23__1___14[[#This Row],[Miscellaneous]]+All_India_Index_Upto_April23__1___14[[#This Row],[Personal care and effects]]+All_India_Index_Upto_April23__1___14[[#This Row],[Education]]+All_India_Index_Upto_April23__1___14[[#This Row],[Recreation and amusement]]</f>
        <v>525.09999999999991</v>
      </c>
      <c r="AL18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3403.2000000000003</v>
      </c>
    </row>
    <row r="185" spans="1:38" hidden="1" x14ac:dyDescent="0.3">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s="12">
        <f>'Handle Missing Value Sheet only'!$F$5</f>
        <v>139.27096774193564</v>
      </c>
      <c r="V185">
        <v>142.4</v>
      </c>
      <c r="W185">
        <v>139.9</v>
      </c>
      <c r="X185">
        <v>136.19999999999999</v>
      </c>
      <c r="Y185">
        <v>123.3</v>
      </c>
      <c r="Z185">
        <v>134.30000000000001</v>
      </c>
      <c r="AA185">
        <v>141.5</v>
      </c>
      <c r="AB185">
        <v>128.80000000000001</v>
      </c>
      <c r="AC185">
        <v>132.5</v>
      </c>
      <c r="AD185">
        <v>138.5</v>
      </c>
      <c r="AE185" s="12">
        <f>AVERAGE(All_India_Index_Upto_April23__1___14[[#This Row],[Cereals and products]:[Pan, tobacco and intoxicants]])</f>
        <v>138.19999999999999</v>
      </c>
      <c r="AF185" s="12">
        <f>AVERAGE(All_India_Index_Upto_April23__1___14[[#This Row],[Household goods and services]],All_India_Index_Upto_April23__1___14[[#This Row],[Housing]])</f>
        <v>139.58548387096783</v>
      </c>
      <c r="AG185" s="12">
        <f>AVERAGE(All_India_Index_Upto_April23__1___14[[#This Row],[Miscellaneous]],All_India_Index_Upto_April23__1___14[[#This Row],[Personal care and effects]],All_India_Index_Upto_April23__1___14[[#This Row],[Education]],All_India_Index_Upto_April23__1___14[[#This Row],[Recreation and amusement]])</f>
        <v>134.27500000000001</v>
      </c>
      <c r="AH185" s="12">
        <f>SUM(All_India_Index_Upto_April23__1___14[[#This Row],[Cereals and products]:[Pan, tobacco and intoxicants]])</f>
        <v>1934.8</v>
      </c>
      <c r="AI185" s="12">
        <f>SUM(All_India_Index_Upto_April23__1___14[[#This Row],[Household goods and services]],All_India_Index_Upto_April23__1___14[[#This Row],[Housing]])</f>
        <v>279.17096774193567</v>
      </c>
      <c r="AJ185" s="12">
        <f>All_India_Index_Upto_April23__1___14[[#This Row],[Clothing]]+All_India_Index_Upto_April23__1___14[[#This Row],[Footwear]]</f>
        <v>291.10000000000002</v>
      </c>
      <c r="AK185" s="12">
        <f>All_India_Index_Upto_April23__1___14[[#This Row],[Miscellaneous]]+All_India_Index_Upto_April23__1___14[[#This Row],[Personal care and effects]]+All_India_Index_Upto_April23__1___14[[#This Row],[Education]]+All_India_Index_Upto_April23__1___14[[#This Row],[Recreation and amusement]]</f>
        <v>537.1</v>
      </c>
      <c r="AL18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3444.0709677419359</v>
      </c>
    </row>
    <row r="186" spans="1:38" hidden="1" x14ac:dyDescent="0.3">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s="12">
        <f>AVERAGE(All_India_Index_Upto_April23__1___14[[#This Row],[Cereals and products]:[Pan, tobacco and intoxicants]])</f>
        <v>134.80000000000001</v>
      </c>
      <c r="AF186" s="12">
        <f>AVERAGE(All_India_Index_Upto_April23__1___14[[#This Row],[Household goods and services]],All_India_Index_Upto_April23__1___14[[#This Row],[Housing]])</f>
        <v>135.60000000000002</v>
      </c>
      <c r="AG186" s="12">
        <f>AVERAGE(All_India_Index_Upto_April23__1___14[[#This Row],[Miscellaneous]],All_India_Index_Upto_April23__1___14[[#This Row],[Personal care and effects]],All_India_Index_Upto_April23__1___14[[#This Row],[Education]],All_India_Index_Upto_April23__1___14[[#This Row],[Recreation and amusement]])</f>
        <v>129.1</v>
      </c>
      <c r="AH186" s="12">
        <f>SUM(All_India_Index_Upto_April23__1___14[[#This Row],[Cereals and products]:[Pan, tobacco and intoxicants]])</f>
        <v>1887.2</v>
      </c>
      <c r="AI186" s="12">
        <f>SUM(All_India_Index_Upto_April23__1___14[[#This Row],[Household goods and services]],All_India_Index_Upto_April23__1___14[[#This Row],[Housing]])</f>
        <v>271.20000000000005</v>
      </c>
      <c r="AJ186" s="12">
        <f>All_India_Index_Upto_April23__1___14[[#This Row],[Clothing]]+All_India_Index_Upto_April23__1___14[[#This Row],[Footwear]]</f>
        <v>262.39999999999998</v>
      </c>
      <c r="AK186" s="12">
        <f>All_India_Index_Upto_April23__1___14[[#This Row],[Miscellaneous]]+All_India_Index_Upto_April23__1___14[[#This Row],[Personal care and effects]]+All_India_Index_Upto_April23__1___14[[#This Row],[Education]]+All_India_Index_Upto_April23__1___14[[#This Row],[Recreation and amusement]]</f>
        <v>516.4</v>
      </c>
      <c r="AL18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3311.7000000000003</v>
      </c>
    </row>
    <row r="187" spans="1:38" hidden="1" x14ac:dyDescent="0.3">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s="12">
        <f>AVERAGE(All_India_Index_Upto_April23__1___14[[#This Row],[Cereals and products]:[Pan, tobacco and intoxicants]])</f>
        <v>136.80714285714285</v>
      </c>
      <c r="AF187" s="12">
        <f>AVERAGE(All_India_Index_Upto_April23__1___14[[#This Row],[Household goods and services]],All_India_Index_Upto_April23__1___14[[#This Row],[Housing]])</f>
        <v>138.25</v>
      </c>
      <c r="AG187" s="12">
        <f>AVERAGE(All_India_Index_Upto_April23__1___14[[#This Row],[Miscellaneous]],All_India_Index_Upto_April23__1___14[[#This Row],[Personal care and effects]],All_India_Index_Upto_April23__1___14[[#This Row],[Education]],All_India_Index_Upto_April23__1___14[[#This Row],[Recreation and amusement]])</f>
        <v>131.55000000000001</v>
      </c>
      <c r="AH187" s="12">
        <f>SUM(All_India_Index_Upto_April23__1___14[[#This Row],[Cereals and products]:[Pan, tobacco and intoxicants]])</f>
        <v>1915.2999999999997</v>
      </c>
      <c r="AI187" s="12">
        <f>SUM(All_India_Index_Upto_April23__1___14[[#This Row],[Household goods and services]],All_India_Index_Upto_April23__1___14[[#This Row],[Housing]])</f>
        <v>276.5</v>
      </c>
      <c r="AJ187" s="12">
        <f>All_India_Index_Upto_April23__1___14[[#This Row],[Clothing]]+All_India_Index_Upto_April23__1___14[[#This Row],[Footwear]]</f>
        <v>279.39999999999998</v>
      </c>
      <c r="AK187" s="12">
        <f>All_India_Index_Upto_April23__1___14[[#This Row],[Miscellaneous]]+All_India_Index_Upto_April23__1___14[[#This Row],[Personal care and effects]]+All_India_Index_Upto_April23__1___14[[#This Row],[Education]]+All_India_Index_Upto_April23__1___14[[#This Row],[Recreation and amusement]]</f>
        <v>526.20000000000005</v>
      </c>
      <c r="AL18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3388.0999999999995</v>
      </c>
    </row>
    <row r="188" spans="1:38" hidden="1" x14ac:dyDescent="0.3">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s="12">
        <f>'Handle Missing Value Sheet only'!$F$5</f>
        <v>139.27096774193564</v>
      </c>
      <c r="V188">
        <v>142.6</v>
      </c>
      <c r="W188">
        <v>139.9</v>
      </c>
      <c r="X188">
        <v>136.69999999999999</v>
      </c>
      <c r="Y188">
        <v>124.6</v>
      </c>
      <c r="Z188">
        <v>135.1</v>
      </c>
      <c r="AA188">
        <v>142.69999999999999</v>
      </c>
      <c r="AB188">
        <v>129.30000000000001</v>
      </c>
      <c r="AC188">
        <v>133.30000000000001</v>
      </c>
      <c r="AD188">
        <v>138.69999999999999</v>
      </c>
      <c r="AE188" s="12">
        <f>AVERAGE(All_India_Index_Upto_April23__1___14[[#This Row],[Cereals and products]:[Pan, tobacco and intoxicants]])</f>
        <v>138.3642857142857</v>
      </c>
      <c r="AF188" s="12">
        <f>AVERAGE(All_India_Index_Upto_April23__1___14[[#This Row],[Household goods and services]],All_India_Index_Upto_April23__1___14[[#This Row],[Housing]])</f>
        <v>139.58548387096783</v>
      </c>
      <c r="AG188" s="12">
        <f>AVERAGE(All_India_Index_Upto_April23__1___14[[#This Row],[Miscellaneous]],All_India_Index_Upto_April23__1___14[[#This Row],[Personal care and effects]],All_India_Index_Upto_April23__1___14[[#This Row],[Education]],All_India_Index_Upto_April23__1___14[[#This Row],[Recreation and amusement]])</f>
        <v>135.1</v>
      </c>
      <c r="AH188" s="12">
        <f>SUM(All_India_Index_Upto_April23__1___14[[#This Row],[Cereals and products]:[Pan, tobacco and intoxicants]])</f>
        <v>1937.0999999999997</v>
      </c>
      <c r="AI188" s="12">
        <f>SUM(All_India_Index_Upto_April23__1___14[[#This Row],[Household goods and services]],All_India_Index_Upto_April23__1___14[[#This Row],[Housing]])</f>
        <v>279.17096774193567</v>
      </c>
      <c r="AJ188" s="12">
        <f>All_India_Index_Upto_April23__1___14[[#This Row],[Clothing]]+All_India_Index_Upto_April23__1___14[[#This Row],[Footwear]]</f>
        <v>292.2</v>
      </c>
      <c r="AK188" s="12">
        <f>All_India_Index_Upto_April23__1___14[[#This Row],[Miscellaneous]]+All_India_Index_Upto_April23__1___14[[#This Row],[Personal care and effects]]+All_India_Index_Upto_April23__1___14[[#This Row],[Education]]+All_India_Index_Upto_April23__1___14[[#This Row],[Recreation and amusement]]</f>
        <v>540.4</v>
      </c>
      <c r="AL18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3452.7709677419352</v>
      </c>
    </row>
    <row r="189" spans="1:38" hidden="1" x14ac:dyDescent="0.3">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s="12">
        <f>AVERAGE(All_India_Index_Upto_April23__1___14[[#This Row],[Cereals and products]:[Pan, tobacco and intoxicants]])</f>
        <v>133.94285714285715</v>
      </c>
      <c r="AF189" s="12">
        <f>AVERAGE(All_India_Index_Upto_April23__1___14[[#This Row],[Household goods and services]],All_India_Index_Upto_April23__1___14[[#This Row],[Housing]])</f>
        <v>136.4</v>
      </c>
      <c r="AG189" s="12">
        <f>AVERAGE(All_India_Index_Upto_April23__1___14[[#This Row],[Miscellaneous]],All_India_Index_Upto_April23__1___14[[#This Row],[Personal care and effects]],All_India_Index_Upto_April23__1___14[[#This Row],[Education]],All_India_Index_Upto_April23__1___14[[#This Row],[Recreation and amusement]])</f>
        <v>129.6</v>
      </c>
      <c r="AH189" s="12">
        <f>SUM(All_India_Index_Upto_April23__1___14[[#This Row],[Cereals and products]:[Pan, tobacco and intoxicants]])</f>
        <v>1875.2</v>
      </c>
      <c r="AI189" s="12">
        <f>SUM(All_India_Index_Upto_April23__1___14[[#This Row],[Household goods and services]],All_India_Index_Upto_April23__1___14[[#This Row],[Housing]])</f>
        <v>272.8</v>
      </c>
      <c r="AJ189" s="12">
        <f>All_India_Index_Upto_April23__1___14[[#This Row],[Clothing]]+All_India_Index_Upto_April23__1___14[[#This Row],[Footwear]]</f>
        <v>263.39999999999998</v>
      </c>
      <c r="AK189" s="12">
        <f>All_India_Index_Upto_April23__1___14[[#This Row],[Miscellaneous]]+All_India_Index_Upto_April23__1___14[[#This Row],[Personal care and effects]]+All_India_Index_Upto_April23__1___14[[#This Row],[Education]]+All_India_Index_Upto_April23__1___14[[#This Row],[Recreation and amusement]]</f>
        <v>518.4</v>
      </c>
      <c r="AL18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3304.5000000000005</v>
      </c>
    </row>
    <row r="190" spans="1:38" hidden="1" x14ac:dyDescent="0.3">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s="12">
        <f>AVERAGE(All_India_Index_Upto_April23__1___14[[#This Row],[Cereals and products]:[Pan, tobacco and intoxicants]])</f>
        <v>136.59285714285713</v>
      </c>
      <c r="AF190" s="12">
        <f>AVERAGE(All_India_Index_Upto_April23__1___14[[#This Row],[Household goods and services]],All_India_Index_Upto_April23__1___14[[#This Row],[Housing]])</f>
        <v>138.80000000000001</v>
      </c>
      <c r="AG190" s="12">
        <f>AVERAGE(All_India_Index_Upto_April23__1___14[[#This Row],[Miscellaneous]],All_India_Index_Upto_April23__1___14[[#This Row],[Personal care and effects]],All_India_Index_Upto_April23__1___14[[#This Row],[Education]],All_India_Index_Upto_April23__1___14[[#This Row],[Recreation and amusement]])</f>
        <v>132.17500000000001</v>
      </c>
      <c r="AH190" s="12">
        <f>SUM(All_India_Index_Upto_April23__1___14[[#This Row],[Cereals and products]:[Pan, tobacco and intoxicants]])</f>
        <v>1912.3</v>
      </c>
      <c r="AI190" s="12">
        <f>SUM(All_India_Index_Upto_April23__1___14[[#This Row],[Household goods and services]],All_India_Index_Upto_April23__1___14[[#This Row],[Housing]])</f>
        <v>277.60000000000002</v>
      </c>
      <c r="AJ190" s="12">
        <f>All_India_Index_Upto_April23__1___14[[#This Row],[Clothing]]+All_India_Index_Upto_April23__1___14[[#This Row],[Footwear]]</f>
        <v>280.5</v>
      </c>
      <c r="AK190" s="12">
        <f>All_India_Index_Upto_April23__1___14[[#This Row],[Miscellaneous]]+All_India_Index_Upto_April23__1___14[[#This Row],[Personal care and effects]]+All_India_Index_Upto_April23__1___14[[#This Row],[Education]]+All_India_Index_Upto_April23__1___14[[#This Row],[Recreation and amusement]]</f>
        <v>528.70000000000005</v>
      </c>
      <c r="AL19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3390.9000000000005</v>
      </c>
    </row>
    <row r="191" spans="1:38" hidden="1" x14ac:dyDescent="0.3">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s="12">
        <f>'Handle Missing Value Sheet only'!$F$5</f>
        <v>139.27096774193564</v>
      </c>
      <c r="V191">
        <v>143.80000000000001</v>
      </c>
      <c r="W191">
        <v>140.9</v>
      </c>
      <c r="X191">
        <v>137.6</v>
      </c>
      <c r="Y191">
        <v>125.3</v>
      </c>
      <c r="Z191">
        <v>136</v>
      </c>
      <c r="AA191">
        <v>143.69999999999999</v>
      </c>
      <c r="AB191">
        <v>130.4</v>
      </c>
      <c r="AC191">
        <v>134.19999999999999</v>
      </c>
      <c r="AD191">
        <v>139.1</v>
      </c>
      <c r="AE191" s="12">
        <f>AVERAGE(All_India_Index_Upto_April23__1___14[[#This Row],[Cereals and products]:[Pan, tobacco and intoxicants]])</f>
        <v>138.29285714285714</v>
      </c>
      <c r="AF191" s="12">
        <f>AVERAGE(All_India_Index_Upto_April23__1___14[[#This Row],[Household goods and services]],All_India_Index_Upto_April23__1___14[[#This Row],[Housing]])</f>
        <v>140.08548387096783</v>
      </c>
      <c r="AG191" s="12">
        <f>AVERAGE(All_India_Index_Upto_April23__1___14[[#This Row],[Miscellaneous]],All_India_Index_Upto_April23__1___14[[#This Row],[Personal care and effects]],All_India_Index_Upto_April23__1___14[[#This Row],[Education]],All_India_Index_Upto_April23__1___14[[#This Row],[Recreation and amusement]])</f>
        <v>136.07499999999999</v>
      </c>
      <c r="AH191" s="12">
        <f>SUM(All_India_Index_Upto_April23__1___14[[#This Row],[Cereals and products]:[Pan, tobacco and intoxicants]])</f>
        <v>1936.1</v>
      </c>
      <c r="AI191" s="12">
        <f>SUM(All_India_Index_Upto_April23__1___14[[#This Row],[Household goods and services]],All_India_Index_Upto_April23__1___14[[#This Row],[Housing]])</f>
        <v>280.17096774193567</v>
      </c>
      <c r="AJ191" s="12">
        <f>All_India_Index_Upto_April23__1___14[[#This Row],[Clothing]]+All_India_Index_Upto_April23__1___14[[#This Row],[Footwear]]</f>
        <v>293.39999999999998</v>
      </c>
      <c r="AK191" s="12">
        <f>All_India_Index_Upto_April23__1___14[[#This Row],[Miscellaneous]]+All_India_Index_Upto_April23__1___14[[#This Row],[Personal care and effects]]+All_India_Index_Upto_April23__1___14[[#This Row],[Education]]+All_India_Index_Upto_April23__1___14[[#This Row],[Recreation and amusement]]</f>
        <v>544.29999999999995</v>
      </c>
      <c r="AL19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3460.6709677419358</v>
      </c>
    </row>
    <row r="192" spans="1:38" hidden="1" x14ac:dyDescent="0.3">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s="12">
        <f>AVERAGE(All_India_Index_Upto_April23__1___14[[#This Row],[Cereals and products]:[Pan, tobacco and intoxicants]])</f>
        <v>134.22857142857146</v>
      </c>
      <c r="AF192" s="12">
        <f>AVERAGE(All_India_Index_Upto_April23__1___14[[#This Row],[Household goods and services]],All_India_Index_Upto_April23__1___14[[#This Row],[Housing]])</f>
        <v>137.35000000000002</v>
      </c>
      <c r="AG192" s="12">
        <f>AVERAGE(All_India_Index_Upto_April23__1___14[[#This Row],[Miscellaneous]],All_India_Index_Upto_April23__1___14[[#This Row],[Personal care and effects]],All_India_Index_Upto_April23__1___14[[#This Row],[Education]],All_India_Index_Upto_April23__1___14[[#This Row],[Recreation and amusement]])</f>
        <v>130.77500000000001</v>
      </c>
      <c r="AH192" s="12">
        <f>SUM(All_India_Index_Upto_April23__1___14[[#This Row],[Cereals and products]:[Pan, tobacco and intoxicants]])</f>
        <v>1879.2000000000003</v>
      </c>
      <c r="AI192" s="12">
        <f>SUM(All_India_Index_Upto_April23__1___14[[#This Row],[Household goods and services]],All_India_Index_Upto_April23__1___14[[#This Row],[Housing]])</f>
        <v>274.70000000000005</v>
      </c>
      <c r="AJ192" s="12">
        <f>All_India_Index_Upto_April23__1___14[[#This Row],[Clothing]]+All_India_Index_Upto_April23__1___14[[#This Row],[Footwear]]</f>
        <v>265.20000000000005</v>
      </c>
      <c r="AK192" s="12">
        <f>All_India_Index_Upto_April23__1___14[[#This Row],[Miscellaneous]]+All_India_Index_Upto_April23__1___14[[#This Row],[Personal care and effects]]+All_India_Index_Upto_April23__1___14[[#This Row],[Education]]+All_India_Index_Upto_April23__1___14[[#This Row],[Recreation and amusement]]</f>
        <v>523.1</v>
      </c>
      <c r="AL19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3317.0000000000005</v>
      </c>
    </row>
    <row r="193" spans="1:38" hidden="1" x14ac:dyDescent="0.3">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s="12">
        <f>AVERAGE(All_India_Index_Upto_April23__1___14[[#This Row],[Cereals and products]:[Pan, tobacco and intoxicants]])</f>
        <v>136.71428571428572</v>
      </c>
      <c r="AF193" s="12">
        <f>AVERAGE(All_India_Index_Upto_April23__1___14[[#This Row],[Household goods and services]],All_India_Index_Upto_April23__1___14[[#This Row],[Housing]])</f>
        <v>139.75</v>
      </c>
      <c r="AG193" s="12">
        <f>AVERAGE(All_India_Index_Upto_April23__1___14[[#This Row],[Miscellaneous]],All_India_Index_Upto_April23__1___14[[#This Row],[Personal care and effects]],All_India_Index_Upto_April23__1___14[[#This Row],[Education]],All_India_Index_Upto_April23__1___14[[#This Row],[Recreation and amusement]])</f>
        <v>133.30000000000001</v>
      </c>
      <c r="AH193" s="12">
        <f>SUM(All_India_Index_Upto_April23__1___14[[#This Row],[Cereals and products]:[Pan, tobacco and intoxicants]])</f>
        <v>1914.0000000000002</v>
      </c>
      <c r="AI193" s="12">
        <f>SUM(All_India_Index_Upto_April23__1___14[[#This Row],[Household goods and services]],All_India_Index_Upto_April23__1___14[[#This Row],[Housing]])</f>
        <v>279.5</v>
      </c>
      <c r="AJ193" s="12">
        <f>All_India_Index_Upto_April23__1___14[[#This Row],[Clothing]]+All_India_Index_Upto_April23__1___14[[#This Row],[Footwear]]</f>
        <v>282</v>
      </c>
      <c r="AK193" s="12">
        <f>All_India_Index_Upto_April23__1___14[[#This Row],[Miscellaneous]]+All_India_Index_Upto_April23__1___14[[#This Row],[Personal care and effects]]+All_India_Index_Upto_April23__1___14[[#This Row],[Education]]+All_India_Index_Upto_April23__1___14[[#This Row],[Recreation and amusement]]</f>
        <v>533.20000000000005</v>
      </c>
      <c r="AL19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3402.3</v>
      </c>
    </row>
    <row r="194" spans="1:38" hidden="1" x14ac:dyDescent="0.3">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s="12">
        <f>'Handle Missing Value Sheet only'!$F$5</f>
        <v>139.27096774193564</v>
      </c>
      <c r="V194">
        <v>144.30000000000001</v>
      </c>
      <c r="W194">
        <v>141.80000000000001</v>
      </c>
      <c r="X194">
        <v>138.4</v>
      </c>
      <c r="Y194">
        <v>126.4</v>
      </c>
      <c r="Z194">
        <v>136.80000000000001</v>
      </c>
      <c r="AA194">
        <v>144.4</v>
      </c>
      <c r="AB194">
        <v>131.19999999999999</v>
      </c>
      <c r="AC194">
        <v>135.1</v>
      </c>
      <c r="AD194">
        <v>139.80000000000001</v>
      </c>
      <c r="AE194" s="12">
        <f>AVERAGE(All_India_Index_Upto_April23__1___14[[#This Row],[Cereals and products]:[Pan, tobacco and intoxicants]])</f>
        <v>138.52857142857144</v>
      </c>
      <c r="AF194" s="12">
        <f>AVERAGE(All_India_Index_Upto_April23__1___14[[#This Row],[Household goods and services]],All_India_Index_Upto_April23__1___14[[#This Row],[Housing]])</f>
        <v>140.53548387096782</v>
      </c>
      <c r="AG194" s="12">
        <f>AVERAGE(All_India_Index_Upto_April23__1___14[[#This Row],[Miscellaneous]],All_India_Index_Upto_April23__1___14[[#This Row],[Personal care and effects]],All_India_Index_Upto_April23__1___14[[#This Row],[Education]],All_India_Index_Upto_April23__1___14[[#This Row],[Recreation and amusement]])</f>
        <v>136.875</v>
      </c>
      <c r="AH194" s="12">
        <f>SUM(All_India_Index_Upto_April23__1___14[[#This Row],[Cereals and products]:[Pan, tobacco and intoxicants]])</f>
        <v>1939.4</v>
      </c>
      <c r="AI194" s="12">
        <f>SUM(All_India_Index_Upto_April23__1___14[[#This Row],[Household goods and services]],All_India_Index_Upto_April23__1___14[[#This Row],[Housing]])</f>
        <v>281.07096774193565</v>
      </c>
      <c r="AJ194" s="12">
        <f>All_India_Index_Upto_April23__1___14[[#This Row],[Clothing]]+All_India_Index_Upto_April23__1___14[[#This Row],[Footwear]]</f>
        <v>294.89999999999998</v>
      </c>
      <c r="AK194" s="12">
        <f>All_India_Index_Upto_April23__1___14[[#This Row],[Miscellaneous]]+All_India_Index_Upto_April23__1___14[[#This Row],[Personal care and effects]]+All_India_Index_Upto_April23__1___14[[#This Row],[Education]]+All_India_Index_Upto_April23__1___14[[#This Row],[Recreation and amusement]]</f>
        <v>547.5</v>
      </c>
      <c r="AL19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3471.970967741936</v>
      </c>
    </row>
    <row r="195" spans="1:38" hidden="1" x14ac:dyDescent="0.3">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s="12">
        <f>AVERAGE(All_India_Index_Upto_April23__1___14[[#This Row],[Cereals and products]:[Pan, tobacco and intoxicants]])</f>
        <v>134.51428571428571</v>
      </c>
      <c r="AF195" s="12">
        <f>AVERAGE(All_India_Index_Upto_April23__1___14[[#This Row],[Household goods and services]],All_India_Index_Upto_April23__1___14[[#This Row],[Housing]])</f>
        <v>137.85</v>
      </c>
      <c r="AG195" s="12">
        <f>AVERAGE(All_India_Index_Upto_April23__1___14[[#This Row],[Miscellaneous]],All_India_Index_Upto_April23__1___14[[#This Row],[Personal care and effects]],All_India_Index_Upto_April23__1___14[[#This Row],[Education]],All_India_Index_Upto_April23__1___14[[#This Row],[Recreation and amusement]])</f>
        <v>131.35</v>
      </c>
      <c r="AH195" s="12">
        <f>SUM(All_India_Index_Upto_April23__1___14[[#This Row],[Cereals and products]:[Pan, tobacco and intoxicants]])</f>
        <v>1883.1999999999998</v>
      </c>
      <c r="AI195" s="12">
        <f>SUM(All_India_Index_Upto_April23__1___14[[#This Row],[Household goods and services]],All_India_Index_Upto_April23__1___14[[#This Row],[Housing]])</f>
        <v>275.7</v>
      </c>
      <c r="AJ195" s="12">
        <f>All_India_Index_Upto_April23__1___14[[#This Row],[Clothing]]+All_India_Index_Upto_April23__1___14[[#This Row],[Footwear]]</f>
        <v>266.5</v>
      </c>
      <c r="AK195" s="12">
        <f>All_India_Index_Upto_April23__1___14[[#This Row],[Miscellaneous]]+All_India_Index_Upto_April23__1___14[[#This Row],[Personal care and effects]]+All_India_Index_Upto_April23__1___14[[#This Row],[Education]]+All_India_Index_Upto_April23__1___14[[#This Row],[Recreation and amusement]]</f>
        <v>525.4</v>
      </c>
      <c r="AL19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3327.2999999999997</v>
      </c>
    </row>
    <row r="196" spans="1:38" hidden="1" x14ac:dyDescent="0.3">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s="12">
        <f>AVERAGE(All_India_Index_Upto_April23__1___14[[#This Row],[Cereals and products]:[Pan, tobacco and intoxicants]])</f>
        <v>136.97857142857143</v>
      </c>
      <c r="AF196" s="12">
        <f>AVERAGE(All_India_Index_Upto_April23__1___14[[#This Row],[Household goods and services]],All_India_Index_Upto_April23__1___14[[#This Row],[Housing]])</f>
        <v>140.30000000000001</v>
      </c>
      <c r="AG196" s="12">
        <f>AVERAGE(All_India_Index_Upto_April23__1___14[[#This Row],[Miscellaneous]],All_India_Index_Upto_April23__1___14[[#This Row],[Personal care and effects]],All_India_Index_Upto_April23__1___14[[#This Row],[Education]],All_India_Index_Upto_April23__1___14[[#This Row],[Recreation and amusement]])</f>
        <v>133.97500000000002</v>
      </c>
      <c r="AH196" s="12">
        <f>SUM(All_India_Index_Upto_April23__1___14[[#This Row],[Cereals and products]:[Pan, tobacco and intoxicants]])</f>
        <v>1917.7</v>
      </c>
      <c r="AI196" s="12">
        <f>SUM(All_India_Index_Upto_April23__1___14[[#This Row],[Household goods and services]],All_India_Index_Upto_April23__1___14[[#This Row],[Housing]])</f>
        <v>280.60000000000002</v>
      </c>
      <c r="AJ196" s="12">
        <f>All_India_Index_Upto_April23__1___14[[#This Row],[Clothing]]+All_India_Index_Upto_April23__1___14[[#This Row],[Footwear]]</f>
        <v>283.39999999999998</v>
      </c>
      <c r="AK196" s="12">
        <f>All_India_Index_Upto_April23__1___14[[#This Row],[Miscellaneous]]+All_India_Index_Upto_April23__1___14[[#This Row],[Personal care and effects]]+All_India_Index_Upto_April23__1___14[[#This Row],[Education]]+All_India_Index_Upto_April23__1___14[[#This Row],[Recreation and amusement]]</f>
        <v>535.90000000000009</v>
      </c>
      <c r="AL19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3413.4000000000005</v>
      </c>
    </row>
    <row r="197" spans="1:38" hidden="1" x14ac:dyDescent="0.3">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s="12">
        <f>'Handle Missing Value Sheet only'!$F$5</f>
        <v>139.27096774193564</v>
      </c>
      <c r="V197">
        <v>145.1</v>
      </c>
      <c r="W197">
        <v>142.19999999999999</v>
      </c>
      <c r="X197">
        <v>138.4</v>
      </c>
      <c r="Y197">
        <v>127.4</v>
      </c>
      <c r="Z197">
        <v>137.80000000000001</v>
      </c>
      <c r="AA197">
        <v>145.1</v>
      </c>
      <c r="AB197">
        <v>131.4</v>
      </c>
      <c r="AC197">
        <v>135.6</v>
      </c>
      <c r="AD197">
        <v>140.5</v>
      </c>
      <c r="AE197" s="12">
        <f>AVERAGE(All_India_Index_Upto_April23__1___14[[#This Row],[Cereals and products]:[Pan, tobacco and intoxicants]])</f>
        <v>139.1142857142857</v>
      </c>
      <c r="AF197" s="12">
        <f>AVERAGE(All_India_Index_Upto_April23__1___14[[#This Row],[Household goods and services]],All_India_Index_Upto_April23__1___14[[#This Row],[Housing]])</f>
        <v>140.73548387096781</v>
      </c>
      <c r="AG197" s="12">
        <f>AVERAGE(All_India_Index_Upto_April23__1___14[[#This Row],[Miscellaneous]],All_India_Index_Upto_April23__1___14[[#This Row],[Personal care and effects]],All_India_Index_Upto_April23__1___14[[#This Row],[Education]],All_India_Index_Upto_April23__1___14[[#This Row],[Recreation and amusement]])</f>
        <v>137.47500000000002</v>
      </c>
      <c r="AH197" s="12">
        <f>SUM(All_India_Index_Upto_April23__1___14[[#This Row],[Cereals and products]:[Pan, tobacco and intoxicants]])</f>
        <v>1947.5999999999997</v>
      </c>
      <c r="AI197" s="12">
        <f>SUM(All_India_Index_Upto_April23__1___14[[#This Row],[Household goods and services]],All_India_Index_Upto_April23__1___14[[#This Row],[Housing]])</f>
        <v>281.47096774193562</v>
      </c>
      <c r="AJ197" s="12">
        <f>All_India_Index_Upto_April23__1___14[[#This Row],[Clothing]]+All_India_Index_Upto_April23__1___14[[#This Row],[Footwear]]</f>
        <v>296</v>
      </c>
      <c r="AK197" s="12">
        <f>All_India_Index_Upto_April23__1___14[[#This Row],[Miscellaneous]]+All_India_Index_Upto_April23__1___14[[#This Row],[Personal care and effects]]+All_India_Index_Upto_April23__1___14[[#This Row],[Education]]+All_India_Index_Upto_April23__1___14[[#This Row],[Recreation and amusement]]</f>
        <v>549.90000000000009</v>
      </c>
      <c r="AL19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3485.8709677419351</v>
      </c>
    </row>
    <row r="198" spans="1:38" hidden="1" x14ac:dyDescent="0.3">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s="12">
        <f>AVERAGE(All_India_Index_Upto_April23__1___14[[#This Row],[Cereals and products]:[Pan, tobacco and intoxicants]])</f>
        <v>136.30714285714288</v>
      </c>
      <c r="AF198" s="12">
        <f>AVERAGE(All_India_Index_Upto_April23__1___14[[#This Row],[Household goods and services]],All_India_Index_Upto_April23__1___14[[#This Row],[Housing]])</f>
        <v>137.80000000000001</v>
      </c>
      <c r="AG198" s="12">
        <f>AVERAGE(All_India_Index_Upto_April23__1___14[[#This Row],[Miscellaneous]],All_India_Index_Upto_April23__1___14[[#This Row],[Personal care and effects]],All_India_Index_Upto_April23__1___14[[#This Row],[Education]],All_India_Index_Upto_April23__1___14[[#This Row],[Recreation and amusement]])</f>
        <v>131.85</v>
      </c>
      <c r="AH198" s="12">
        <f>SUM(All_India_Index_Upto_April23__1___14[[#This Row],[Cereals and products]:[Pan, tobacco and intoxicants]])</f>
        <v>1908.3000000000002</v>
      </c>
      <c r="AI198" s="12">
        <f>SUM(All_India_Index_Upto_April23__1___14[[#This Row],[Household goods and services]],All_India_Index_Upto_April23__1___14[[#This Row],[Housing]])</f>
        <v>275.60000000000002</v>
      </c>
      <c r="AJ198" s="12">
        <f>All_India_Index_Upto_April23__1___14[[#This Row],[Clothing]]+All_India_Index_Upto_April23__1___14[[#This Row],[Footwear]]</f>
        <v>267.60000000000002</v>
      </c>
      <c r="AK198" s="12">
        <f>All_India_Index_Upto_April23__1___14[[#This Row],[Miscellaneous]]+All_India_Index_Upto_April23__1___14[[#This Row],[Personal care and effects]]+All_India_Index_Upto_April23__1___14[[#This Row],[Education]]+All_India_Index_Upto_April23__1___14[[#This Row],[Recreation and amusement]]</f>
        <v>527.4</v>
      </c>
      <c r="AL19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3358.4</v>
      </c>
    </row>
    <row r="199" spans="1:38" hidden="1" x14ac:dyDescent="0.3">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s="12">
        <f>AVERAGE(All_India_Index_Upto_April23__1___14[[#This Row],[Cereals and products]:[Pan, tobacco and intoxicants]])</f>
        <v>138.02857142857144</v>
      </c>
      <c r="AF199" s="12">
        <f>AVERAGE(All_India_Index_Upto_April23__1___14[[#This Row],[Household goods and services]],All_India_Index_Upto_April23__1___14[[#This Row],[Housing]])</f>
        <v>140.19999999999999</v>
      </c>
      <c r="AG199" s="12">
        <f>AVERAGE(All_India_Index_Upto_April23__1___14[[#This Row],[Miscellaneous]],All_India_Index_Upto_April23__1___14[[#This Row],[Personal care and effects]],All_India_Index_Upto_April23__1___14[[#This Row],[Education]],All_India_Index_Upto_April23__1___14[[#This Row],[Recreation and amusement]])</f>
        <v>134.52500000000001</v>
      </c>
      <c r="AH199" s="12">
        <f>SUM(All_India_Index_Upto_April23__1___14[[#This Row],[Cereals and products]:[Pan, tobacco and intoxicants]])</f>
        <v>1932.4</v>
      </c>
      <c r="AI199" s="12">
        <f>SUM(All_India_Index_Upto_April23__1___14[[#This Row],[Household goods and services]],All_India_Index_Upto_April23__1___14[[#This Row],[Housing]])</f>
        <v>280.39999999999998</v>
      </c>
      <c r="AJ199" s="12">
        <f>All_India_Index_Upto_April23__1___14[[#This Row],[Clothing]]+All_India_Index_Upto_April23__1___14[[#This Row],[Footwear]]</f>
        <v>284.5</v>
      </c>
      <c r="AK199" s="12">
        <f>All_India_Index_Upto_April23__1___14[[#This Row],[Miscellaneous]]+All_India_Index_Upto_April23__1___14[[#This Row],[Personal care and effects]]+All_India_Index_Upto_April23__1___14[[#This Row],[Education]]+All_India_Index_Upto_April23__1___14[[#This Row],[Recreation and amusement]]</f>
        <v>538.1</v>
      </c>
      <c r="AL19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3433.3999999999996</v>
      </c>
    </row>
    <row r="200" spans="1:38" hidden="1" x14ac:dyDescent="0.3">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s="12">
        <f>'Handle Missing Value Sheet only'!$F$5</f>
        <v>139.27096774193564</v>
      </c>
      <c r="V200">
        <v>146.80000000000001</v>
      </c>
      <c r="W200">
        <v>143.1</v>
      </c>
      <c r="X200">
        <v>139</v>
      </c>
      <c r="Y200">
        <v>127.5</v>
      </c>
      <c r="Z200">
        <v>138.4</v>
      </c>
      <c r="AA200">
        <v>145.80000000000001</v>
      </c>
      <c r="AB200">
        <v>131.4</v>
      </c>
      <c r="AC200">
        <v>136</v>
      </c>
      <c r="AD200">
        <v>141.80000000000001</v>
      </c>
      <c r="AE200" s="12">
        <f>AVERAGE(All_India_Index_Upto_April23__1___14[[#This Row],[Cereals and products]:[Pan, tobacco and intoxicants]])</f>
        <v>140.47142857142859</v>
      </c>
      <c r="AF200" s="12">
        <f>AVERAGE(All_India_Index_Upto_April23__1___14[[#This Row],[Household goods and services]],All_India_Index_Upto_April23__1___14[[#This Row],[Housing]])</f>
        <v>141.1854838709678</v>
      </c>
      <c r="AG200" s="12">
        <f>AVERAGE(All_India_Index_Upto_April23__1___14[[#This Row],[Miscellaneous]],All_India_Index_Upto_April23__1___14[[#This Row],[Personal care and effects]],All_India_Index_Upto_April23__1___14[[#This Row],[Education]],All_India_Index_Upto_April23__1___14[[#This Row],[Recreation and amusement]])</f>
        <v>137.9</v>
      </c>
      <c r="AH200" s="12">
        <f>SUM(All_India_Index_Upto_April23__1___14[[#This Row],[Cereals and products]:[Pan, tobacco and intoxicants]])</f>
        <v>1966.6000000000001</v>
      </c>
      <c r="AI200" s="12">
        <f>SUM(All_India_Index_Upto_April23__1___14[[#This Row],[Household goods and services]],All_India_Index_Upto_April23__1___14[[#This Row],[Housing]])</f>
        <v>282.3709677419356</v>
      </c>
      <c r="AJ200" s="12">
        <f>All_India_Index_Upto_April23__1___14[[#This Row],[Clothing]]+All_India_Index_Upto_April23__1___14[[#This Row],[Footwear]]</f>
        <v>296.60000000000002</v>
      </c>
      <c r="AK200" s="12">
        <f>All_India_Index_Upto_April23__1___14[[#This Row],[Miscellaneous]]+All_India_Index_Upto_April23__1___14[[#This Row],[Personal care and effects]]+All_India_Index_Upto_April23__1___14[[#This Row],[Education]]+All_India_Index_Upto_April23__1___14[[#This Row],[Recreation and amusement]]</f>
        <v>551.6</v>
      </c>
      <c r="AL20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3510.470967741936</v>
      </c>
    </row>
    <row r="201" spans="1:38" hidden="1" x14ac:dyDescent="0.3">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s="12">
        <f>AVERAGE(All_India_Index_Upto_April23__1___14[[#This Row],[Cereals and products]:[Pan, tobacco and intoxicants]])</f>
        <v>138.03571428571428</v>
      </c>
      <c r="AF201" s="12">
        <f>AVERAGE(All_India_Index_Upto_April23__1___14[[#This Row],[Household goods and services]],All_India_Index_Upto_April23__1___14[[#This Row],[Housing]])</f>
        <v>138.6</v>
      </c>
      <c r="AG201" s="12">
        <f>AVERAGE(All_India_Index_Upto_April23__1___14[[#This Row],[Miscellaneous]],All_India_Index_Upto_April23__1___14[[#This Row],[Personal care and effects]],All_India_Index_Upto_April23__1___14[[#This Row],[Education]],All_India_Index_Upto_April23__1___14[[#This Row],[Recreation and amusement]])</f>
        <v>132.85</v>
      </c>
      <c r="AH201" s="12">
        <f>SUM(All_India_Index_Upto_April23__1___14[[#This Row],[Cereals and products]:[Pan, tobacco and intoxicants]])</f>
        <v>1932.5</v>
      </c>
      <c r="AI201" s="12">
        <f>SUM(All_India_Index_Upto_April23__1___14[[#This Row],[Household goods and services]],All_India_Index_Upto_April23__1___14[[#This Row],[Housing]])</f>
        <v>277.2</v>
      </c>
      <c r="AJ201" s="12">
        <f>All_India_Index_Upto_April23__1___14[[#This Row],[Clothing]]+All_India_Index_Upto_April23__1___14[[#This Row],[Footwear]]</f>
        <v>268.5</v>
      </c>
      <c r="AK201" s="12">
        <f>All_India_Index_Upto_April23__1___14[[#This Row],[Miscellaneous]]+All_India_Index_Upto_April23__1___14[[#This Row],[Personal care and effects]]+All_India_Index_Upto_April23__1___14[[#This Row],[Education]]+All_India_Index_Upto_April23__1___14[[#This Row],[Recreation and amusement]]</f>
        <v>531.4</v>
      </c>
      <c r="AL20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3391.3999999999996</v>
      </c>
    </row>
    <row r="202" spans="1:38" hidden="1" x14ac:dyDescent="0.3">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s="12">
        <f>AVERAGE(All_India_Index_Upto_April23__1___14[[#This Row],[Cereals and products]:[Pan, tobacco and intoxicants]])</f>
        <v>139.48571428571429</v>
      </c>
      <c r="AF202" s="12">
        <f>AVERAGE(All_India_Index_Upto_April23__1___14[[#This Row],[Household goods and services]],All_India_Index_Upto_April23__1___14[[#This Row],[Housing]])</f>
        <v>141.1</v>
      </c>
      <c r="AG202" s="12">
        <f>AVERAGE(All_India_Index_Upto_April23__1___14[[#This Row],[Miscellaneous]],All_India_Index_Upto_April23__1___14[[#This Row],[Personal care and effects]],All_India_Index_Upto_April23__1___14[[#This Row],[Education]],All_India_Index_Upto_April23__1___14[[#This Row],[Recreation and amusement]])</f>
        <v>135.27499999999998</v>
      </c>
      <c r="AH202" s="12">
        <f>SUM(All_India_Index_Upto_April23__1___14[[#This Row],[Cereals and products]:[Pan, tobacco and intoxicants]])</f>
        <v>1952.8</v>
      </c>
      <c r="AI202" s="12">
        <f>SUM(All_India_Index_Upto_April23__1___14[[#This Row],[Household goods and services]],All_India_Index_Upto_April23__1___14[[#This Row],[Housing]])</f>
        <v>282.2</v>
      </c>
      <c r="AJ202" s="12">
        <f>All_India_Index_Upto_April23__1___14[[#This Row],[Clothing]]+All_India_Index_Upto_April23__1___14[[#This Row],[Footwear]]</f>
        <v>285.20000000000005</v>
      </c>
      <c r="AK202" s="12">
        <f>All_India_Index_Upto_April23__1___14[[#This Row],[Miscellaneous]]+All_India_Index_Upto_April23__1___14[[#This Row],[Personal care and effects]]+All_India_Index_Upto_April23__1___14[[#This Row],[Education]]+All_India_Index_Upto_April23__1___14[[#This Row],[Recreation and amusement]]</f>
        <v>541.09999999999991</v>
      </c>
      <c r="AL20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3461.6</v>
      </c>
    </row>
    <row r="203" spans="1:38" hidden="1" x14ac:dyDescent="0.3">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s="12">
        <f>'Handle Missing Value Sheet only'!$F$5</f>
        <v>139.27096774193564</v>
      </c>
      <c r="V203">
        <v>147.69999999999999</v>
      </c>
      <c r="W203">
        <v>143.80000000000001</v>
      </c>
      <c r="X203">
        <v>139.4</v>
      </c>
      <c r="Y203">
        <v>128.30000000000001</v>
      </c>
      <c r="Z203">
        <v>138.6</v>
      </c>
      <c r="AA203">
        <v>146.9</v>
      </c>
      <c r="AB203">
        <v>131.30000000000001</v>
      </c>
      <c r="AC203">
        <v>136.6</v>
      </c>
      <c r="AD203">
        <v>142.5</v>
      </c>
      <c r="AE203" s="12">
        <f>AVERAGE(All_India_Index_Upto_April23__1___14[[#This Row],[Cereals and products]:[Pan, tobacco and intoxicants]])</f>
        <v>141.08571428571429</v>
      </c>
      <c r="AF203" s="12">
        <f>AVERAGE(All_India_Index_Upto_April23__1___14[[#This Row],[Household goods and services]],All_India_Index_Upto_April23__1___14[[#This Row],[Housing]])</f>
        <v>141.53548387096782</v>
      </c>
      <c r="AG203" s="12">
        <f>AVERAGE(All_India_Index_Upto_April23__1___14[[#This Row],[Miscellaneous]],All_India_Index_Upto_April23__1___14[[#This Row],[Personal care and effects]],All_India_Index_Upto_April23__1___14[[#This Row],[Education]],All_India_Index_Upto_April23__1___14[[#This Row],[Recreation and amusement]])</f>
        <v>138.35</v>
      </c>
      <c r="AH203" s="12">
        <f>SUM(All_India_Index_Upto_April23__1___14[[#This Row],[Cereals and products]:[Pan, tobacco and intoxicants]])</f>
        <v>1975.2</v>
      </c>
      <c r="AI203" s="12">
        <f>SUM(All_India_Index_Upto_April23__1___14[[#This Row],[Household goods and services]],All_India_Index_Upto_April23__1___14[[#This Row],[Housing]])</f>
        <v>283.07096774193565</v>
      </c>
      <c r="AJ203" s="12">
        <f>All_India_Index_Upto_April23__1___14[[#This Row],[Clothing]]+All_India_Index_Upto_April23__1___14[[#This Row],[Footwear]]</f>
        <v>297.89999999999998</v>
      </c>
      <c r="AK203" s="12">
        <f>All_India_Index_Upto_April23__1___14[[#This Row],[Miscellaneous]]+All_India_Index_Upto_April23__1___14[[#This Row],[Personal care and effects]]+All_India_Index_Upto_April23__1___14[[#This Row],[Education]]+All_India_Index_Upto_April23__1___14[[#This Row],[Recreation and amusement]]</f>
        <v>553.4</v>
      </c>
      <c r="AL20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3524.9709677419355</v>
      </c>
    </row>
    <row r="204" spans="1:38" hidden="1" x14ac:dyDescent="0.3">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s="12">
        <f>AVERAGE(All_India_Index_Upto_April23__1___14[[#This Row],[Cereals and products]:[Pan, tobacco and intoxicants]])</f>
        <v>137.83571428571426</v>
      </c>
      <c r="AF204" s="12">
        <f>AVERAGE(All_India_Index_Upto_April23__1___14[[#This Row],[Household goods and services]],All_India_Index_Upto_April23__1___14[[#This Row],[Housing]])</f>
        <v>139.5</v>
      </c>
      <c r="AG204" s="12">
        <f>AVERAGE(All_India_Index_Upto_April23__1___14[[#This Row],[Miscellaneous]],All_India_Index_Upto_April23__1___14[[#This Row],[Personal care and effects]],All_India_Index_Upto_April23__1___14[[#This Row],[Education]],All_India_Index_Upto_April23__1___14[[#This Row],[Recreation and amusement]])</f>
        <v>133.60000000000002</v>
      </c>
      <c r="AH204" s="12">
        <f>SUM(All_India_Index_Upto_April23__1___14[[#This Row],[Cereals and products]:[Pan, tobacco and intoxicants]])</f>
        <v>1929.6999999999998</v>
      </c>
      <c r="AI204" s="12">
        <f>SUM(All_India_Index_Upto_April23__1___14[[#This Row],[Household goods and services]],All_India_Index_Upto_April23__1___14[[#This Row],[Housing]])</f>
        <v>279</v>
      </c>
      <c r="AJ204" s="12">
        <f>All_India_Index_Upto_April23__1___14[[#This Row],[Clothing]]+All_India_Index_Upto_April23__1___14[[#This Row],[Footwear]]</f>
        <v>269</v>
      </c>
      <c r="AK204" s="12">
        <f>All_India_Index_Upto_April23__1___14[[#This Row],[Miscellaneous]]+All_India_Index_Upto_April23__1___14[[#This Row],[Personal care and effects]]+All_India_Index_Upto_April23__1___14[[#This Row],[Education]]+All_India_Index_Upto_April23__1___14[[#This Row],[Recreation and amusement]]</f>
        <v>534.40000000000009</v>
      </c>
      <c r="AL20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3397.5</v>
      </c>
    </row>
    <row r="205" spans="1:38" hidden="1" x14ac:dyDescent="0.3">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s="12">
        <f>AVERAGE(All_India_Index_Upto_April23__1___14[[#This Row],[Cereals and products]:[Pan, tobacco and intoxicants]])</f>
        <v>139.7571428571429</v>
      </c>
      <c r="AF205" s="12">
        <f>AVERAGE(All_India_Index_Upto_April23__1___14[[#This Row],[Household goods and services]],All_India_Index_Upto_April23__1___14[[#This Row],[Housing]])</f>
        <v>142</v>
      </c>
      <c r="AG205" s="12">
        <f>AVERAGE(All_India_Index_Upto_April23__1___14[[#This Row],[Miscellaneous]],All_India_Index_Upto_April23__1___14[[#This Row],[Personal care and effects]],All_India_Index_Upto_April23__1___14[[#This Row],[Education]],All_India_Index_Upto_April23__1___14[[#This Row],[Recreation and amusement]])</f>
        <v>135.9</v>
      </c>
      <c r="AH205" s="12">
        <f>SUM(All_India_Index_Upto_April23__1___14[[#This Row],[Cereals and products]:[Pan, tobacco and intoxicants]])</f>
        <v>1956.6000000000004</v>
      </c>
      <c r="AI205" s="12">
        <f>SUM(All_India_Index_Upto_April23__1___14[[#This Row],[Household goods and services]],All_India_Index_Upto_April23__1___14[[#This Row],[Housing]])</f>
        <v>284</v>
      </c>
      <c r="AJ205" s="12">
        <f>All_India_Index_Upto_April23__1___14[[#This Row],[Clothing]]+All_India_Index_Upto_April23__1___14[[#This Row],[Footwear]]</f>
        <v>286.10000000000002</v>
      </c>
      <c r="AK205" s="12">
        <f>All_India_Index_Upto_April23__1___14[[#This Row],[Miscellaneous]]+All_India_Index_Upto_April23__1___14[[#This Row],[Personal care and effects]]+All_India_Index_Upto_April23__1___14[[#This Row],[Education]]+All_India_Index_Upto_April23__1___14[[#This Row],[Recreation and amusement]]</f>
        <v>543.6</v>
      </c>
      <c r="AL20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3473.2000000000003</v>
      </c>
    </row>
    <row r="206" spans="1:38" hidden="1" x14ac:dyDescent="0.3">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s="12">
        <f>'Handle Missing Value Sheet only'!$F$5</f>
        <v>139.27096774193564</v>
      </c>
      <c r="V206">
        <v>149</v>
      </c>
      <c r="W206">
        <v>144</v>
      </c>
      <c r="X206">
        <v>140</v>
      </c>
      <c r="Y206">
        <v>129.9</v>
      </c>
      <c r="Z206">
        <v>140</v>
      </c>
      <c r="AA206">
        <v>147.6</v>
      </c>
      <c r="AB206">
        <v>132</v>
      </c>
      <c r="AC206">
        <v>137.4</v>
      </c>
      <c r="AD206">
        <v>142.1</v>
      </c>
      <c r="AE206" s="12">
        <f>AVERAGE(All_India_Index_Upto_April23__1___14[[#This Row],[Cereals and products]:[Pan, tobacco and intoxicants]])</f>
        <v>139.82142857142858</v>
      </c>
      <c r="AF206" s="12">
        <f>AVERAGE(All_India_Index_Upto_April23__1___14[[#This Row],[Household goods and services]],All_India_Index_Upto_April23__1___14[[#This Row],[Housing]])</f>
        <v>141.63548387096782</v>
      </c>
      <c r="AG206" s="12">
        <f>AVERAGE(All_India_Index_Upto_April23__1___14[[#This Row],[Miscellaneous]],All_India_Index_Upto_April23__1___14[[#This Row],[Personal care and effects]],All_India_Index_Upto_April23__1___14[[#This Row],[Education]],All_India_Index_Upto_April23__1___14[[#This Row],[Recreation and amusement]])</f>
        <v>139.25</v>
      </c>
      <c r="AH206" s="12">
        <f>SUM(All_India_Index_Upto_April23__1___14[[#This Row],[Cereals and products]:[Pan, tobacco and intoxicants]])</f>
        <v>1957.5000000000002</v>
      </c>
      <c r="AI206" s="12">
        <f>SUM(All_India_Index_Upto_April23__1___14[[#This Row],[Household goods and services]],All_India_Index_Upto_April23__1___14[[#This Row],[Housing]])</f>
        <v>283.27096774193564</v>
      </c>
      <c r="AJ206" s="12">
        <f>All_India_Index_Upto_April23__1___14[[#This Row],[Clothing]]+All_India_Index_Upto_April23__1___14[[#This Row],[Footwear]]</f>
        <v>298.2</v>
      </c>
      <c r="AK206" s="12">
        <f>All_India_Index_Upto_April23__1___14[[#This Row],[Miscellaneous]]+All_India_Index_Upto_April23__1___14[[#This Row],[Personal care and effects]]+All_India_Index_Upto_April23__1___14[[#This Row],[Education]]+All_India_Index_Upto_April23__1___14[[#This Row],[Recreation and amusement]]</f>
        <v>557</v>
      </c>
      <c r="AL20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3514.8709677419361</v>
      </c>
    </row>
    <row r="207" spans="1:38" hidden="1" x14ac:dyDescent="0.3">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s="12">
        <f>AVERAGE(All_India_Index_Upto_April23__1___14[[#This Row],[Cereals and products]:[Pan, tobacco and intoxicants]])</f>
        <v>136.55000000000001</v>
      </c>
      <c r="AF207" s="12">
        <f>AVERAGE(All_India_Index_Upto_April23__1___14[[#This Row],[Household goods and services]],All_India_Index_Upto_April23__1___14[[#This Row],[Housing]])</f>
        <v>140.10000000000002</v>
      </c>
      <c r="AG207" s="12">
        <f>AVERAGE(All_India_Index_Upto_April23__1___14[[#This Row],[Miscellaneous]],All_India_Index_Upto_April23__1___14[[#This Row],[Personal care and effects]],All_India_Index_Upto_April23__1___14[[#This Row],[Education]],All_India_Index_Upto_April23__1___14[[#This Row],[Recreation and amusement]])</f>
        <v>134.15</v>
      </c>
      <c r="AH207" s="12">
        <f>SUM(All_India_Index_Upto_April23__1___14[[#This Row],[Cereals and products]:[Pan, tobacco and intoxicants]])</f>
        <v>1911.7</v>
      </c>
      <c r="AI207" s="12">
        <f>SUM(All_India_Index_Upto_April23__1___14[[#This Row],[Household goods and services]],All_India_Index_Upto_April23__1___14[[#This Row],[Housing]])</f>
        <v>280.20000000000005</v>
      </c>
      <c r="AJ207" s="12">
        <f>All_India_Index_Upto_April23__1___14[[#This Row],[Clothing]]+All_India_Index_Upto_April23__1___14[[#This Row],[Footwear]]</f>
        <v>270.10000000000002</v>
      </c>
      <c r="AK207" s="12">
        <f>All_India_Index_Upto_April23__1___14[[#This Row],[Miscellaneous]]+All_India_Index_Upto_April23__1___14[[#This Row],[Personal care and effects]]+All_India_Index_Upto_April23__1___14[[#This Row],[Education]]+All_India_Index_Upto_April23__1___14[[#This Row],[Recreation and amusement]]</f>
        <v>536.6</v>
      </c>
      <c r="AL20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3388</v>
      </c>
    </row>
    <row r="208" spans="1:38" hidden="1" x14ac:dyDescent="0.3">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s="12">
        <f>AVERAGE(All_India_Index_Upto_April23__1___14[[#This Row],[Cereals and products]:[Pan, tobacco and intoxicants]])</f>
        <v>138.47857142857143</v>
      </c>
      <c r="AF208" s="12">
        <f>AVERAGE(All_India_Index_Upto_April23__1___14[[#This Row],[Household goods and services]],All_India_Index_Upto_April23__1___14[[#This Row],[Housing]])</f>
        <v>142.5</v>
      </c>
      <c r="AG208" s="12">
        <f>AVERAGE(All_India_Index_Upto_April23__1___14[[#This Row],[Miscellaneous]],All_India_Index_Upto_April23__1___14[[#This Row],[Personal care and effects]],All_India_Index_Upto_April23__1___14[[#This Row],[Education]],All_India_Index_Upto_April23__1___14[[#This Row],[Recreation and amusement]])</f>
        <v>136.57499999999999</v>
      </c>
      <c r="AH208" s="12">
        <f>SUM(All_India_Index_Upto_April23__1___14[[#This Row],[Cereals and products]:[Pan, tobacco and intoxicants]])</f>
        <v>1938.7</v>
      </c>
      <c r="AI208" s="12">
        <f>SUM(All_India_Index_Upto_April23__1___14[[#This Row],[Household goods and services]],All_India_Index_Upto_April23__1___14[[#This Row],[Housing]])</f>
        <v>285</v>
      </c>
      <c r="AJ208" s="12">
        <f>All_India_Index_Upto_April23__1___14[[#This Row],[Clothing]]+All_India_Index_Upto_April23__1___14[[#This Row],[Footwear]]</f>
        <v>286.79999999999995</v>
      </c>
      <c r="AK208" s="12">
        <f>All_India_Index_Upto_April23__1___14[[#This Row],[Miscellaneous]]+All_India_Index_Upto_April23__1___14[[#This Row],[Personal care and effects]]+All_India_Index_Upto_April23__1___14[[#This Row],[Education]]+All_India_Index_Upto_April23__1___14[[#This Row],[Recreation and amusement]]</f>
        <v>546.29999999999995</v>
      </c>
      <c r="AL20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3463.5000000000005</v>
      </c>
    </row>
    <row r="209" spans="1:38" hidden="1" x14ac:dyDescent="0.3">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s="12">
        <f>'Handle Missing Value Sheet only'!$F$5</f>
        <v>139.27096774193564</v>
      </c>
      <c r="V209">
        <v>149.69999999999999</v>
      </c>
      <c r="W209">
        <v>147.5</v>
      </c>
      <c r="X209">
        <v>144.80000000000001</v>
      </c>
      <c r="Y209">
        <v>130.80000000000001</v>
      </c>
      <c r="Z209">
        <v>140.1</v>
      </c>
      <c r="AA209">
        <v>148</v>
      </c>
      <c r="AB209">
        <v>134.4</v>
      </c>
      <c r="AC209">
        <v>139.80000000000001</v>
      </c>
      <c r="AD209">
        <v>142.19999999999999</v>
      </c>
      <c r="AE209" s="12">
        <f>AVERAGE(All_India_Index_Upto_April23__1___14[[#This Row],[Cereals and products]:[Pan, tobacco and intoxicants]])</f>
        <v>138.69999999999999</v>
      </c>
      <c r="AF209" s="12">
        <f>AVERAGE(All_India_Index_Upto_April23__1___14[[#This Row],[Household goods and services]],All_India_Index_Upto_April23__1___14[[#This Row],[Housing]])</f>
        <v>143.38548387096782</v>
      </c>
      <c r="AG209" s="12">
        <f>AVERAGE(All_India_Index_Upto_April23__1___14[[#This Row],[Miscellaneous]],All_India_Index_Upto_April23__1___14[[#This Row],[Personal care and effects]],All_India_Index_Upto_April23__1___14[[#This Row],[Education]],All_India_Index_Upto_April23__1___14[[#This Row],[Recreation and amusement]])</f>
        <v>140.57500000000002</v>
      </c>
      <c r="AH209" s="12">
        <f>SUM(All_India_Index_Upto_April23__1___14[[#This Row],[Cereals and products]:[Pan, tobacco and intoxicants]])</f>
        <v>1941.8</v>
      </c>
      <c r="AI209" s="12">
        <f>SUM(All_India_Index_Upto_April23__1___14[[#This Row],[Household goods and services]],All_India_Index_Upto_April23__1___14[[#This Row],[Housing]])</f>
        <v>286.77096774193564</v>
      </c>
      <c r="AJ209" s="12">
        <f>All_India_Index_Upto_April23__1___14[[#This Row],[Clothing]]+All_India_Index_Upto_April23__1___14[[#This Row],[Footwear]]</f>
        <v>295.2</v>
      </c>
      <c r="AK209" s="12">
        <f>All_India_Index_Upto_April23__1___14[[#This Row],[Miscellaneous]]+All_India_Index_Upto_April23__1___14[[#This Row],[Personal care and effects]]+All_India_Index_Upto_April23__1___14[[#This Row],[Education]]+All_India_Index_Upto_April23__1___14[[#This Row],[Recreation and amusement]]</f>
        <v>562.30000000000007</v>
      </c>
      <c r="AL20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3511.3709677419356</v>
      </c>
    </row>
    <row r="210" spans="1:38" hidden="1" x14ac:dyDescent="0.3">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s="12">
        <f>AVERAGE(All_India_Index_Upto_April23__1___14[[#This Row],[Cereals and products]:[Pan, tobacco and intoxicants]])</f>
        <v>137.00714285714284</v>
      </c>
      <c r="AF210" s="12">
        <f>AVERAGE(All_India_Index_Upto_April23__1___14[[#This Row],[Household goods and services]],All_India_Index_Upto_April23__1___14[[#This Row],[Housing]])</f>
        <v>140.69999999999999</v>
      </c>
      <c r="AG210" s="12">
        <f>AVERAGE(All_India_Index_Upto_April23__1___14[[#This Row],[Miscellaneous]],All_India_Index_Upto_April23__1___14[[#This Row],[Personal care and effects]],All_India_Index_Upto_April23__1___14[[#This Row],[Education]],All_India_Index_Upto_April23__1___14[[#This Row],[Recreation and amusement]])</f>
        <v>134.77499999999998</v>
      </c>
      <c r="AH210" s="12">
        <f>SUM(All_India_Index_Upto_April23__1___14[[#This Row],[Cereals and products]:[Pan, tobacco and intoxicants]])</f>
        <v>1918.1</v>
      </c>
      <c r="AI210" s="12">
        <f>SUM(All_India_Index_Upto_April23__1___14[[#This Row],[Household goods and services]],All_India_Index_Upto_April23__1___14[[#This Row],[Housing]])</f>
        <v>281.39999999999998</v>
      </c>
      <c r="AJ210" s="12">
        <f>All_India_Index_Upto_April23__1___14[[#This Row],[Clothing]]+All_India_Index_Upto_April23__1___14[[#This Row],[Footwear]]</f>
        <v>271.3</v>
      </c>
      <c r="AK210" s="12">
        <f>All_India_Index_Upto_April23__1___14[[#This Row],[Miscellaneous]]+All_India_Index_Upto_April23__1___14[[#This Row],[Personal care and effects]]+All_India_Index_Upto_April23__1___14[[#This Row],[Education]]+All_India_Index_Upto_April23__1___14[[#This Row],[Recreation and amusement]]</f>
        <v>539.09999999999991</v>
      </c>
      <c r="AL21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3402.7999999999997</v>
      </c>
    </row>
    <row r="211" spans="1:38" hidden="1" x14ac:dyDescent="0.3">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s="12">
        <f>AVERAGE(All_India_Index_Upto_April23__1___14[[#This Row],[Cereals and products]:[Pan, tobacco and intoxicants]])</f>
        <v>138.48571428571429</v>
      </c>
      <c r="AF211" s="12">
        <f>AVERAGE(All_India_Index_Upto_April23__1___14[[#This Row],[Household goods and services]],All_India_Index_Upto_April23__1___14[[#This Row],[Housing]])</f>
        <v>144.55000000000001</v>
      </c>
      <c r="AG211" s="12">
        <f>AVERAGE(All_India_Index_Upto_April23__1___14[[#This Row],[Miscellaneous]],All_India_Index_Upto_April23__1___14[[#This Row],[Personal care and effects]],All_India_Index_Upto_April23__1___14[[#This Row],[Education]],All_India_Index_Upto_April23__1___14[[#This Row],[Recreation and amusement]])</f>
        <v>138.15</v>
      </c>
      <c r="AH211" s="12">
        <f>SUM(All_India_Index_Upto_April23__1___14[[#This Row],[Cereals and products]:[Pan, tobacco and intoxicants]])</f>
        <v>1938.8</v>
      </c>
      <c r="AI211" s="12">
        <f>SUM(All_India_Index_Upto_April23__1___14[[#This Row],[Household goods and services]],All_India_Index_Upto_April23__1___14[[#This Row],[Housing]])</f>
        <v>289.10000000000002</v>
      </c>
      <c r="AJ211" s="12">
        <f>All_India_Index_Upto_April23__1___14[[#This Row],[Clothing]]+All_India_Index_Upto_April23__1___14[[#This Row],[Footwear]]</f>
        <v>287.2</v>
      </c>
      <c r="AK211" s="12">
        <f>All_India_Index_Upto_April23__1___14[[#This Row],[Miscellaneous]]+All_India_Index_Upto_April23__1___14[[#This Row],[Personal care and effects]]+All_India_Index_Upto_April23__1___14[[#This Row],[Education]]+All_India_Index_Upto_April23__1___14[[#This Row],[Recreation and amusement]]</f>
        <v>552.6</v>
      </c>
      <c r="AL21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3480.6</v>
      </c>
    </row>
    <row r="212" spans="1:38" hidden="1"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s="12">
        <f>'Handle Missing Value Sheet only'!$F$5</f>
        <v>139.27096774193564</v>
      </c>
      <c r="V212">
        <v>150.30000000000001</v>
      </c>
      <c r="W212">
        <v>148</v>
      </c>
      <c r="X212">
        <v>145.4</v>
      </c>
      <c r="Y212">
        <v>130.30000000000001</v>
      </c>
      <c r="Z212">
        <v>143.1</v>
      </c>
      <c r="AA212">
        <v>150.19999999999999</v>
      </c>
      <c r="AB212">
        <v>133.1</v>
      </c>
      <c r="AC212">
        <v>140.1</v>
      </c>
      <c r="AD212">
        <v>142.4</v>
      </c>
      <c r="AE212" s="12">
        <f>AVERAGE(All_India_Index_Upto_April23__1___14[[#This Row],[Cereals and products]:[Pan, tobacco and intoxicants]])</f>
        <v>139.2428571428571</v>
      </c>
      <c r="AF212" s="12">
        <f>AVERAGE(All_India_Index_Upto_April23__1___14[[#This Row],[Household goods and services]],All_India_Index_Upto_April23__1___14[[#This Row],[Housing]])</f>
        <v>143.63548387096782</v>
      </c>
      <c r="AG212" s="12">
        <f>AVERAGE(All_India_Index_Upto_April23__1___14[[#This Row],[Miscellaneous]],All_India_Index_Upto_April23__1___14[[#This Row],[Personal care and effects]],All_India_Index_Upto_April23__1___14[[#This Row],[Education]],All_India_Index_Upto_April23__1___14[[#This Row],[Recreation and amusement]])</f>
        <v>141.625</v>
      </c>
      <c r="AH212" s="12">
        <f>SUM(All_India_Index_Upto_April23__1___14[[#This Row],[Cereals and products]:[Pan, tobacco and intoxicants]])</f>
        <v>1949.3999999999996</v>
      </c>
      <c r="AI212" s="12">
        <f>SUM(All_India_Index_Upto_April23__1___14[[#This Row],[Household goods and services]],All_India_Index_Upto_April23__1___14[[#This Row],[Housing]])</f>
        <v>287.27096774193564</v>
      </c>
      <c r="AJ212" s="12">
        <f>All_India_Index_Upto_April23__1___14[[#This Row],[Clothing]]+All_India_Index_Upto_April23__1___14[[#This Row],[Footwear]]</f>
        <v>297.2</v>
      </c>
      <c r="AK212" s="12">
        <f>All_India_Index_Upto_April23__1___14[[#This Row],[Miscellaneous]]+All_India_Index_Upto_April23__1___14[[#This Row],[Personal care and effects]]+All_India_Index_Upto_April23__1___14[[#This Row],[Education]]+All_India_Index_Upto_April23__1___14[[#This Row],[Recreation and amusement]]</f>
        <v>566.5</v>
      </c>
      <c r="AL21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3526.3709677419361</v>
      </c>
    </row>
    <row r="213" spans="1:38" hidden="1" x14ac:dyDescent="0.3">
      <c r="A213" t="s">
        <v>32</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s="12">
        <f>AVERAGE(All_India_Index_Upto_April23__1___14[[#This Row],[Cereals and products]:[Pan, tobacco and intoxicants]])</f>
        <v>137.27857142857141</v>
      </c>
      <c r="AF213" s="12">
        <f>AVERAGE(All_India_Index_Upto_April23__1___14[[#This Row],[Household goods and services]],All_India_Index_Upto_April23__1___14[[#This Row],[Housing]])</f>
        <v>141.35000000000002</v>
      </c>
      <c r="AG213" s="12">
        <f>AVERAGE(All_India_Index_Upto_April23__1___14[[#This Row],[Miscellaneous]],All_India_Index_Upto_April23__1___14[[#This Row],[Personal care and effects]],All_India_Index_Upto_April23__1___14[[#This Row],[Education]],All_India_Index_Upto_April23__1___14[[#This Row],[Recreation and amusement]])</f>
        <v>135.02499999999998</v>
      </c>
      <c r="AH213" s="12">
        <f>SUM(All_India_Index_Upto_April23__1___14[[#This Row],[Cereals and products]:[Pan, tobacco and intoxicants]])</f>
        <v>1921.8999999999999</v>
      </c>
      <c r="AI213" s="12">
        <f>SUM(All_India_Index_Upto_April23__1___14[[#This Row],[Household goods and services]],All_India_Index_Upto_April23__1___14[[#This Row],[Housing]])</f>
        <v>282.70000000000005</v>
      </c>
      <c r="AJ213" s="12">
        <f>All_India_Index_Upto_April23__1___14[[#This Row],[Clothing]]+All_India_Index_Upto_April23__1___14[[#This Row],[Footwear]]</f>
        <v>272.60000000000002</v>
      </c>
      <c r="AK213" s="12">
        <f>All_India_Index_Upto_April23__1___14[[#This Row],[Miscellaneous]]+All_India_Index_Upto_April23__1___14[[#This Row],[Personal care and effects]]+All_India_Index_Upto_April23__1___14[[#This Row],[Education]]+All_India_Index_Upto_April23__1___14[[#This Row],[Recreation and amusement]]</f>
        <v>540.09999999999991</v>
      </c>
      <c r="AL21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3412</v>
      </c>
    </row>
    <row r="214" spans="1:38" hidden="1" x14ac:dyDescent="0.3">
      <c r="A214" t="s">
        <v>33</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s="12">
        <f>AVERAGE(All_India_Index_Upto_April23__1___14[[#This Row],[Cereals and products]:[Pan, tobacco and intoxicants]])</f>
        <v>138.45000000000002</v>
      </c>
      <c r="AF214" s="12">
        <f>AVERAGE(All_India_Index_Upto_April23__1___14[[#This Row],[Household goods and services]],All_India_Index_Upto_April23__1___14[[#This Row],[Housing]])</f>
        <v>144.55000000000001</v>
      </c>
      <c r="AG214" s="12">
        <f>AVERAGE(All_India_Index_Upto_April23__1___14[[#This Row],[Miscellaneous]],All_India_Index_Upto_April23__1___14[[#This Row],[Personal care and effects]],All_India_Index_Upto_April23__1___14[[#This Row],[Education]],All_India_Index_Upto_April23__1___14[[#This Row],[Recreation and amusement]])</f>
        <v>138.15</v>
      </c>
      <c r="AH214" s="12">
        <f>SUM(All_India_Index_Upto_April23__1___14[[#This Row],[Cereals and products]:[Pan, tobacco and intoxicants]])</f>
        <v>1938.3000000000002</v>
      </c>
      <c r="AI214" s="12">
        <f>SUM(All_India_Index_Upto_April23__1___14[[#This Row],[Household goods and services]],All_India_Index_Upto_April23__1___14[[#This Row],[Housing]])</f>
        <v>289.10000000000002</v>
      </c>
      <c r="AJ214" s="12">
        <f>All_India_Index_Upto_April23__1___14[[#This Row],[Clothing]]+All_India_Index_Upto_April23__1___14[[#This Row],[Footwear]]</f>
        <v>287.10000000000002</v>
      </c>
      <c r="AK214" s="12">
        <f>All_India_Index_Upto_April23__1___14[[#This Row],[Miscellaneous]]+All_India_Index_Upto_April23__1___14[[#This Row],[Personal care and effects]]+All_India_Index_Upto_April23__1___14[[#This Row],[Education]]+All_India_Index_Upto_April23__1___14[[#This Row],[Recreation and amusement]]</f>
        <v>552.6</v>
      </c>
      <c r="AL21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3479.8</v>
      </c>
    </row>
    <row r="215" spans="1:38" hidden="1"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s="12">
        <f>'Handle Missing Value Sheet only'!$F$5</f>
        <v>139.27096774193564</v>
      </c>
      <c r="V215">
        <v>149</v>
      </c>
      <c r="W215">
        <v>149.5</v>
      </c>
      <c r="X215">
        <v>149.6</v>
      </c>
      <c r="Y215">
        <v>128.9</v>
      </c>
      <c r="Z215">
        <v>143.30000000000001</v>
      </c>
      <c r="AA215">
        <v>155.1</v>
      </c>
      <c r="AB215">
        <v>133.19999999999999</v>
      </c>
      <c r="AC215">
        <v>141.6</v>
      </c>
      <c r="AD215">
        <v>141.9</v>
      </c>
      <c r="AE215" s="12">
        <f>AVERAGE(All_India_Index_Upto_April23__1___14[[#This Row],[Cereals and products]:[Pan, tobacco and intoxicants]])</f>
        <v>138.25000000000003</v>
      </c>
      <c r="AF215" s="12">
        <f>AVERAGE(All_India_Index_Upto_April23__1___14[[#This Row],[Household goods and services]],All_India_Index_Upto_April23__1___14[[#This Row],[Housing]])</f>
        <v>144.38548387096782</v>
      </c>
      <c r="AG215" s="12">
        <f>AVERAGE(All_India_Index_Upto_April23__1___14[[#This Row],[Miscellaneous]],All_India_Index_Upto_April23__1___14[[#This Row],[Personal care and effects]],All_India_Index_Upto_April23__1___14[[#This Row],[Education]],All_India_Index_Upto_April23__1___14[[#This Row],[Recreation and amusement]])</f>
        <v>143.30000000000001</v>
      </c>
      <c r="AH215" s="12">
        <f>SUM(All_India_Index_Upto_April23__1___14[[#This Row],[Cereals and products]:[Pan, tobacco and intoxicants]])</f>
        <v>1935.5000000000002</v>
      </c>
      <c r="AI215" s="12">
        <f>SUM(All_India_Index_Upto_April23__1___14[[#This Row],[Household goods and services]],All_India_Index_Upto_April23__1___14[[#This Row],[Housing]])</f>
        <v>288.77096774193564</v>
      </c>
      <c r="AJ215" s="12">
        <f>All_India_Index_Upto_April23__1___14[[#This Row],[Clothing]]+All_India_Index_Upto_April23__1___14[[#This Row],[Footwear]]</f>
        <v>297.5</v>
      </c>
      <c r="AK215" s="12">
        <f>All_India_Index_Upto_April23__1___14[[#This Row],[Miscellaneous]]+All_India_Index_Upto_April23__1___14[[#This Row],[Personal care and effects]]+All_India_Index_Upto_April23__1___14[[#This Row],[Education]]+All_India_Index_Upto_April23__1___14[[#This Row],[Recreation and amusement]]</f>
        <v>573.20000000000005</v>
      </c>
      <c r="AL21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3522.470967741936</v>
      </c>
    </row>
    <row r="216" spans="1:38" hidden="1" x14ac:dyDescent="0.3">
      <c r="A216" t="s">
        <v>32</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s="12">
        <f>AVERAGE(All_India_Index_Upto_April23__1___14[[#This Row],[Cereals and products]:[Pan, tobacco and intoxicants]])</f>
        <v>136.51428571428571</v>
      </c>
      <c r="AF216" s="12">
        <f>AVERAGE(All_India_Index_Upto_April23__1___14[[#This Row],[Household goods and services]],All_India_Index_Upto_April23__1___14[[#This Row],[Housing]])</f>
        <v>141.35</v>
      </c>
      <c r="AG216" s="12">
        <f>AVERAGE(All_India_Index_Upto_April23__1___14[[#This Row],[Miscellaneous]],All_India_Index_Upto_April23__1___14[[#This Row],[Personal care and effects]],All_India_Index_Upto_April23__1___14[[#This Row],[Education]],All_India_Index_Upto_April23__1___14[[#This Row],[Recreation and amusement]])</f>
        <v>135.17500000000001</v>
      </c>
      <c r="AH216" s="12">
        <f>SUM(All_India_Index_Upto_April23__1___14[[#This Row],[Cereals and products]:[Pan, tobacco and intoxicants]])</f>
        <v>1911.1999999999998</v>
      </c>
      <c r="AI216" s="12">
        <f>SUM(All_India_Index_Upto_April23__1___14[[#This Row],[Household goods and services]],All_India_Index_Upto_April23__1___14[[#This Row],[Housing]])</f>
        <v>282.7</v>
      </c>
      <c r="AJ216" s="12">
        <f>All_India_Index_Upto_April23__1___14[[#This Row],[Clothing]]+All_India_Index_Upto_April23__1___14[[#This Row],[Footwear]]</f>
        <v>273</v>
      </c>
      <c r="AK216" s="12">
        <f>All_India_Index_Upto_April23__1___14[[#This Row],[Miscellaneous]]+All_India_Index_Upto_April23__1___14[[#This Row],[Personal care and effects]]+All_India_Index_Upto_April23__1___14[[#This Row],[Education]]+All_India_Index_Upto_April23__1___14[[#This Row],[Recreation and amusement]]</f>
        <v>540.70000000000005</v>
      </c>
      <c r="AL21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3396.1000000000004</v>
      </c>
    </row>
    <row r="217" spans="1:38" hidden="1" x14ac:dyDescent="0.3">
      <c r="A217" t="s">
        <v>33</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s="12">
        <f>AVERAGE(All_India_Index_Upto_April23__1___14[[#This Row],[Cereals and products]:[Pan, tobacco and intoxicants]])</f>
        <v>137.55714285714285</v>
      </c>
      <c r="AF217" s="12">
        <f>AVERAGE(All_India_Index_Upto_April23__1___14[[#This Row],[Household goods and services]],All_India_Index_Upto_April23__1___14[[#This Row],[Housing]])</f>
        <v>144.85</v>
      </c>
      <c r="AG217" s="12">
        <f>AVERAGE(All_India_Index_Upto_April23__1___14[[#This Row],[Miscellaneous]],All_India_Index_Upto_April23__1___14[[#This Row],[Personal care and effects]],All_India_Index_Upto_April23__1___14[[#This Row],[Education]],All_India_Index_Upto_April23__1___14[[#This Row],[Recreation and amusement]])</f>
        <v>138.97500000000002</v>
      </c>
      <c r="AH217" s="12">
        <f>SUM(All_India_Index_Upto_April23__1___14[[#This Row],[Cereals and products]:[Pan, tobacco and intoxicants]])</f>
        <v>1925.7999999999997</v>
      </c>
      <c r="AI217" s="12">
        <f>SUM(All_India_Index_Upto_April23__1___14[[#This Row],[Household goods and services]],All_India_Index_Upto_April23__1___14[[#This Row],[Housing]])</f>
        <v>289.7</v>
      </c>
      <c r="AJ217" s="12">
        <f>All_India_Index_Upto_April23__1___14[[#This Row],[Clothing]]+All_India_Index_Upto_April23__1___14[[#This Row],[Footwear]]</f>
        <v>287.5</v>
      </c>
      <c r="AK217" s="12">
        <f>All_India_Index_Upto_April23__1___14[[#This Row],[Miscellaneous]]+All_India_Index_Upto_April23__1___14[[#This Row],[Personal care and effects]]+All_India_Index_Upto_April23__1___14[[#This Row],[Education]]+All_India_Index_Upto_April23__1___14[[#This Row],[Recreation and amusement]]</f>
        <v>555.90000000000009</v>
      </c>
      <c r="AL21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3470.0999999999995</v>
      </c>
    </row>
    <row r="218" spans="1:38"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s="12">
        <f>'Handle Missing Value Sheet only'!$F$5</f>
        <v>139.27096774193564</v>
      </c>
      <c r="V218">
        <v>146.19999999999999</v>
      </c>
      <c r="W218">
        <v>150.1</v>
      </c>
      <c r="X218">
        <v>149.6</v>
      </c>
      <c r="Y218">
        <v>128.6</v>
      </c>
      <c r="Z218">
        <v>142.9</v>
      </c>
      <c r="AA218">
        <v>155.19999999999999</v>
      </c>
      <c r="AB218">
        <v>133.5</v>
      </c>
      <c r="AC218">
        <v>141.69999999999999</v>
      </c>
      <c r="AD218">
        <v>141</v>
      </c>
      <c r="AE218" s="12">
        <f>AVERAGE(All_India_Index_Upto_April23__1___14[[#This Row],[Cereals and products]:[Pan, tobacco and intoxicants]])</f>
        <v>137.30714285714288</v>
      </c>
      <c r="AF218" s="12">
        <f>AVERAGE(All_India_Index_Upto_April23__1___14[[#This Row],[Household goods and services]],All_India_Index_Upto_April23__1___14[[#This Row],[Housing]])</f>
        <v>144.6854838709678</v>
      </c>
      <c r="AG218" s="12">
        <f>AVERAGE(All_India_Index_Upto_April23__1___14[[#This Row],[Miscellaneous]],All_India_Index_Upto_April23__1___14[[#This Row],[Personal care and effects]],All_India_Index_Upto_April23__1___14[[#This Row],[Education]],All_India_Index_Upto_April23__1___14[[#This Row],[Recreation and amusement]])</f>
        <v>143.32499999999999</v>
      </c>
      <c r="AH218" s="12">
        <f>SUM(All_India_Index_Upto_April23__1___14[[#This Row],[Cereals and products]:[Pan, tobacco and intoxicants]])</f>
        <v>1922.3000000000002</v>
      </c>
      <c r="AI218" s="12">
        <f>SUM(All_India_Index_Upto_April23__1___14[[#This Row],[Household goods and services]],All_India_Index_Upto_April23__1___14[[#This Row],[Housing]])</f>
        <v>289.3709677419356</v>
      </c>
      <c r="AJ218" s="12">
        <f>All_India_Index_Upto_April23__1___14[[#This Row],[Clothing]]+All_India_Index_Upto_April23__1___14[[#This Row],[Footwear]]</f>
        <v>295.7</v>
      </c>
      <c r="AK218" s="12">
        <f>All_India_Index_Upto_April23__1___14[[#This Row],[Miscellaneous]]+All_India_Index_Upto_April23__1___14[[#This Row],[Personal care and effects]]+All_India_Index_Upto_April23__1___14[[#This Row],[Education]]+All_India_Index_Upto_April23__1___14[[#This Row],[Recreation and amusement]]</f>
        <v>573.29999999999995</v>
      </c>
      <c r="AL21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3505.0709677419354</v>
      </c>
    </row>
    <row r="219" spans="1:38" hidden="1" x14ac:dyDescent="0.3">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s="12">
        <f>AVERAGE(All_India_Index_Upto_April23__1___14[[#This Row],[Cereals and products]:[Pan, tobacco and intoxicants]])</f>
        <v>136.35714285714286</v>
      </c>
      <c r="AF219" s="12">
        <f>AVERAGE(All_India_Index_Upto_April23__1___14[[#This Row],[Household goods and services]],All_India_Index_Upto_April23__1___14[[#This Row],[Housing]])</f>
        <v>142</v>
      </c>
      <c r="AG219" s="12">
        <f>AVERAGE(All_India_Index_Upto_April23__1___14[[#This Row],[Miscellaneous]],All_India_Index_Upto_April23__1___14[[#This Row],[Personal care and effects]],All_India_Index_Upto_April23__1___14[[#This Row],[Education]],All_India_Index_Upto_April23__1___14[[#This Row],[Recreation and amusement]])</f>
        <v>135.5</v>
      </c>
      <c r="AH219" s="12">
        <f>SUM(All_India_Index_Upto_April23__1___14[[#This Row],[Cereals and products]:[Pan, tobacco and intoxicants]])</f>
        <v>1909.0000000000002</v>
      </c>
      <c r="AI219" s="12">
        <f>SUM(All_India_Index_Upto_April23__1___14[[#This Row],[Household goods and services]],All_India_Index_Upto_April23__1___14[[#This Row],[Housing]])</f>
        <v>284</v>
      </c>
      <c r="AJ219" s="12">
        <f>All_India_Index_Upto_April23__1___14[[#This Row],[Clothing]]+All_India_Index_Upto_April23__1___14[[#This Row],[Footwear]]</f>
        <v>273.39999999999998</v>
      </c>
      <c r="AK219" s="12">
        <f>All_India_Index_Upto_April23__1___14[[#This Row],[Miscellaneous]]+All_India_Index_Upto_April23__1___14[[#This Row],[Personal care and effects]]+All_India_Index_Upto_April23__1___14[[#This Row],[Education]]+All_India_Index_Upto_April23__1___14[[#This Row],[Recreation and amusement]]</f>
        <v>542</v>
      </c>
      <c r="AL21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3393.4000000000005</v>
      </c>
    </row>
    <row r="220" spans="1:38" hidden="1" x14ac:dyDescent="0.3">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s="12">
        <f>AVERAGE(All_India_Index_Upto_April23__1___14[[#This Row],[Cereals and products]:[Pan, tobacco and intoxicants]])</f>
        <v>136.9</v>
      </c>
      <c r="AF220" s="12">
        <f>AVERAGE(All_India_Index_Upto_April23__1___14[[#This Row],[Household goods and services]],All_India_Index_Upto_April23__1___14[[#This Row],[Housing]])</f>
        <v>145.64999999999998</v>
      </c>
      <c r="AG220" s="12">
        <f>AVERAGE(All_India_Index_Upto_April23__1___14[[#This Row],[Miscellaneous]],All_India_Index_Upto_April23__1___14[[#This Row],[Personal care and effects]],All_India_Index_Upto_April23__1___14[[#This Row],[Education]],All_India_Index_Upto_April23__1___14[[#This Row],[Recreation and amusement]])</f>
        <v>139.15</v>
      </c>
      <c r="AH220" s="12">
        <f>SUM(All_India_Index_Upto_April23__1___14[[#This Row],[Cereals and products]:[Pan, tobacco and intoxicants]])</f>
        <v>1916.6</v>
      </c>
      <c r="AI220" s="12">
        <f>SUM(All_India_Index_Upto_April23__1___14[[#This Row],[Household goods and services]],All_India_Index_Upto_April23__1___14[[#This Row],[Housing]])</f>
        <v>291.29999999999995</v>
      </c>
      <c r="AJ220" s="12">
        <f>All_India_Index_Upto_April23__1___14[[#This Row],[Clothing]]+All_India_Index_Upto_April23__1___14[[#This Row],[Footwear]]</f>
        <v>286.60000000000002</v>
      </c>
      <c r="AK220" s="12">
        <f>All_India_Index_Upto_April23__1___14[[#This Row],[Miscellaneous]]+All_India_Index_Upto_April23__1___14[[#This Row],[Personal care and effects]]+All_India_Index_Upto_April23__1___14[[#This Row],[Education]]+All_India_Index_Upto_April23__1___14[[#This Row],[Recreation and amusement]]</f>
        <v>556.6</v>
      </c>
      <c r="AL22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3459</v>
      </c>
    </row>
    <row r="221" spans="1:38" hidden="1" x14ac:dyDescent="0.3">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s="12">
        <f>'Handle Missing Value Sheet only'!$F$5</f>
        <v>139.27096774193564</v>
      </c>
      <c r="V221">
        <v>145.30000000000001</v>
      </c>
      <c r="W221">
        <v>150.1</v>
      </c>
      <c r="X221">
        <v>149.9</v>
      </c>
      <c r="Y221">
        <v>129.19999999999999</v>
      </c>
      <c r="Z221">
        <v>143.4</v>
      </c>
      <c r="AA221">
        <v>155.5</v>
      </c>
      <c r="AB221">
        <v>134.9</v>
      </c>
      <c r="AC221">
        <v>142.19999999999999</v>
      </c>
      <c r="AD221">
        <v>141</v>
      </c>
      <c r="AE221" s="12">
        <f>AVERAGE(All_India_Index_Upto_April23__1___14[[#This Row],[Cereals and products]:[Pan, tobacco and intoxicants]])</f>
        <v>137.32857142857145</v>
      </c>
      <c r="AF221" s="12">
        <f>AVERAGE(All_India_Index_Upto_April23__1___14[[#This Row],[Household goods and services]],All_India_Index_Upto_April23__1___14[[#This Row],[Housing]])</f>
        <v>144.6854838709678</v>
      </c>
      <c r="AG221" s="12">
        <f>AVERAGE(All_India_Index_Upto_April23__1___14[[#This Row],[Miscellaneous]],All_India_Index_Upto_April23__1___14[[#This Row],[Personal care and effects]],All_India_Index_Upto_April23__1___14[[#This Row],[Education]],All_India_Index_Upto_April23__1___14[[#This Row],[Recreation and amusement]])</f>
        <v>144</v>
      </c>
      <c r="AH221" s="12">
        <f>SUM(All_India_Index_Upto_April23__1___14[[#This Row],[Cereals and products]:[Pan, tobacco and intoxicants]])</f>
        <v>1922.6000000000001</v>
      </c>
      <c r="AI221" s="12">
        <f>SUM(All_India_Index_Upto_April23__1___14[[#This Row],[Household goods and services]],All_India_Index_Upto_April23__1___14[[#This Row],[Housing]])</f>
        <v>289.3709677419356</v>
      </c>
      <c r="AJ221" s="12">
        <f>All_India_Index_Upto_April23__1___14[[#This Row],[Clothing]]+All_India_Index_Upto_April23__1___14[[#This Row],[Footwear]]</f>
        <v>296.60000000000002</v>
      </c>
      <c r="AK221" s="12">
        <f>All_India_Index_Upto_April23__1___14[[#This Row],[Miscellaneous]]+All_India_Index_Upto_April23__1___14[[#This Row],[Personal care and effects]]+All_India_Index_Upto_April23__1___14[[#This Row],[Education]]+All_India_Index_Upto_April23__1___14[[#This Row],[Recreation and amusement]]</f>
        <v>576</v>
      </c>
      <c r="AL22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3508.9709677419355</v>
      </c>
    </row>
    <row r="222" spans="1:38" hidden="1" x14ac:dyDescent="0.3">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s="12">
        <f>AVERAGE(All_India_Index_Upto_April23__1___14[[#This Row],[Cereals and products]:[Pan, tobacco and intoxicants]])</f>
        <v>137.09285714285716</v>
      </c>
      <c r="AF222" s="12">
        <f>AVERAGE(All_India_Index_Upto_April23__1___14[[#This Row],[Household goods and services]],All_India_Index_Upto_April23__1___14[[#This Row],[Housing]])</f>
        <v>142.55000000000001</v>
      </c>
      <c r="AG222" s="12">
        <f>AVERAGE(All_India_Index_Upto_April23__1___14[[#This Row],[Miscellaneous]],All_India_Index_Upto_April23__1___14[[#This Row],[Personal care and effects]],All_India_Index_Upto_April23__1___14[[#This Row],[Education]],All_India_Index_Upto_April23__1___14[[#This Row],[Recreation and amusement]])</f>
        <v>136.05000000000001</v>
      </c>
      <c r="AH222" s="12">
        <f>SUM(All_India_Index_Upto_April23__1___14[[#This Row],[Cereals and products]:[Pan, tobacco and intoxicants]])</f>
        <v>1919.3000000000002</v>
      </c>
      <c r="AI222" s="12">
        <f>SUM(All_India_Index_Upto_April23__1___14[[#This Row],[Household goods and services]],All_India_Index_Upto_April23__1___14[[#This Row],[Housing]])</f>
        <v>285.10000000000002</v>
      </c>
      <c r="AJ222" s="12">
        <f>All_India_Index_Upto_April23__1___14[[#This Row],[Clothing]]+All_India_Index_Upto_April23__1___14[[#This Row],[Footwear]]</f>
        <v>274.10000000000002</v>
      </c>
      <c r="AK222" s="12">
        <f>All_India_Index_Upto_April23__1___14[[#This Row],[Miscellaneous]]+All_India_Index_Upto_April23__1___14[[#This Row],[Personal care and effects]]+All_India_Index_Upto_April23__1___14[[#This Row],[Education]]+All_India_Index_Upto_April23__1___14[[#This Row],[Recreation and amusement]]</f>
        <v>544.20000000000005</v>
      </c>
      <c r="AL22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3407.5</v>
      </c>
    </row>
    <row r="223" spans="1:38" hidden="1" x14ac:dyDescent="0.3">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s="12">
        <f>AVERAGE(All_India_Index_Upto_April23__1___14[[#This Row],[Cereals and products]:[Pan, tobacco and intoxicants]])</f>
        <v>137.17857142857142</v>
      </c>
      <c r="AF223" s="12">
        <f>AVERAGE(All_India_Index_Upto_April23__1___14[[#This Row],[Household goods and services]],All_India_Index_Upto_April23__1___14[[#This Row],[Housing]])</f>
        <v>146.1</v>
      </c>
      <c r="AG223" s="12">
        <f>AVERAGE(All_India_Index_Upto_April23__1___14[[#This Row],[Miscellaneous]],All_India_Index_Upto_April23__1___14[[#This Row],[Personal care and effects]],All_India_Index_Upto_April23__1___14[[#This Row],[Education]],All_India_Index_Upto_April23__1___14[[#This Row],[Recreation and amusement]])</f>
        <v>139.72499999999999</v>
      </c>
      <c r="AH223" s="12">
        <f>SUM(All_India_Index_Upto_April23__1___14[[#This Row],[Cereals and products]:[Pan, tobacco and intoxicants]])</f>
        <v>1920.5</v>
      </c>
      <c r="AI223" s="12">
        <f>SUM(All_India_Index_Upto_April23__1___14[[#This Row],[Household goods and services]],All_India_Index_Upto_April23__1___14[[#This Row],[Housing]])</f>
        <v>292.2</v>
      </c>
      <c r="AJ223" s="12">
        <f>All_India_Index_Upto_April23__1___14[[#This Row],[Clothing]]+All_India_Index_Upto_April23__1___14[[#This Row],[Footwear]]</f>
        <v>287.39999999999998</v>
      </c>
      <c r="AK223" s="12">
        <f>All_India_Index_Upto_April23__1___14[[#This Row],[Miscellaneous]]+All_India_Index_Upto_April23__1___14[[#This Row],[Personal care and effects]]+All_India_Index_Upto_April23__1___14[[#This Row],[Education]]+All_India_Index_Upto_April23__1___14[[#This Row],[Recreation and amusement]]</f>
        <v>558.9</v>
      </c>
      <c r="AL22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3466.9</v>
      </c>
    </row>
    <row r="224" spans="1:38" hidden="1" x14ac:dyDescent="0.3">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s="12">
        <f>'Handle Missing Value Sheet only'!$F$5</f>
        <v>139.27096774193564</v>
      </c>
      <c r="V224">
        <v>146.4</v>
      </c>
      <c r="W224">
        <v>150</v>
      </c>
      <c r="X224">
        <v>150.4</v>
      </c>
      <c r="Y224">
        <v>129.9</v>
      </c>
      <c r="Z224">
        <v>143.80000000000001</v>
      </c>
      <c r="AA224">
        <v>155.5</v>
      </c>
      <c r="AB224">
        <v>134</v>
      </c>
      <c r="AC224">
        <v>142.4</v>
      </c>
      <c r="AD224">
        <v>141.19999999999999</v>
      </c>
      <c r="AE224" s="12">
        <f>AVERAGE(All_India_Index_Upto_April23__1___14[[#This Row],[Cereals and products]:[Pan, tobacco and intoxicants]])</f>
        <v>137.43571428571431</v>
      </c>
      <c r="AF224" s="12">
        <f>AVERAGE(All_India_Index_Upto_April23__1___14[[#This Row],[Household goods and services]],All_India_Index_Upto_April23__1___14[[#This Row],[Housing]])</f>
        <v>144.63548387096782</v>
      </c>
      <c r="AG224" s="12">
        <f>AVERAGE(All_India_Index_Upto_April23__1___14[[#This Row],[Miscellaneous]],All_India_Index_Upto_April23__1___14[[#This Row],[Personal care and effects]],All_India_Index_Upto_April23__1___14[[#This Row],[Education]],All_India_Index_Upto_April23__1___14[[#This Row],[Recreation and amusement]])</f>
        <v>143.92500000000001</v>
      </c>
      <c r="AH224" s="12">
        <f>SUM(All_India_Index_Upto_April23__1___14[[#This Row],[Cereals and products]:[Pan, tobacco and intoxicants]])</f>
        <v>1924.1000000000004</v>
      </c>
      <c r="AI224" s="12">
        <f>SUM(All_India_Index_Upto_April23__1___14[[#This Row],[Household goods and services]],All_India_Index_Upto_April23__1___14[[#This Row],[Housing]])</f>
        <v>289.27096774193564</v>
      </c>
      <c r="AJ224" s="12">
        <f>All_India_Index_Upto_April23__1___14[[#This Row],[Clothing]]+All_India_Index_Upto_April23__1___14[[#This Row],[Footwear]]</f>
        <v>296.89999999999998</v>
      </c>
      <c r="AK224" s="12">
        <f>All_India_Index_Upto_April23__1___14[[#This Row],[Miscellaneous]]+All_India_Index_Upto_April23__1___14[[#This Row],[Personal care and effects]]+All_India_Index_Upto_April23__1___14[[#This Row],[Education]]+All_India_Index_Upto_April23__1___14[[#This Row],[Recreation and amusement]]</f>
        <v>575.70000000000005</v>
      </c>
      <c r="AL22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3512.6709677419362</v>
      </c>
    </row>
    <row r="225" spans="1:38" hidden="1" x14ac:dyDescent="0.3">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s="12">
        <f>AVERAGE(All_India_Index_Upto_April23__1___14[[#This Row],[Cereals and products]:[Pan, tobacco and intoxicants]])</f>
        <v>138.12142857142857</v>
      </c>
      <c r="AF225" s="12">
        <f>AVERAGE(All_India_Index_Upto_April23__1___14[[#This Row],[Household goods and services]],All_India_Index_Upto_April23__1___14[[#This Row],[Housing]])</f>
        <v>142.9</v>
      </c>
      <c r="AG225" s="12">
        <f>AVERAGE(All_India_Index_Upto_April23__1___14[[#This Row],[Miscellaneous]],All_India_Index_Upto_April23__1___14[[#This Row],[Personal care and effects]],All_India_Index_Upto_April23__1___14[[#This Row],[Education]],All_India_Index_Upto_April23__1___14[[#This Row],[Recreation and amusement]])</f>
        <v>136.25</v>
      </c>
      <c r="AH225" s="12">
        <f>SUM(All_India_Index_Upto_April23__1___14[[#This Row],[Cereals and products]:[Pan, tobacco and intoxicants]])</f>
        <v>1933.7</v>
      </c>
      <c r="AI225" s="12">
        <f>SUM(All_India_Index_Upto_April23__1___14[[#This Row],[Household goods and services]],All_India_Index_Upto_April23__1___14[[#This Row],[Housing]])</f>
        <v>285.8</v>
      </c>
      <c r="AJ225" s="12">
        <f>All_India_Index_Upto_April23__1___14[[#This Row],[Clothing]]+All_India_Index_Upto_April23__1___14[[#This Row],[Footwear]]</f>
        <v>274.7</v>
      </c>
      <c r="AK225" s="12">
        <f>All_India_Index_Upto_April23__1___14[[#This Row],[Miscellaneous]]+All_India_Index_Upto_April23__1___14[[#This Row],[Personal care and effects]]+All_India_Index_Upto_April23__1___14[[#This Row],[Education]]+All_India_Index_Upto_April23__1___14[[#This Row],[Recreation and amusement]]</f>
        <v>545</v>
      </c>
      <c r="AL22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3427.1</v>
      </c>
    </row>
    <row r="226" spans="1:38" hidden="1" x14ac:dyDescent="0.3">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s="12">
        <f>AVERAGE(All_India_Index_Upto_April23__1___14[[#This Row],[Cereals and products]:[Pan, tobacco and intoxicants]])</f>
        <v>137.6</v>
      </c>
      <c r="AF226" s="12">
        <f>AVERAGE(All_India_Index_Upto_April23__1___14[[#This Row],[Household goods and services]],All_India_Index_Upto_April23__1___14[[#This Row],[Housing]])</f>
        <v>146.4</v>
      </c>
      <c r="AG226" s="12">
        <f>AVERAGE(All_India_Index_Upto_April23__1___14[[#This Row],[Miscellaneous]],All_India_Index_Upto_April23__1___14[[#This Row],[Personal care and effects]],All_India_Index_Upto_April23__1___14[[#This Row],[Education]],All_India_Index_Upto_April23__1___14[[#This Row],[Recreation and amusement]])</f>
        <v>139.77500000000001</v>
      </c>
      <c r="AH226" s="12">
        <f>SUM(All_India_Index_Upto_April23__1___14[[#This Row],[Cereals and products]:[Pan, tobacco and intoxicants]])</f>
        <v>1926.4</v>
      </c>
      <c r="AI226" s="12">
        <f>SUM(All_India_Index_Upto_April23__1___14[[#This Row],[Household goods and services]],All_India_Index_Upto_April23__1___14[[#This Row],[Housing]])</f>
        <v>292.8</v>
      </c>
      <c r="AJ226" s="12">
        <f>All_India_Index_Upto_April23__1___14[[#This Row],[Clothing]]+All_India_Index_Upto_April23__1___14[[#This Row],[Footwear]]</f>
        <v>287.8</v>
      </c>
      <c r="AK226" s="12">
        <f>All_India_Index_Upto_April23__1___14[[#This Row],[Miscellaneous]]+All_India_Index_Upto_April23__1___14[[#This Row],[Personal care and effects]]+All_India_Index_Upto_April23__1___14[[#This Row],[Education]]+All_India_Index_Upto_April23__1___14[[#This Row],[Recreation and amusement]]</f>
        <v>559.1</v>
      </c>
      <c r="AL22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3476.6</v>
      </c>
    </row>
    <row r="227" spans="1:38" hidden="1" x14ac:dyDescent="0.3">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s="12">
        <f>'Handle Missing Value Sheet only'!$F$5</f>
        <v>139.27096774193564</v>
      </c>
      <c r="V227">
        <v>146.9</v>
      </c>
      <c r="W227">
        <v>149.5</v>
      </c>
      <c r="X227">
        <v>151.30000000000001</v>
      </c>
      <c r="Y227">
        <v>130.19999999999999</v>
      </c>
      <c r="Z227">
        <v>145.9</v>
      </c>
      <c r="AA227">
        <v>156.69999999999999</v>
      </c>
      <c r="AB227">
        <v>133.9</v>
      </c>
      <c r="AC227">
        <v>142.9</v>
      </c>
      <c r="AD227">
        <v>142.4</v>
      </c>
      <c r="AE227" s="12">
        <f>AVERAGE(All_India_Index_Upto_April23__1___14[[#This Row],[Cereals and products]:[Pan, tobacco and intoxicants]])</f>
        <v>138.95714285714286</v>
      </c>
      <c r="AF227" s="12">
        <f>AVERAGE(All_India_Index_Upto_April23__1___14[[#This Row],[Household goods and services]],All_India_Index_Upto_April23__1___14[[#This Row],[Housing]])</f>
        <v>144.38548387096782</v>
      </c>
      <c r="AG227" s="12">
        <f>AVERAGE(All_India_Index_Upto_April23__1___14[[#This Row],[Miscellaneous]],All_India_Index_Upto_April23__1___14[[#This Row],[Personal care and effects]],All_India_Index_Upto_April23__1___14[[#This Row],[Education]],All_India_Index_Upto_April23__1___14[[#This Row],[Recreation and amusement]])</f>
        <v>144.85</v>
      </c>
      <c r="AH227" s="12">
        <f>SUM(All_India_Index_Upto_April23__1___14[[#This Row],[Cereals and products]:[Pan, tobacco and intoxicants]])</f>
        <v>1945.4</v>
      </c>
      <c r="AI227" s="12">
        <f>SUM(All_India_Index_Upto_April23__1___14[[#This Row],[Household goods and services]],All_India_Index_Upto_April23__1___14[[#This Row],[Housing]])</f>
        <v>288.77096774193564</v>
      </c>
      <c r="AJ227" s="12">
        <f>All_India_Index_Upto_April23__1___14[[#This Row],[Clothing]]+All_India_Index_Upto_April23__1___14[[#This Row],[Footwear]]</f>
        <v>297.89999999999998</v>
      </c>
      <c r="AK227" s="12">
        <f>All_India_Index_Upto_April23__1___14[[#This Row],[Miscellaneous]]+All_India_Index_Upto_April23__1___14[[#This Row],[Personal care and effects]]+All_India_Index_Upto_April23__1___14[[#This Row],[Education]]+All_India_Index_Upto_April23__1___14[[#This Row],[Recreation and amusement]]</f>
        <v>579.4</v>
      </c>
      <c r="AL22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3539.8709677419361</v>
      </c>
    </row>
    <row r="228" spans="1:38" hidden="1" x14ac:dyDescent="0.3">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s="12">
        <f>AVERAGE(All_India_Index_Upto_April23__1___14[[#This Row],[Cereals and products]:[Pan, tobacco and intoxicants]])</f>
        <v>141.26428571428573</v>
      </c>
      <c r="AF228" s="12">
        <f>AVERAGE(All_India_Index_Upto_April23__1___14[[#This Row],[Household goods and services]],All_India_Index_Upto_April23__1___14[[#This Row],[Housing]])</f>
        <v>143.64999999999998</v>
      </c>
      <c r="AG228" s="12">
        <f>AVERAGE(All_India_Index_Upto_April23__1___14[[#This Row],[Miscellaneous]],All_India_Index_Upto_April23__1___14[[#This Row],[Personal care and effects]],All_India_Index_Upto_April23__1___14[[#This Row],[Education]],All_India_Index_Upto_April23__1___14[[#This Row],[Recreation and amusement]])</f>
        <v>136.97499999999999</v>
      </c>
      <c r="AH228" s="12">
        <f>SUM(All_India_Index_Upto_April23__1___14[[#This Row],[Cereals and products]:[Pan, tobacco and intoxicants]])</f>
        <v>1977.7000000000003</v>
      </c>
      <c r="AI228" s="12">
        <f>SUM(All_India_Index_Upto_April23__1___14[[#This Row],[Household goods and services]],All_India_Index_Upto_April23__1___14[[#This Row],[Housing]])</f>
        <v>287.29999999999995</v>
      </c>
      <c r="AJ228" s="12">
        <f>All_India_Index_Upto_April23__1___14[[#This Row],[Clothing]]+All_India_Index_Upto_April23__1___14[[#This Row],[Footwear]]</f>
        <v>275.7</v>
      </c>
      <c r="AK228" s="12">
        <f>All_India_Index_Upto_April23__1___14[[#This Row],[Miscellaneous]]+All_India_Index_Upto_April23__1___14[[#This Row],[Personal care and effects]]+All_India_Index_Upto_April23__1___14[[#This Row],[Education]]+All_India_Index_Upto_April23__1___14[[#This Row],[Recreation and amusement]]</f>
        <v>547.9</v>
      </c>
      <c r="AL22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3477.9000000000005</v>
      </c>
    </row>
    <row r="229" spans="1:38" hidden="1" x14ac:dyDescent="0.3">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s="12">
        <f>AVERAGE(All_India_Index_Upto_April23__1___14[[#This Row],[Cereals and products]:[Pan, tobacco and intoxicants]])</f>
        <v>139.71428571428572</v>
      </c>
      <c r="AF229" s="12">
        <f>AVERAGE(All_India_Index_Upto_April23__1___14[[#This Row],[Household goods and services]],All_India_Index_Upto_April23__1___14[[#This Row],[Housing]])</f>
        <v>146.89999999999998</v>
      </c>
      <c r="AG229" s="12">
        <f>AVERAGE(All_India_Index_Upto_April23__1___14[[#This Row],[Miscellaneous]],All_India_Index_Upto_April23__1___14[[#This Row],[Personal care and effects]],All_India_Index_Upto_April23__1___14[[#This Row],[Education]],All_India_Index_Upto_April23__1___14[[#This Row],[Recreation and amusement]])</f>
        <v>140.60000000000002</v>
      </c>
      <c r="AH229" s="12">
        <f>SUM(All_India_Index_Upto_April23__1___14[[#This Row],[Cereals and products]:[Pan, tobacco and intoxicants]])</f>
        <v>1956.0000000000002</v>
      </c>
      <c r="AI229" s="12">
        <f>SUM(All_India_Index_Upto_April23__1___14[[#This Row],[Household goods and services]],All_India_Index_Upto_April23__1___14[[#This Row],[Housing]])</f>
        <v>293.79999999999995</v>
      </c>
      <c r="AJ229" s="12">
        <f>All_India_Index_Upto_April23__1___14[[#This Row],[Clothing]]+All_India_Index_Upto_April23__1___14[[#This Row],[Footwear]]</f>
        <v>288.8</v>
      </c>
      <c r="AK229" s="12">
        <f>All_India_Index_Upto_April23__1___14[[#This Row],[Miscellaneous]]+All_India_Index_Upto_April23__1___14[[#This Row],[Personal care and effects]]+All_India_Index_Upto_April23__1___14[[#This Row],[Education]]+All_India_Index_Upto_April23__1___14[[#This Row],[Recreation and amusement]]</f>
        <v>562.40000000000009</v>
      </c>
      <c r="AL22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3513.1000000000004</v>
      </c>
    </row>
    <row r="230" spans="1:38" hidden="1" x14ac:dyDescent="0.3">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s="12">
        <f>'Handle Missing Value Sheet only'!$F$5</f>
        <v>139.27096774193564</v>
      </c>
      <c r="V230">
        <v>147.80000000000001</v>
      </c>
      <c r="W230">
        <v>149.6</v>
      </c>
      <c r="X230">
        <v>151.69999999999999</v>
      </c>
      <c r="Y230">
        <v>130.19999999999999</v>
      </c>
      <c r="Z230">
        <v>146.4</v>
      </c>
      <c r="AA230">
        <v>157.69999999999999</v>
      </c>
      <c r="AB230">
        <v>134.80000000000001</v>
      </c>
      <c r="AC230">
        <v>143.30000000000001</v>
      </c>
      <c r="AD230">
        <v>143.6</v>
      </c>
      <c r="AE230" s="12">
        <f>AVERAGE(All_India_Index_Upto_April23__1___14[[#This Row],[Cereals and products]:[Pan, tobacco and intoxicants]])</f>
        <v>140.6</v>
      </c>
      <c r="AF230" s="12">
        <f>AVERAGE(All_India_Index_Upto_April23__1___14[[#This Row],[Household goods and services]],All_India_Index_Upto_April23__1___14[[#This Row],[Housing]])</f>
        <v>144.4354838709678</v>
      </c>
      <c r="AG230" s="12">
        <f>AVERAGE(All_India_Index_Upto_April23__1___14[[#This Row],[Miscellaneous]],All_India_Index_Upto_April23__1___14[[#This Row],[Personal care and effects]],All_India_Index_Upto_April23__1___14[[#This Row],[Education]],All_India_Index_Upto_April23__1___14[[#This Row],[Recreation and amusement]])</f>
        <v>145.55000000000001</v>
      </c>
      <c r="AH230" s="12">
        <f>SUM(All_India_Index_Upto_April23__1___14[[#This Row],[Cereals and products]:[Pan, tobacco and intoxicants]])</f>
        <v>1968.3999999999999</v>
      </c>
      <c r="AI230" s="12">
        <f>SUM(All_India_Index_Upto_April23__1___14[[#This Row],[Household goods and services]],All_India_Index_Upto_April23__1___14[[#This Row],[Housing]])</f>
        <v>288.8709677419356</v>
      </c>
      <c r="AJ230" s="12">
        <f>All_India_Index_Upto_April23__1___14[[#This Row],[Clothing]]+All_India_Index_Upto_April23__1___14[[#This Row],[Footwear]]</f>
        <v>297.89999999999998</v>
      </c>
      <c r="AK230" s="12">
        <f>All_India_Index_Upto_April23__1___14[[#This Row],[Miscellaneous]]+All_India_Index_Upto_April23__1___14[[#This Row],[Personal care and effects]]+All_India_Index_Upto_April23__1___14[[#This Row],[Education]]+All_India_Index_Upto_April23__1___14[[#This Row],[Recreation and amusement]]</f>
        <v>582.20000000000005</v>
      </c>
      <c r="AL23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3567.0709677419354</v>
      </c>
    </row>
    <row r="231" spans="1:38" hidden="1" x14ac:dyDescent="0.3">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s="12">
        <f>AVERAGE(All_India_Index_Upto_April23__1___14[[#This Row],[Cereals and products]:[Pan, tobacco and intoxicants]])</f>
        <v>142.85714285714283</v>
      </c>
      <c r="AF231" s="12">
        <f>AVERAGE(All_India_Index_Upto_April23__1___14[[#This Row],[Household goods and services]],All_India_Index_Upto_April23__1___14[[#This Row],[Housing]])</f>
        <v>143.4</v>
      </c>
      <c r="AG231" s="12">
        <f>AVERAGE(All_India_Index_Upto_April23__1___14[[#This Row],[Miscellaneous]],All_India_Index_Upto_April23__1___14[[#This Row],[Personal care and effects]],All_India_Index_Upto_April23__1___14[[#This Row],[Education]],All_India_Index_Upto_April23__1___14[[#This Row],[Recreation and amusement]])</f>
        <v>137.625</v>
      </c>
      <c r="AH231" s="12">
        <f>SUM(All_India_Index_Upto_April23__1___14[[#This Row],[Cereals and products]:[Pan, tobacco and intoxicants]])</f>
        <v>1999.9999999999998</v>
      </c>
      <c r="AI231" s="12">
        <f>SUM(All_India_Index_Upto_April23__1___14[[#This Row],[Household goods and services]],All_India_Index_Upto_April23__1___14[[#This Row],[Housing]])</f>
        <v>286.8</v>
      </c>
      <c r="AJ231" s="12">
        <f>All_India_Index_Upto_April23__1___14[[#This Row],[Clothing]]+All_India_Index_Upto_April23__1___14[[#This Row],[Footwear]]</f>
        <v>276</v>
      </c>
      <c r="AK231" s="12">
        <f>All_India_Index_Upto_April23__1___14[[#This Row],[Miscellaneous]]+All_India_Index_Upto_April23__1___14[[#This Row],[Personal care and effects]]+All_India_Index_Upto_April23__1___14[[#This Row],[Education]]+All_India_Index_Upto_April23__1___14[[#This Row],[Recreation and amusement]]</f>
        <v>550.5</v>
      </c>
      <c r="AL23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3503.7</v>
      </c>
    </row>
    <row r="232" spans="1:38" hidden="1" x14ac:dyDescent="0.3">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s="12">
        <f>AVERAGE(All_India_Index_Upto_April23__1___14[[#This Row],[Cereals and products]:[Pan, tobacco and intoxicants]])</f>
        <v>141.35714285714286</v>
      </c>
      <c r="AF232" s="12">
        <f>AVERAGE(All_India_Index_Upto_April23__1___14[[#This Row],[Household goods and services]],All_India_Index_Upto_April23__1___14[[#This Row],[Housing]])</f>
        <v>146.60000000000002</v>
      </c>
      <c r="AG232" s="12">
        <f>AVERAGE(All_India_Index_Upto_April23__1___14[[#This Row],[Miscellaneous]],All_India_Index_Upto_April23__1___14[[#This Row],[Personal care and effects]],All_India_Index_Upto_April23__1___14[[#This Row],[Education]],All_India_Index_Upto_April23__1___14[[#This Row],[Recreation and amusement]])</f>
        <v>141.25</v>
      </c>
      <c r="AH232" s="12">
        <f>SUM(All_India_Index_Upto_April23__1___14[[#This Row],[Cereals and products]:[Pan, tobacco and intoxicants]])</f>
        <v>1979.0000000000002</v>
      </c>
      <c r="AI232" s="12">
        <f>SUM(All_India_Index_Upto_April23__1___14[[#This Row],[Household goods and services]],All_India_Index_Upto_April23__1___14[[#This Row],[Housing]])</f>
        <v>293.20000000000005</v>
      </c>
      <c r="AJ232" s="12">
        <f>All_India_Index_Upto_April23__1___14[[#This Row],[Clothing]]+All_India_Index_Upto_April23__1___14[[#This Row],[Footwear]]</f>
        <v>289</v>
      </c>
      <c r="AK232" s="12">
        <f>All_India_Index_Upto_April23__1___14[[#This Row],[Miscellaneous]]+All_India_Index_Upto_April23__1___14[[#This Row],[Personal care and effects]]+All_India_Index_Upto_April23__1___14[[#This Row],[Education]]+All_India_Index_Upto_April23__1___14[[#This Row],[Recreation and amusement]]</f>
        <v>565</v>
      </c>
      <c r="AL23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3539.4</v>
      </c>
    </row>
    <row r="233" spans="1:38" hidden="1" x14ac:dyDescent="0.3">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s="12">
        <f>'Handle Missing Value Sheet only'!$F$5</f>
        <v>139.27096774193564</v>
      </c>
      <c r="V233">
        <v>146.80000000000001</v>
      </c>
      <c r="W233">
        <v>150</v>
      </c>
      <c r="X233">
        <v>152.19999999999999</v>
      </c>
      <c r="Y233">
        <v>131.19999999999999</v>
      </c>
      <c r="Z233">
        <v>147.5</v>
      </c>
      <c r="AA233">
        <v>159.1</v>
      </c>
      <c r="AB233">
        <v>136.1</v>
      </c>
      <c r="AC233">
        <v>144.19999999999999</v>
      </c>
      <c r="AD233">
        <v>144.9</v>
      </c>
      <c r="AE233" s="12">
        <f>AVERAGE(All_India_Index_Upto_April23__1___14[[#This Row],[Cereals and products]:[Pan, tobacco and intoxicants]])</f>
        <v>142.24285714285713</v>
      </c>
      <c r="AF233" s="12">
        <f>AVERAGE(All_India_Index_Upto_April23__1___14[[#This Row],[Household goods and services]],All_India_Index_Upto_April23__1___14[[#This Row],[Housing]])</f>
        <v>144.63548387096782</v>
      </c>
      <c r="AG233" s="12">
        <f>AVERAGE(All_India_Index_Upto_April23__1___14[[#This Row],[Miscellaneous]],All_India_Index_Upto_April23__1___14[[#This Row],[Personal care and effects]],All_India_Index_Upto_April23__1___14[[#This Row],[Education]],All_India_Index_Upto_April23__1___14[[#This Row],[Recreation and amusement]])</f>
        <v>146.72499999999999</v>
      </c>
      <c r="AH233" s="12">
        <f>SUM(All_India_Index_Upto_April23__1___14[[#This Row],[Cereals and products]:[Pan, tobacco and intoxicants]])</f>
        <v>1991.3999999999999</v>
      </c>
      <c r="AI233" s="12">
        <f>SUM(All_India_Index_Upto_April23__1___14[[#This Row],[Household goods and services]],All_India_Index_Upto_April23__1___14[[#This Row],[Housing]])</f>
        <v>289.27096774193564</v>
      </c>
      <c r="AJ233" s="12">
        <f>All_India_Index_Upto_April23__1___14[[#This Row],[Clothing]]+All_India_Index_Upto_April23__1___14[[#This Row],[Footwear]]</f>
        <v>298.2</v>
      </c>
      <c r="AK233" s="12">
        <f>All_India_Index_Upto_April23__1___14[[#This Row],[Miscellaneous]]+All_India_Index_Upto_April23__1___14[[#This Row],[Personal care and effects]]+All_India_Index_Upto_April23__1___14[[#This Row],[Education]]+All_India_Index_Upto_April23__1___14[[#This Row],[Recreation and amusement]]</f>
        <v>586.9</v>
      </c>
      <c r="AL23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3595.9709677419351</v>
      </c>
    </row>
    <row r="234" spans="1:38" hidden="1" x14ac:dyDescent="0.3">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s="12">
        <f>AVERAGE(All_India_Index_Upto_April23__1___14[[#This Row],[Cereals and products]:[Pan, tobacco and intoxicants]])</f>
        <v>144.6142857142857</v>
      </c>
      <c r="AF234" s="12">
        <f>AVERAGE(All_India_Index_Upto_April23__1___14[[#This Row],[Household goods and services]],All_India_Index_Upto_April23__1___14[[#This Row],[Housing]])</f>
        <v>144.14999999999998</v>
      </c>
      <c r="AG234" s="12">
        <f>AVERAGE(All_India_Index_Upto_April23__1___14[[#This Row],[Miscellaneous]],All_India_Index_Upto_April23__1___14[[#This Row],[Personal care and effects]],All_India_Index_Upto_April23__1___14[[#This Row],[Education]],All_India_Index_Upto_April23__1___14[[#This Row],[Recreation and amusement]])</f>
        <v>138.75</v>
      </c>
      <c r="AH234" s="12">
        <f>SUM(All_India_Index_Upto_April23__1___14[[#This Row],[Cereals and products]:[Pan, tobacco and intoxicants]])</f>
        <v>2024.6</v>
      </c>
      <c r="AI234" s="12">
        <f>SUM(All_India_Index_Upto_April23__1___14[[#This Row],[Household goods and services]],All_India_Index_Upto_April23__1___14[[#This Row],[Housing]])</f>
        <v>288.29999999999995</v>
      </c>
      <c r="AJ234" s="12">
        <f>All_India_Index_Upto_April23__1___14[[#This Row],[Clothing]]+All_India_Index_Upto_April23__1___14[[#This Row],[Footwear]]</f>
        <v>276.60000000000002</v>
      </c>
      <c r="AK234" s="12">
        <f>All_India_Index_Upto_April23__1___14[[#This Row],[Miscellaneous]]+All_India_Index_Upto_April23__1___14[[#This Row],[Personal care and effects]]+All_India_Index_Upto_April23__1___14[[#This Row],[Education]]+All_India_Index_Upto_April23__1___14[[#This Row],[Recreation and amusement]]</f>
        <v>555</v>
      </c>
      <c r="AL23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3532.9</v>
      </c>
    </row>
    <row r="235" spans="1:38" hidden="1" x14ac:dyDescent="0.3">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s="12">
        <f>AVERAGE(All_India_Index_Upto_April23__1___14[[#This Row],[Cereals and products]:[Pan, tobacco and intoxicants]])</f>
        <v>143.05000000000001</v>
      </c>
      <c r="AF235" s="12">
        <f>AVERAGE(All_India_Index_Upto_April23__1___14[[#This Row],[Household goods and services]],All_India_Index_Upto_April23__1___14[[#This Row],[Housing]])</f>
        <v>147.39999999999998</v>
      </c>
      <c r="AG235" s="12">
        <f>AVERAGE(All_India_Index_Upto_April23__1___14[[#This Row],[Miscellaneous]],All_India_Index_Upto_April23__1___14[[#This Row],[Personal care and effects]],All_India_Index_Upto_April23__1___14[[#This Row],[Education]],All_India_Index_Upto_April23__1___14[[#This Row],[Recreation and amusement]])</f>
        <v>142.42500000000001</v>
      </c>
      <c r="AH235" s="12">
        <f>SUM(All_India_Index_Upto_April23__1___14[[#This Row],[Cereals and products]:[Pan, tobacco and intoxicants]])</f>
        <v>2002.7</v>
      </c>
      <c r="AI235" s="12">
        <f>SUM(All_India_Index_Upto_April23__1___14[[#This Row],[Household goods and services]],All_India_Index_Upto_April23__1___14[[#This Row],[Housing]])</f>
        <v>294.79999999999995</v>
      </c>
      <c r="AJ235" s="12">
        <f>All_India_Index_Upto_April23__1___14[[#This Row],[Clothing]]+All_India_Index_Upto_April23__1___14[[#This Row],[Footwear]]</f>
        <v>289.39999999999998</v>
      </c>
      <c r="AK235" s="12">
        <f>All_India_Index_Upto_April23__1___14[[#This Row],[Miscellaneous]]+All_India_Index_Upto_April23__1___14[[#This Row],[Personal care and effects]]+All_India_Index_Upto_April23__1___14[[#This Row],[Education]]+All_India_Index_Upto_April23__1___14[[#This Row],[Recreation and amusement]]</f>
        <v>569.70000000000005</v>
      </c>
      <c r="AL23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3569.4000000000005</v>
      </c>
    </row>
    <row r="236" spans="1:38" hidden="1" x14ac:dyDescent="0.3">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s="12">
        <f>'Handle Missing Value Sheet only'!$F$5</f>
        <v>139.27096774193564</v>
      </c>
      <c r="V236">
        <v>146.4</v>
      </c>
      <c r="W236">
        <v>150.19999999999999</v>
      </c>
      <c r="X236">
        <v>152.69999999999999</v>
      </c>
      <c r="Y236">
        <v>131.4</v>
      </c>
      <c r="Z236">
        <v>148</v>
      </c>
      <c r="AA236">
        <v>159.69999999999999</v>
      </c>
      <c r="AB236">
        <v>138.80000000000001</v>
      </c>
      <c r="AC236">
        <v>144.9</v>
      </c>
      <c r="AD236">
        <v>145.69999999999999</v>
      </c>
      <c r="AE236" s="12">
        <f>AVERAGE(All_India_Index_Upto_April23__1___14[[#This Row],[Cereals and products]:[Pan, tobacco and intoxicants]])</f>
        <v>142.82857142857145</v>
      </c>
      <c r="AF236" s="12">
        <f>AVERAGE(All_India_Index_Upto_April23__1___14[[#This Row],[Household goods and services]],All_India_Index_Upto_April23__1___14[[#This Row],[Housing]])</f>
        <v>144.73548387096781</v>
      </c>
      <c r="AG236" s="12">
        <f>AVERAGE(All_India_Index_Upto_April23__1___14[[#This Row],[Miscellaneous]],All_India_Index_Upto_April23__1___14[[#This Row],[Personal care and effects]],All_India_Index_Upto_April23__1___14[[#This Row],[Education]],All_India_Index_Upto_April23__1___14[[#This Row],[Recreation and amusement]])</f>
        <v>147.85000000000002</v>
      </c>
      <c r="AH236" s="12">
        <f>SUM(All_India_Index_Upto_April23__1___14[[#This Row],[Cereals and products]:[Pan, tobacco and intoxicants]])</f>
        <v>1999.6000000000001</v>
      </c>
      <c r="AI236" s="12">
        <f>SUM(All_India_Index_Upto_April23__1___14[[#This Row],[Household goods and services]],All_India_Index_Upto_April23__1___14[[#This Row],[Housing]])</f>
        <v>289.47096774193562</v>
      </c>
      <c r="AJ236" s="12">
        <f>All_India_Index_Upto_April23__1___14[[#This Row],[Clothing]]+All_India_Index_Upto_April23__1___14[[#This Row],[Footwear]]</f>
        <v>298.39999999999998</v>
      </c>
      <c r="AK236" s="12">
        <f>All_India_Index_Upto_April23__1___14[[#This Row],[Miscellaneous]]+All_India_Index_Upto_April23__1___14[[#This Row],[Personal care and effects]]+All_India_Index_Upto_April23__1___14[[#This Row],[Education]]+All_India_Index_Upto_April23__1___14[[#This Row],[Recreation and amusement]]</f>
        <v>591.40000000000009</v>
      </c>
      <c r="AL23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3609.3709677419356</v>
      </c>
    </row>
    <row r="237" spans="1:38" hidden="1" x14ac:dyDescent="0.3">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s="12">
        <f>AVERAGE(All_India_Index_Upto_April23__1___14[[#This Row],[Cereals and products]:[Pan, tobacco and intoxicants]])</f>
        <v>145.5</v>
      </c>
      <c r="AF237" s="12">
        <f>AVERAGE(All_India_Index_Upto_April23__1___14[[#This Row],[Household goods and services]],All_India_Index_Upto_April23__1___14[[#This Row],[Housing]])</f>
        <v>144.85</v>
      </c>
      <c r="AG237" s="12">
        <f>AVERAGE(All_India_Index_Upto_April23__1___14[[#This Row],[Miscellaneous]],All_India_Index_Upto_April23__1___14[[#This Row],[Personal care and effects]],All_India_Index_Upto_April23__1___14[[#This Row],[Education]],All_India_Index_Upto_April23__1___14[[#This Row],[Recreation and amusement]])</f>
        <v>140</v>
      </c>
      <c r="AH237" s="12">
        <f>SUM(All_India_Index_Upto_April23__1___14[[#This Row],[Cereals and products]:[Pan, tobacco and intoxicants]])</f>
        <v>2037</v>
      </c>
      <c r="AI237" s="12">
        <f>SUM(All_India_Index_Upto_April23__1___14[[#This Row],[Household goods and services]],All_India_Index_Upto_April23__1___14[[#This Row],[Housing]])</f>
        <v>289.7</v>
      </c>
      <c r="AJ237" s="12">
        <f>All_India_Index_Upto_April23__1___14[[#This Row],[Clothing]]+All_India_Index_Upto_April23__1___14[[#This Row],[Footwear]]</f>
        <v>277.2</v>
      </c>
      <c r="AK237" s="12">
        <f>All_India_Index_Upto_April23__1___14[[#This Row],[Miscellaneous]]+All_India_Index_Upto_April23__1___14[[#This Row],[Personal care and effects]]+All_India_Index_Upto_April23__1___14[[#This Row],[Education]]+All_India_Index_Upto_April23__1___14[[#This Row],[Recreation and amusement]]</f>
        <v>560</v>
      </c>
      <c r="AL23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3551.7000000000003</v>
      </c>
    </row>
    <row r="238" spans="1:38" hidden="1" x14ac:dyDescent="0.3">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s="12">
        <f>AVERAGE(All_India_Index_Upto_April23__1___14[[#This Row],[Cereals and products]:[Pan, tobacco and intoxicants]])</f>
        <v>143.73571428571429</v>
      </c>
      <c r="AF238" s="12">
        <f>AVERAGE(All_India_Index_Upto_April23__1___14[[#This Row],[Household goods and services]],All_India_Index_Upto_April23__1___14[[#This Row],[Housing]])</f>
        <v>148.05000000000001</v>
      </c>
      <c r="AG238" s="12">
        <f>AVERAGE(All_India_Index_Upto_April23__1___14[[#This Row],[Miscellaneous]],All_India_Index_Upto_April23__1___14[[#This Row],[Personal care and effects]],All_India_Index_Upto_April23__1___14[[#This Row],[Education]],All_India_Index_Upto_April23__1___14[[#This Row],[Recreation and amusement]])</f>
        <v>143.6</v>
      </c>
      <c r="AH238" s="12">
        <f>SUM(All_India_Index_Upto_April23__1___14[[#This Row],[Cereals and products]:[Pan, tobacco and intoxicants]])</f>
        <v>2012.3</v>
      </c>
      <c r="AI238" s="12">
        <f>SUM(All_India_Index_Upto_April23__1___14[[#This Row],[Household goods and services]],All_India_Index_Upto_April23__1___14[[#This Row],[Housing]])</f>
        <v>296.10000000000002</v>
      </c>
      <c r="AJ238" s="12">
        <f>All_India_Index_Upto_April23__1___14[[#This Row],[Clothing]]+All_India_Index_Upto_April23__1___14[[#This Row],[Footwear]]</f>
        <v>289.7</v>
      </c>
      <c r="AK238" s="12">
        <f>All_India_Index_Upto_April23__1___14[[#This Row],[Miscellaneous]]+All_India_Index_Upto_April23__1___14[[#This Row],[Personal care and effects]]+All_India_Index_Upto_April23__1___14[[#This Row],[Education]]+All_India_Index_Upto_April23__1___14[[#This Row],[Recreation and amusement]]</f>
        <v>574.4</v>
      </c>
      <c r="AL23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3585.3</v>
      </c>
    </row>
    <row r="239" spans="1:38" hidden="1" x14ac:dyDescent="0.3">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s="12">
        <f>'Handle Missing Value Sheet only'!$F$5</f>
        <v>139.27096774193564</v>
      </c>
      <c r="V239">
        <v>146.9</v>
      </c>
      <c r="W239">
        <v>150.30000000000001</v>
      </c>
      <c r="X239">
        <v>153.4</v>
      </c>
      <c r="Y239">
        <v>131.6</v>
      </c>
      <c r="Z239">
        <v>148.30000000000001</v>
      </c>
      <c r="AA239">
        <v>160.19999999999999</v>
      </c>
      <c r="AB239">
        <v>140.19999999999999</v>
      </c>
      <c r="AC239">
        <v>145.4</v>
      </c>
      <c r="AD239">
        <v>146.69999999999999</v>
      </c>
      <c r="AE239" s="12">
        <f>AVERAGE(All_India_Index_Upto_April23__1___14[[#This Row],[Cereals and products]:[Pan, tobacco and intoxicants]])</f>
        <v>143.8857142857143</v>
      </c>
      <c r="AF239" s="12">
        <f>AVERAGE(All_India_Index_Upto_April23__1___14[[#This Row],[Household goods and services]],All_India_Index_Upto_April23__1___14[[#This Row],[Housing]])</f>
        <v>144.78548387096782</v>
      </c>
      <c r="AG239" s="12">
        <f>AVERAGE(All_India_Index_Upto_April23__1___14[[#This Row],[Miscellaneous]],All_India_Index_Upto_April23__1___14[[#This Row],[Personal care and effects]],All_India_Index_Upto_April23__1___14[[#This Row],[Education]],All_India_Index_Upto_April23__1___14[[#This Row],[Recreation and amusement]])</f>
        <v>148.52500000000001</v>
      </c>
      <c r="AH239" s="12">
        <f>SUM(All_India_Index_Upto_April23__1___14[[#This Row],[Cereals and products]:[Pan, tobacco and intoxicants]])</f>
        <v>2014.4</v>
      </c>
      <c r="AI239" s="12">
        <f>SUM(All_India_Index_Upto_April23__1___14[[#This Row],[Household goods and services]],All_India_Index_Upto_April23__1___14[[#This Row],[Housing]])</f>
        <v>289.57096774193565</v>
      </c>
      <c r="AJ239" s="12">
        <f>All_India_Index_Upto_April23__1___14[[#This Row],[Clothing]]+All_India_Index_Upto_April23__1___14[[#This Row],[Footwear]]</f>
        <v>298.29999999999995</v>
      </c>
      <c r="AK239" s="12">
        <f>All_India_Index_Upto_April23__1___14[[#This Row],[Miscellaneous]]+All_India_Index_Upto_April23__1___14[[#This Row],[Personal care and effects]]+All_India_Index_Upto_April23__1___14[[#This Row],[Education]]+All_India_Index_Upto_April23__1___14[[#This Row],[Recreation and amusement]]</f>
        <v>594.1</v>
      </c>
      <c r="AL23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3628.2709677419357</v>
      </c>
    </row>
    <row r="240" spans="1:38" hidden="1" x14ac:dyDescent="0.3">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s="12">
        <f>AVERAGE(All_India_Index_Upto_April23__1___14[[#This Row],[Cereals and products]:[Pan, tobacco and intoxicants]])</f>
        <v>145.96428571428572</v>
      </c>
      <c r="AF240" s="12">
        <f>AVERAGE(All_India_Index_Upto_April23__1___14[[#This Row],[Household goods and services]],All_India_Index_Upto_April23__1___14[[#This Row],[Housing]])</f>
        <v>145.25</v>
      </c>
      <c r="AG240" s="12">
        <f>AVERAGE(All_India_Index_Upto_April23__1___14[[#This Row],[Miscellaneous]],All_India_Index_Upto_April23__1___14[[#This Row],[Personal care and effects]],All_India_Index_Upto_April23__1___14[[#This Row],[Education]],All_India_Index_Upto_April23__1___14[[#This Row],[Recreation and amusement]])</f>
        <v>140.54999999999998</v>
      </c>
      <c r="AH240" s="12">
        <f>SUM(All_India_Index_Upto_April23__1___14[[#This Row],[Cereals and products]:[Pan, tobacco and intoxicants]])</f>
        <v>2043.5</v>
      </c>
      <c r="AI240" s="12">
        <f>SUM(All_India_Index_Upto_April23__1___14[[#This Row],[Household goods and services]],All_India_Index_Upto_April23__1___14[[#This Row],[Housing]])</f>
        <v>290.5</v>
      </c>
      <c r="AJ240" s="12">
        <f>All_India_Index_Upto_April23__1___14[[#This Row],[Clothing]]+All_India_Index_Upto_April23__1___14[[#This Row],[Footwear]]</f>
        <v>277.5</v>
      </c>
      <c r="AK240" s="12">
        <f>All_India_Index_Upto_April23__1___14[[#This Row],[Miscellaneous]]+All_India_Index_Upto_April23__1___14[[#This Row],[Personal care and effects]]+All_India_Index_Upto_April23__1___14[[#This Row],[Education]]+All_India_Index_Upto_April23__1___14[[#This Row],[Recreation and amusement]]</f>
        <v>562.19999999999993</v>
      </c>
      <c r="AL24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3563.3999999999996</v>
      </c>
    </row>
    <row r="241" spans="1:38" hidden="1" x14ac:dyDescent="0.3">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s="12">
        <f>AVERAGE(All_India_Index_Upto_April23__1___14[[#This Row],[Cereals and products]:[Pan, tobacco and intoxicants]])</f>
        <v>144.58571428571426</v>
      </c>
      <c r="AF241" s="12">
        <f>AVERAGE(All_India_Index_Upto_April23__1___14[[#This Row],[Household goods and services]],All_India_Index_Upto_April23__1___14[[#This Row],[Housing]])</f>
        <v>148.39999999999998</v>
      </c>
      <c r="AG241" s="12">
        <f>AVERAGE(All_India_Index_Upto_April23__1___14[[#This Row],[Miscellaneous]],All_India_Index_Upto_April23__1___14[[#This Row],[Personal care and effects]],All_India_Index_Upto_April23__1___14[[#This Row],[Education]],All_India_Index_Upto_April23__1___14[[#This Row],[Recreation and amusement]])</f>
        <v>144.22499999999999</v>
      </c>
      <c r="AH241" s="12">
        <f>SUM(All_India_Index_Upto_April23__1___14[[#This Row],[Cereals and products]:[Pan, tobacco and intoxicants]])</f>
        <v>2024.1999999999998</v>
      </c>
      <c r="AI241" s="12">
        <f>SUM(All_India_Index_Upto_April23__1___14[[#This Row],[Household goods and services]],All_India_Index_Upto_April23__1___14[[#This Row],[Housing]])</f>
        <v>296.79999999999995</v>
      </c>
      <c r="AJ241" s="12">
        <f>All_India_Index_Upto_April23__1___14[[#This Row],[Clothing]]+All_India_Index_Upto_April23__1___14[[#This Row],[Footwear]]</f>
        <v>289.79999999999995</v>
      </c>
      <c r="AK241" s="12">
        <f>All_India_Index_Upto_April23__1___14[[#This Row],[Miscellaneous]]+All_India_Index_Upto_April23__1___14[[#This Row],[Personal care and effects]]+All_India_Index_Upto_April23__1___14[[#This Row],[Education]]+All_India_Index_Upto_April23__1___14[[#This Row],[Recreation and amusement]]</f>
        <v>576.9</v>
      </c>
      <c r="AL24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3601.9999999999995</v>
      </c>
    </row>
    <row r="242" spans="1:38" hidden="1" x14ac:dyDescent="0.3">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s="12">
        <f>'Handle Missing Value Sheet only'!$F$5</f>
        <v>139.27096774193564</v>
      </c>
      <c r="V242">
        <v>147.69999999999999</v>
      </c>
      <c r="W242">
        <v>150.6</v>
      </c>
      <c r="X242">
        <v>153.69999999999999</v>
      </c>
      <c r="Y242">
        <v>131.69999999999999</v>
      </c>
      <c r="Z242">
        <v>148.69999999999999</v>
      </c>
      <c r="AA242">
        <v>160.69999999999999</v>
      </c>
      <c r="AB242">
        <v>140.30000000000001</v>
      </c>
      <c r="AC242">
        <v>145.69999999999999</v>
      </c>
      <c r="AD242">
        <v>148.30000000000001</v>
      </c>
      <c r="AE242" s="12">
        <f>AVERAGE(All_India_Index_Upto_April23__1___14[[#This Row],[Cereals and products]:[Pan, tobacco and intoxicants]])</f>
        <v>145.94285714285712</v>
      </c>
      <c r="AF242" s="12">
        <f>AVERAGE(All_India_Index_Upto_April23__1___14[[#This Row],[Household goods and services]],All_India_Index_Upto_April23__1___14[[#This Row],[Housing]])</f>
        <v>144.9354838709678</v>
      </c>
      <c r="AG242" s="12">
        <f>AVERAGE(All_India_Index_Upto_April23__1___14[[#This Row],[Miscellaneous]],All_India_Index_Upto_April23__1___14[[#This Row],[Personal care and effects]],All_India_Index_Upto_April23__1___14[[#This Row],[Education]],All_India_Index_Upto_April23__1___14[[#This Row],[Recreation and amusement]])</f>
        <v>148.85</v>
      </c>
      <c r="AH242" s="12">
        <f>SUM(All_India_Index_Upto_April23__1___14[[#This Row],[Cereals and products]:[Pan, tobacco and intoxicants]])</f>
        <v>2043.1999999999996</v>
      </c>
      <c r="AI242" s="12">
        <f>SUM(All_India_Index_Upto_April23__1___14[[#This Row],[Household goods and services]],All_India_Index_Upto_April23__1___14[[#This Row],[Housing]])</f>
        <v>289.8709677419356</v>
      </c>
      <c r="AJ242" s="12">
        <f>All_India_Index_Upto_April23__1___14[[#This Row],[Clothing]]+All_India_Index_Upto_April23__1___14[[#This Row],[Footwear]]</f>
        <v>298.39999999999998</v>
      </c>
      <c r="AK242" s="12">
        <f>All_India_Index_Upto_April23__1___14[[#This Row],[Miscellaneous]]+All_India_Index_Upto_April23__1___14[[#This Row],[Personal care and effects]]+All_India_Index_Upto_April23__1___14[[#This Row],[Education]]+All_India_Index_Upto_April23__1___14[[#This Row],[Recreation and amusement]]</f>
        <v>595.4</v>
      </c>
      <c r="AL24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3659.9709677419346</v>
      </c>
    </row>
    <row r="243" spans="1:38" hidden="1" x14ac:dyDescent="0.3">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s="12">
        <f>AVERAGE(All_India_Index_Upto_April23__1___14[[#This Row],[Cereals and products]:[Pan, tobacco and intoxicants]])</f>
        <v>147.99285714285716</v>
      </c>
      <c r="AF243" s="12">
        <f>AVERAGE(All_India_Index_Upto_April23__1___14[[#This Row],[Household goods and services]],All_India_Index_Upto_April23__1___14[[#This Row],[Housing]])</f>
        <v>145.85</v>
      </c>
      <c r="AG243" s="12">
        <f>AVERAGE(All_India_Index_Upto_April23__1___14[[#This Row],[Miscellaneous]],All_India_Index_Upto_April23__1___14[[#This Row],[Personal care and effects]],All_India_Index_Upto_April23__1___14[[#This Row],[Education]],All_India_Index_Upto_April23__1___14[[#This Row],[Recreation and amusement]])</f>
        <v>140.85</v>
      </c>
      <c r="AH243" s="12">
        <f>SUM(All_India_Index_Upto_April23__1___14[[#This Row],[Cereals and products]:[Pan, tobacco and intoxicants]])</f>
        <v>2071.9</v>
      </c>
      <c r="AI243" s="12">
        <f>SUM(All_India_Index_Upto_April23__1___14[[#This Row],[Household goods and services]],All_India_Index_Upto_April23__1___14[[#This Row],[Housing]])</f>
        <v>291.7</v>
      </c>
      <c r="AJ243" s="12">
        <f>All_India_Index_Upto_April23__1___14[[#This Row],[Clothing]]+All_India_Index_Upto_April23__1___14[[#This Row],[Footwear]]</f>
        <v>278.3</v>
      </c>
      <c r="AK243" s="12">
        <f>All_India_Index_Upto_April23__1___14[[#This Row],[Miscellaneous]]+All_India_Index_Upto_April23__1___14[[#This Row],[Personal care and effects]]+All_India_Index_Upto_April23__1___14[[#This Row],[Education]]+All_India_Index_Upto_April23__1___14[[#This Row],[Recreation and amusement]]</f>
        <v>563.4</v>
      </c>
      <c r="AL24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3598.1000000000004</v>
      </c>
    </row>
    <row r="244" spans="1:38" hidden="1" x14ac:dyDescent="0.3">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s="12">
        <f>AVERAGE(All_India_Index_Upto_April23__1___14[[#This Row],[Cereals and products]:[Pan, tobacco and intoxicants]])</f>
        <v>146.62142857142857</v>
      </c>
      <c r="AF244" s="12">
        <f>AVERAGE(All_India_Index_Upto_April23__1___14[[#This Row],[Household goods and services]],All_India_Index_Upto_April23__1___14[[#This Row],[Housing]])</f>
        <v>149</v>
      </c>
      <c r="AG244" s="12">
        <f>AVERAGE(All_India_Index_Upto_April23__1___14[[#This Row],[Miscellaneous]],All_India_Index_Upto_April23__1___14[[#This Row],[Personal care and effects]],All_India_Index_Upto_April23__1___14[[#This Row],[Education]],All_India_Index_Upto_April23__1___14[[#This Row],[Recreation and amusement]])</f>
        <v>144.52499999999998</v>
      </c>
      <c r="AH244" s="12">
        <f>SUM(All_India_Index_Upto_April23__1___14[[#This Row],[Cereals and products]:[Pan, tobacco and intoxicants]])</f>
        <v>2052.6999999999998</v>
      </c>
      <c r="AI244" s="12">
        <f>SUM(All_India_Index_Upto_April23__1___14[[#This Row],[Household goods and services]],All_India_Index_Upto_April23__1___14[[#This Row],[Housing]])</f>
        <v>298</v>
      </c>
      <c r="AJ244" s="12">
        <f>All_India_Index_Upto_April23__1___14[[#This Row],[Clothing]]+All_India_Index_Upto_April23__1___14[[#This Row],[Footwear]]</f>
        <v>290.20000000000005</v>
      </c>
      <c r="AK244" s="12">
        <f>All_India_Index_Upto_April23__1___14[[#This Row],[Miscellaneous]]+All_India_Index_Upto_April23__1___14[[#This Row],[Personal care and effects]]+All_India_Index_Upto_April23__1___14[[#This Row],[Education]]+All_India_Index_Upto_April23__1___14[[#This Row],[Recreation and amusement]]</f>
        <v>578.09999999999991</v>
      </c>
      <c r="AL24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3635.3</v>
      </c>
    </row>
    <row r="245" spans="1:38" hidden="1"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s="12">
        <f>'Handle Missing Value Sheet only'!$F$5</f>
        <v>139.27096774193564</v>
      </c>
      <c r="V245">
        <v>148.4</v>
      </c>
      <c r="W245">
        <v>150.9</v>
      </c>
      <c r="X245">
        <v>154.30000000000001</v>
      </c>
      <c r="Y245">
        <v>132.1</v>
      </c>
      <c r="Z245">
        <v>149.1</v>
      </c>
      <c r="AA245">
        <v>160.80000000000001</v>
      </c>
      <c r="AB245">
        <v>140.6</v>
      </c>
      <c r="AC245">
        <v>146.1</v>
      </c>
      <c r="AD245">
        <v>149.9</v>
      </c>
      <c r="AE245" s="12">
        <f>AVERAGE(All_India_Index_Upto_April23__1___14[[#This Row],[Cereals and products]:[Pan, tobacco and intoxicants]])</f>
        <v>147.98571428571429</v>
      </c>
      <c r="AF245" s="12">
        <f>AVERAGE(All_India_Index_Upto_April23__1___14[[#This Row],[Household goods and services]],All_India_Index_Upto_April23__1___14[[#This Row],[Housing]])</f>
        <v>145.08548387096783</v>
      </c>
      <c r="AG245" s="12">
        <f>AVERAGE(All_India_Index_Upto_April23__1___14[[#This Row],[Miscellaneous]],All_India_Index_Upto_April23__1___14[[#This Row],[Personal care and effects]],All_India_Index_Upto_April23__1___14[[#This Row],[Education]],All_India_Index_Upto_April23__1___14[[#This Row],[Recreation and amusement]])</f>
        <v>149.15</v>
      </c>
      <c r="AH245" s="12">
        <f>SUM(All_India_Index_Upto_April23__1___14[[#This Row],[Cereals and products]:[Pan, tobacco and intoxicants]])</f>
        <v>2071.8000000000002</v>
      </c>
      <c r="AI245" s="12">
        <f>SUM(All_India_Index_Upto_April23__1___14[[#This Row],[Household goods and services]],All_India_Index_Upto_April23__1___14[[#This Row],[Housing]])</f>
        <v>290.17096774193567</v>
      </c>
      <c r="AJ245" s="12">
        <f>All_India_Index_Upto_April23__1___14[[#This Row],[Clothing]]+All_India_Index_Upto_April23__1___14[[#This Row],[Footwear]]</f>
        <v>299.3</v>
      </c>
      <c r="AK245" s="12">
        <f>All_India_Index_Upto_April23__1___14[[#This Row],[Miscellaneous]]+All_India_Index_Upto_April23__1___14[[#This Row],[Personal care and effects]]+All_India_Index_Upto_April23__1___14[[#This Row],[Education]]+All_India_Index_Upto_April23__1___14[[#This Row],[Recreation and amusement]]</f>
        <v>596.6</v>
      </c>
      <c r="AL24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3692.6709677419362</v>
      </c>
    </row>
    <row r="246" spans="1:38" hidden="1" x14ac:dyDescent="0.3">
      <c r="A246" t="s">
        <v>32</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s="12">
        <f>AVERAGE(All_India_Index_Upto_April23__1___14[[#This Row],[Cereals and products]:[Pan, tobacco and intoxicants]])</f>
        <v>149.56428571428569</v>
      </c>
      <c r="AF246" s="12">
        <f>AVERAGE(All_India_Index_Upto_April23__1___14[[#This Row],[Household goods and services]],All_India_Index_Upto_April23__1___14[[#This Row],[Housing]])</f>
        <v>146.30000000000001</v>
      </c>
      <c r="AG246" s="12">
        <f>AVERAGE(All_India_Index_Upto_April23__1___14[[#This Row],[Miscellaneous]],All_India_Index_Upto_April23__1___14[[#This Row],[Personal care and effects]],All_India_Index_Upto_April23__1___14[[#This Row],[Education]],All_India_Index_Upto_April23__1___14[[#This Row],[Recreation and amusement]])</f>
        <v>141.15</v>
      </c>
      <c r="AH246" s="12">
        <f>SUM(All_India_Index_Upto_April23__1___14[[#This Row],[Cereals and products]:[Pan, tobacco and intoxicants]])</f>
        <v>2093.8999999999996</v>
      </c>
      <c r="AI246" s="12">
        <f>SUM(All_India_Index_Upto_April23__1___14[[#This Row],[Household goods and services]],All_India_Index_Upto_April23__1___14[[#This Row],[Housing]])</f>
        <v>292.60000000000002</v>
      </c>
      <c r="AJ246" s="12">
        <f>All_India_Index_Upto_April23__1___14[[#This Row],[Clothing]]+All_India_Index_Upto_April23__1___14[[#This Row],[Footwear]]</f>
        <v>278.89999999999998</v>
      </c>
      <c r="AK246" s="12">
        <f>All_India_Index_Upto_April23__1___14[[#This Row],[Miscellaneous]]+All_India_Index_Upto_April23__1___14[[#This Row],[Personal care and effects]]+All_India_Index_Upto_April23__1___14[[#This Row],[Education]]+All_India_Index_Upto_April23__1___14[[#This Row],[Recreation and amusement]]</f>
        <v>564.6</v>
      </c>
      <c r="AL24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3626.6999999999994</v>
      </c>
    </row>
    <row r="247" spans="1:38" hidden="1" x14ac:dyDescent="0.3">
      <c r="A247" t="s">
        <v>33</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s="12">
        <f>AVERAGE(All_India_Index_Upto_April23__1___14[[#This Row],[Cereals and products]:[Pan, tobacco and intoxicants]])</f>
        <v>148.48571428571429</v>
      </c>
      <c r="AF247" s="12">
        <f>AVERAGE(All_India_Index_Upto_April23__1___14[[#This Row],[Household goods and services]],All_India_Index_Upto_April23__1___14[[#This Row],[Housing]])</f>
        <v>149.4</v>
      </c>
      <c r="AG247" s="12">
        <f>AVERAGE(All_India_Index_Upto_April23__1___14[[#This Row],[Miscellaneous]],All_India_Index_Upto_April23__1___14[[#This Row],[Personal care and effects]],All_India_Index_Upto_April23__1___14[[#This Row],[Education]],All_India_Index_Upto_April23__1___14[[#This Row],[Recreation and amusement]])</f>
        <v>144.80000000000001</v>
      </c>
      <c r="AH247" s="12">
        <f>SUM(All_India_Index_Upto_April23__1___14[[#This Row],[Cereals and products]:[Pan, tobacco and intoxicants]])</f>
        <v>2078.8000000000002</v>
      </c>
      <c r="AI247" s="12">
        <f>SUM(All_India_Index_Upto_April23__1___14[[#This Row],[Household goods and services]],All_India_Index_Upto_April23__1___14[[#This Row],[Housing]])</f>
        <v>298.8</v>
      </c>
      <c r="AJ247" s="12">
        <f>All_India_Index_Upto_April23__1___14[[#This Row],[Clothing]]+All_India_Index_Upto_April23__1___14[[#This Row],[Footwear]]</f>
        <v>290.89999999999998</v>
      </c>
      <c r="AK247" s="12">
        <f>All_India_Index_Upto_April23__1___14[[#This Row],[Miscellaneous]]+All_India_Index_Upto_April23__1___14[[#This Row],[Personal care and effects]]+All_India_Index_Upto_April23__1___14[[#This Row],[Education]]+All_India_Index_Upto_April23__1___14[[#This Row],[Recreation and amusement]]</f>
        <v>579.20000000000005</v>
      </c>
      <c r="AL24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3666.5000000000005</v>
      </c>
    </row>
    <row r="248" spans="1:38" hidden="1"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s="12">
        <f>'Handle Missing Value Sheet only'!$F$5</f>
        <v>139.27096774193564</v>
      </c>
      <c r="V248">
        <v>149.9</v>
      </c>
      <c r="W248">
        <v>151.19999999999999</v>
      </c>
      <c r="X248">
        <v>154.80000000000001</v>
      </c>
      <c r="Y248">
        <v>135</v>
      </c>
      <c r="Z248">
        <v>149.5</v>
      </c>
      <c r="AA248">
        <v>161.1</v>
      </c>
      <c r="AB248">
        <v>140.6</v>
      </c>
      <c r="AC248">
        <v>147.1</v>
      </c>
      <c r="AD248">
        <v>152.30000000000001</v>
      </c>
      <c r="AE248" s="12">
        <f>AVERAGE(All_India_Index_Upto_April23__1___14[[#This Row],[Cereals and products]:[Pan, tobacco and intoxicants]])</f>
        <v>150.62857142857141</v>
      </c>
      <c r="AF248" s="12">
        <f>AVERAGE(All_India_Index_Upto_April23__1___14[[#This Row],[Household goods and services]],All_India_Index_Upto_April23__1___14[[#This Row],[Housing]])</f>
        <v>145.23548387096781</v>
      </c>
      <c r="AG248" s="12">
        <f>AVERAGE(All_India_Index_Upto_April23__1___14[[#This Row],[Miscellaneous]],All_India_Index_Upto_April23__1___14[[#This Row],[Personal care and effects]],All_India_Index_Upto_April23__1___14[[#This Row],[Education]],All_India_Index_Upto_April23__1___14[[#This Row],[Recreation and amusement]])</f>
        <v>149.57499999999999</v>
      </c>
      <c r="AH248" s="12">
        <f>SUM(All_India_Index_Upto_April23__1___14[[#This Row],[Cereals and products]:[Pan, tobacco and intoxicants]])</f>
        <v>2108.7999999999997</v>
      </c>
      <c r="AI248" s="12">
        <f>SUM(All_India_Index_Upto_April23__1___14[[#This Row],[Household goods and services]],All_India_Index_Upto_April23__1___14[[#This Row],[Housing]])</f>
        <v>290.47096774193562</v>
      </c>
      <c r="AJ248" s="12">
        <f>All_India_Index_Upto_April23__1___14[[#This Row],[Clothing]]+All_India_Index_Upto_April23__1___14[[#This Row],[Footwear]]</f>
        <v>299.89999999999998</v>
      </c>
      <c r="AK248" s="12">
        <f>All_India_Index_Upto_April23__1___14[[#This Row],[Miscellaneous]]+All_India_Index_Upto_April23__1___14[[#This Row],[Personal care and effects]]+All_India_Index_Upto_April23__1___14[[#This Row],[Education]]+All_India_Index_Upto_April23__1___14[[#This Row],[Recreation and amusement]]</f>
        <v>598.29999999999995</v>
      </c>
      <c r="AL24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3737.1709677419353</v>
      </c>
    </row>
    <row r="249" spans="1:38" hidden="1" x14ac:dyDescent="0.3">
      <c r="A249" t="s">
        <v>32</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s="12">
        <f>AVERAGE(All_India_Index_Upto_April23__1___14[[#This Row],[Cereals and products]:[Pan, tobacco and intoxicants]])</f>
        <v>151.93571428571428</v>
      </c>
      <c r="AF249" s="12">
        <f>AVERAGE(All_India_Index_Upto_April23__1___14[[#This Row],[Household goods and services]],All_India_Index_Upto_April23__1___14[[#This Row],[Housing]])</f>
        <v>146.30000000000001</v>
      </c>
      <c r="AG249" s="12">
        <f>AVERAGE(All_India_Index_Upto_April23__1___14[[#This Row],[Miscellaneous]],All_India_Index_Upto_April23__1___14[[#This Row],[Personal care and effects]],All_India_Index_Upto_April23__1___14[[#This Row],[Education]],All_India_Index_Upto_April23__1___14[[#This Row],[Recreation and amusement]])</f>
        <v>141.64999999999998</v>
      </c>
      <c r="AH249" s="12">
        <f>SUM(All_India_Index_Upto_April23__1___14[[#This Row],[Cereals and products]:[Pan, tobacco and intoxicants]])</f>
        <v>2127.1</v>
      </c>
      <c r="AI249" s="12">
        <f>SUM(All_India_Index_Upto_April23__1___14[[#This Row],[Household goods and services]],All_India_Index_Upto_April23__1___14[[#This Row],[Housing]])</f>
        <v>292.60000000000002</v>
      </c>
      <c r="AJ249" s="12">
        <f>All_India_Index_Upto_April23__1___14[[#This Row],[Clothing]]+All_India_Index_Upto_April23__1___14[[#This Row],[Footwear]]</f>
        <v>279.60000000000002</v>
      </c>
      <c r="AK249" s="12">
        <f>All_India_Index_Upto_April23__1___14[[#This Row],[Miscellaneous]]+All_India_Index_Upto_April23__1___14[[#This Row],[Personal care and effects]]+All_India_Index_Upto_April23__1___14[[#This Row],[Education]]+All_India_Index_Upto_April23__1___14[[#This Row],[Recreation and amusement]]</f>
        <v>566.59999999999991</v>
      </c>
      <c r="AL24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3667.8999999999992</v>
      </c>
    </row>
    <row r="250" spans="1:38" hidden="1" x14ac:dyDescent="0.3">
      <c r="A250" t="s">
        <v>33</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s="12">
        <f>AVERAGE(All_India_Index_Upto_April23__1___14[[#This Row],[Cereals and products]:[Pan, tobacco and intoxicants]])</f>
        <v>151.04285714285717</v>
      </c>
      <c r="AF250" s="12">
        <f>AVERAGE(All_India_Index_Upto_April23__1___14[[#This Row],[Household goods and services]],All_India_Index_Upto_April23__1___14[[#This Row],[Housing]])</f>
        <v>149.30000000000001</v>
      </c>
      <c r="AG250" s="12">
        <f>AVERAGE(All_India_Index_Upto_April23__1___14[[#This Row],[Miscellaneous]],All_India_Index_Upto_April23__1___14[[#This Row],[Personal care and effects]],All_India_Index_Upto_April23__1___14[[#This Row],[Education]],All_India_Index_Upto_April23__1___14[[#This Row],[Recreation and amusement]])</f>
        <v>145.22499999999999</v>
      </c>
      <c r="AH250" s="12">
        <f>SUM(All_India_Index_Upto_April23__1___14[[#This Row],[Cereals and products]:[Pan, tobacco and intoxicants]])</f>
        <v>2114.6000000000004</v>
      </c>
      <c r="AI250" s="12">
        <f>SUM(All_India_Index_Upto_April23__1___14[[#This Row],[Household goods and services]],All_India_Index_Upto_April23__1___14[[#This Row],[Housing]])</f>
        <v>298.60000000000002</v>
      </c>
      <c r="AJ250" s="12">
        <f>All_India_Index_Upto_April23__1___14[[#This Row],[Clothing]]+All_India_Index_Upto_April23__1___14[[#This Row],[Footwear]]</f>
        <v>291.60000000000002</v>
      </c>
      <c r="AK250" s="12">
        <f>All_India_Index_Upto_April23__1___14[[#This Row],[Miscellaneous]]+All_India_Index_Upto_April23__1___14[[#This Row],[Personal care and effects]]+All_India_Index_Upto_April23__1___14[[#This Row],[Education]]+All_India_Index_Upto_April23__1___14[[#This Row],[Recreation and amusement]]</f>
        <v>580.9</v>
      </c>
      <c r="AL25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3709.6000000000004</v>
      </c>
    </row>
    <row r="251" spans="1:38"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s="12">
        <f>'Handle Missing Value Sheet only'!$F$5</f>
        <v>139.27096774193564</v>
      </c>
      <c r="V251">
        <v>150.4</v>
      </c>
      <c r="W251">
        <v>151.69999999999999</v>
      </c>
      <c r="X251">
        <v>155.69999999999999</v>
      </c>
      <c r="Y251">
        <v>136.30000000000001</v>
      </c>
      <c r="Z251">
        <v>150.1</v>
      </c>
      <c r="AA251">
        <v>161.69999999999999</v>
      </c>
      <c r="AB251">
        <v>142.5</v>
      </c>
      <c r="AC251">
        <v>148.1</v>
      </c>
      <c r="AD251">
        <v>151.9</v>
      </c>
      <c r="AE251" s="12">
        <f>AVERAGE(All_India_Index_Upto_April23__1___14[[#This Row],[Cereals and products]:[Pan, tobacco and intoxicants]])</f>
        <v>150.51428571428571</v>
      </c>
      <c r="AF251" s="12">
        <f>AVERAGE(All_India_Index_Upto_April23__1___14[[#This Row],[Household goods and services]],All_India_Index_Upto_April23__1___14[[#This Row],[Housing]])</f>
        <v>145.48548387096781</v>
      </c>
      <c r="AG251" s="12">
        <f>AVERAGE(All_India_Index_Upto_April23__1___14[[#This Row],[Miscellaneous]],All_India_Index_Upto_April23__1___14[[#This Row],[Personal care and effects]],All_India_Index_Upto_April23__1___14[[#This Row],[Education]],All_India_Index_Upto_April23__1___14[[#This Row],[Recreation and amusement]])</f>
        <v>150.6</v>
      </c>
      <c r="AH251" s="12">
        <f>SUM(All_India_Index_Upto_April23__1___14[[#This Row],[Cereals and products]:[Pan, tobacco and intoxicants]])</f>
        <v>2107.1999999999998</v>
      </c>
      <c r="AI251" s="12">
        <f>SUM(All_India_Index_Upto_April23__1___14[[#This Row],[Household goods and services]],All_India_Index_Upto_April23__1___14[[#This Row],[Housing]])</f>
        <v>290.97096774193562</v>
      </c>
      <c r="AJ251" s="12">
        <f>All_India_Index_Upto_April23__1___14[[#This Row],[Clothing]]+All_India_Index_Upto_April23__1___14[[#This Row],[Footwear]]</f>
        <v>300.20000000000005</v>
      </c>
      <c r="AK251" s="12">
        <f>All_India_Index_Upto_April23__1___14[[#This Row],[Miscellaneous]]+All_India_Index_Upto_April23__1___14[[#This Row],[Personal care and effects]]+All_India_Index_Upto_April23__1___14[[#This Row],[Education]]+All_India_Index_Upto_April23__1___14[[#This Row],[Recreation and amusement]]</f>
        <v>602.4</v>
      </c>
      <c r="AL25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3743.1709677419353</v>
      </c>
    </row>
    <row r="252" spans="1:38" hidden="1" x14ac:dyDescent="0.3">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s="12">
        <f>AVERAGE(All_India_Index_Upto_April23__1___14[[#This Row],[Cereals and products]:[Pan, tobacco and intoxicants]])</f>
        <v>151.15714285714284</v>
      </c>
      <c r="AF252" s="12">
        <f>AVERAGE(All_India_Index_Upto_April23__1___14[[#This Row],[Household goods and services]],All_India_Index_Upto_April23__1___14[[#This Row],[Housing]])</f>
        <v>147</v>
      </c>
      <c r="AG252" s="12">
        <f>AVERAGE(All_India_Index_Upto_April23__1___14[[#This Row],[Miscellaneous]],All_India_Index_Upto_April23__1___14[[#This Row],[Personal care and effects]],All_India_Index_Upto_April23__1___14[[#This Row],[Education]],All_India_Index_Upto_April23__1___14[[#This Row],[Recreation and amusement]])</f>
        <v>142.44999999999999</v>
      </c>
      <c r="AH252" s="12">
        <f>SUM(All_India_Index_Upto_April23__1___14[[#This Row],[Cereals and products]:[Pan, tobacco and intoxicants]])</f>
        <v>2116.1999999999998</v>
      </c>
      <c r="AI252" s="12">
        <f>SUM(All_India_Index_Upto_April23__1___14[[#This Row],[Household goods and services]],All_India_Index_Upto_April23__1___14[[#This Row],[Housing]])</f>
        <v>294</v>
      </c>
      <c r="AJ252" s="12">
        <f>All_India_Index_Upto_April23__1___14[[#This Row],[Clothing]]+All_India_Index_Upto_April23__1___14[[#This Row],[Footwear]]</f>
        <v>280.2</v>
      </c>
      <c r="AK252" s="12">
        <f>All_India_Index_Upto_April23__1___14[[#This Row],[Miscellaneous]]+All_India_Index_Upto_April23__1___14[[#This Row],[Personal care and effects]]+All_India_Index_Upto_April23__1___14[[#This Row],[Education]]+All_India_Index_Upto_April23__1___14[[#This Row],[Recreation and amusement]]</f>
        <v>569.79999999999995</v>
      </c>
      <c r="AL25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3665.2</v>
      </c>
    </row>
    <row r="253" spans="1:38" hidden="1" x14ac:dyDescent="0.3">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s="12">
        <f>AVERAGE(All_India_Index_Upto_April23__1___14[[#This Row],[Cereals and products]:[Pan, tobacco and intoxicants]])</f>
        <v>150.68571428571428</v>
      </c>
      <c r="AF253" s="12">
        <f>AVERAGE(All_India_Index_Upto_April23__1___14[[#This Row],[Household goods and services]],All_India_Index_Upto_April23__1___14[[#This Row],[Housing]])</f>
        <v>150.05000000000001</v>
      </c>
      <c r="AG253" s="12">
        <f>AVERAGE(All_India_Index_Upto_April23__1___14[[#This Row],[Miscellaneous]],All_India_Index_Upto_April23__1___14[[#This Row],[Personal care and effects]],All_India_Index_Upto_April23__1___14[[#This Row],[Education]],All_India_Index_Upto_April23__1___14[[#This Row],[Recreation and amusement]])</f>
        <v>146.15000000000003</v>
      </c>
      <c r="AH253" s="12">
        <f>SUM(All_India_Index_Upto_April23__1___14[[#This Row],[Cereals and products]:[Pan, tobacco and intoxicants]])</f>
        <v>2109.6</v>
      </c>
      <c r="AI253" s="12">
        <f>SUM(All_India_Index_Upto_April23__1___14[[#This Row],[Household goods and services]],All_India_Index_Upto_April23__1___14[[#This Row],[Housing]])</f>
        <v>300.10000000000002</v>
      </c>
      <c r="AJ253" s="12">
        <f>All_India_Index_Upto_April23__1___14[[#This Row],[Clothing]]+All_India_Index_Upto_April23__1___14[[#This Row],[Footwear]]</f>
        <v>292</v>
      </c>
      <c r="AK253" s="12">
        <f>All_India_Index_Upto_April23__1___14[[#This Row],[Miscellaneous]]+All_India_Index_Upto_April23__1___14[[#This Row],[Personal care and effects]]+All_India_Index_Upto_April23__1___14[[#This Row],[Education]]+All_India_Index_Upto_April23__1___14[[#This Row],[Recreation and amusement]]</f>
        <v>584.60000000000014</v>
      </c>
      <c r="AL25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3713</v>
      </c>
    </row>
    <row r="254" spans="1:38" hidden="1" x14ac:dyDescent="0.3">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s="12">
        <f>'Handle Missing Value Sheet only'!$F$5</f>
        <v>139.27096774193564</v>
      </c>
      <c r="V254">
        <v>152.30000000000001</v>
      </c>
      <c r="W254">
        <v>151.80000000000001</v>
      </c>
      <c r="X254">
        <v>156.19999999999999</v>
      </c>
      <c r="Y254">
        <v>136</v>
      </c>
      <c r="Z254">
        <v>150.4</v>
      </c>
      <c r="AA254">
        <v>161.9</v>
      </c>
      <c r="AB254">
        <v>143.4</v>
      </c>
      <c r="AC254">
        <v>148.4</v>
      </c>
      <c r="AD254">
        <v>150.4</v>
      </c>
      <c r="AE254" s="12">
        <f>AVERAGE(All_India_Index_Upto_April23__1___14[[#This Row],[Cereals and products]:[Pan, tobacco and intoxicants]])</f>
        <v>148.51428571428571</v>
      </c>
      <c r="AF254" s="12">
        <f>AVERAGE(All_India_Index_Upto_April23__1___14[[#This Row],[Household goods and services]],All_India_Index_Upto_April23__1___14[[#This Row],[Housing]])</f>
        <v>145.53548387096782</v>
      </c>
      <c r="AG254" s="12">
        <f>AVERAGE(All_India_Index_Upto_April23__1___14[[#This Row],[Miscellaneous]],All_India_Index_Upto_April23__1___14[[#This Row],[Personal care and effects]],All_India_Index_Upto_April23__1___14[[#This Row],[Education]],All_India_Index_Upto_April23__1___14[[#This Row],[Recreation and amusement]])</f>
        <v>151.02500000000001</v>
      </c>
      <c r="AH254" s="12">
        <f>SUM(All_India_Index_Upto_April23__1___14[[#This Row],[Cereals and products]:[Pan, tobacco and intoxicants]])</f>
        <v>2079.1999999999998</v>
      </c>
      <c r="AI254" s="12">
        <f>SUM(All_India_Index_Upto_April23__1___14[[#This Row],[Household goods and services]],All_India_Index_Upto_April23__1___14[[#This Row],[Housing]])</f>
        <v>291.07096774193565</v>
      </c>
      <c r="AJ254" s="12">
        <f>All_India_Index_Upto_April23__1___14[[#This Row],[Clothing]]+All_India_Index_Upto_April23__1___14[[#This Row],[Footwear]]</f>
        <v>300.5</v>
      </c>
      <c r="AK254" s="12">
        <f>All_India_Index_Upto_April23__1___14[[#This Row],[Miscellaneous]]+All_India_Index_Upto_April23__1___14[[#This Row],[Personal care and effects]]+All_India_Index_Upto_April23__1___14[[#This Row],[Education]]+All_India_Index_Upto_April23__1___14[[#This Row],[Recreation and amusement]]</f>
        <v>604.1</v>
      </c>
      <c r="AL25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3719.3709677419356</v>
      </c>
    </row>
    <row r="255" spans="1:38" hidden="1" x14ac:dyDescent="0.3">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s="12">
        <f>AVERAGE(All_India_Index_Upto_April23__1___14[[#This Row],[Cereals and products]:[Pan, tobacco and intoxicants]])</f>
        <v>149.18571428571428</v>
      </c>
      <c r="AF255" s="12">
        <f>AVERAGE(All_India_Index_Upto_April23__1___14[[#This Row],[Household goods and services]],All_India_Index_Upto_April23__1___14[[#This Row],[Housing]])</f>
        <v>147.60000000000002</v>
      </c>
      <c r="AG255" s="12">
        <f>AVERAGE(All_India_Index_Upto_April23__1___14[[#This Row],[Miscellaneous]],All_India_Index_Upto_April23__1___14[[#This Row],[Personal care and effects]],All_India_Index_Upto_April23__1___14[[#This Row],[Education]],All_India_Index_Upto_April23__1___14[[#This Row],[Recreation and amusement]])</f>
        <v>142.94999999999999</v>
      </c>
      <c r="AH255" s="12">
        <f>SUM(All_India_Index_Upto_April23__1___14[[#This Row],[Cereals and products]:[Pan, tobacco and intoxicants]])</f>
        <v>2088.6</v>
      </c>
      <c r="AI255" s="12">
        <f>SUM(All_India_Index_Upto_April23__1___14[[#This Row],[Household goods and services]],All_India_Index_Upto_April23__1___14[[#This Row],[Housing]])</f>
        <v>295.20000000000005</v>
      </c>
      <c r="AJ255" s="12">
        <f>All_India_Index_Upto_April23__1___14[[#This Row],[Clothing]]+All_India_Index_Upto_April23__1___14[[#This Row],[Footwear]]</f>
        <v>280.8</v>
      </c>
      <c r="AK255" s="12">
        <f>All_India_Index_Upto_April23__1___14[[#This Row],[Miscellaneous]]+All_India_Index_Upto_April23__1___14[[#This Row],[Personal care and effects]]+All_India_Index_Upto_April23__1___14[[#This Row],[Education]]+All_India_Index_Upto_April23__1___14[[#This Row],[Recreation and amusement]]</f>
        <v>571.79999999999995</v>
      </c>
      <c r="AL25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3644.8999999999996</v>
      </c>
    </row>
    <row r="256" spans="1:38" hidden="1" x14ac:dyDescent="0.3">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s="12">
        <f>AVERAGE(All_India_Index_Upto_April23__1___14[[#This Row],[Cereals and products]:[Pan, tobacco and intoxicants]])</f>
        <v>148.69285714285712</v>
      </c>
      <c r="AF256" s="12">
        <f>AVERAGE(All_India_Index_Upto_April23__1___14[[#This Row],[Household goods and services]],All_India_Index_Upto_April23__1___14[[#This Row],[Housing]])</f>
        <v>150.60000000000002</v>
      </c>
      <c r="AG256" s="12">
        <f>AVERAGE(All_India_Index_Upto_April23__1___14[[#This Row],[Miscellaneous]],All_India_Index_Upto_April23__1___14[[#This Row],[Personal care and effects]],All_India_Index_Upto_April23__1___14[[#This Row],[Education]],All_India_Index_Upto_April23__1___14[[#This Row],[Recreation and amusement]])</f>
        <v>146.6</v>
      </c>
      <c r="AH256" s="12">
        <f>SUM(All_India_Index_Upto_April23__1___14[[#This Row],[Cereals and products]:[Pan, tobacco and intoxicants]])</f>
        <v>2081.6999999999998</v>
      </c>
      <c r="AI256" s="12">
        <f>SUM(All_India_Index_Upto_April23__1___14[[#This Row],[Household goods and services]],All_India_Index_Upto_April23__1___14[[#This Row],[Housing]])</f>
        <v>301.20000000000005</v>
      </c>
      <c r="AJ256" s="12">
        <f>All_India_Index_Upto_April23__1___14[[#This Row],[Clothing]]+All_India_Index_Upto_April23__1___14[[#This Row],[Footwear]]</f>
        <v>292.5</v>
      </c>
      <c r="AK256" s="12">
        <f>All_India_Index_Upto_April23__1___14[[#This Row],[Miscellaneous]]+All_India_Index_Upto_April23__1___14[[#This Row],[Personal care and effects]]+All_India_Index_Upto_April23__1___14[[#This Row],[Education]]+All_India_Index_Upto_April23__1___14[[#This Row],[Recreation and amusement]]</f>
        <v>586.4</v>
      </c>
      <c r="AL25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3690.9999999999995</v>
      </c>
    </row>
    <row r="257" spans="1:38" hidden="1" x14ac:dyDescent="0.3">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s="12">
        <f>'Handle Missing Value Sheet only'!$F$5</f>
        <v>139.27096774193564</v>
      </c>
      <c r="V257">
        <v>153.4</v>
      </c>
      <c r="W257">
        <v>151.5</v>
      </c>
      <c r="X257">
        <v>156.69999999999999</v>
      </c>
      <c r="Y257">
        <v>135.80000000000001</v>
      </c>
      <c r="Z257">
        <v>151.19999999999999</v>
      </c>
      <c r="AA257">
        <v>161.19999999999999</v>
      </c>
      <c r="AB257">
        <v>145.1</v>
      </c>
      <c r="AC257">
        <v>148.6</v>
      </c>
      <c r="AD257">
        <v>149.80000000000001</v>
      </c>
      <c r="AE257" s="12">
        <f>AVERAGE(All_India_Index_Upto_April23__1___14[[#This Row],[Cereals and products]:[Pan, tobacco and intoxicants]])</f>
        <v>147.50714285714281</v>
      </c>
      <c r="AF257" s="12">
        <f>AVERAGE(All_India_Index_Upto_April23__1___14[[#This Row],[Household goods and services]],All_India_Index_Upto_April23__1___14[[#This Row],[Housing]])</f>
        <v>145.38548387096782</v>
      </c>
      <c r="AG257" s="12">
        <f>AVERAGE(All_India_Index_Upto_April23__1___14[[#This Row],[Miscellaneous]],All_India_Index_Upto_April23__1___14[[#This Row],[Personal care and effects]],All_India_Index_Upto_April23__1___14[[#This Row],[Education]],All_India_Index_Upto_April23__1___14[[#This Row],[Recreation and amusement]])</f>
        <v>151.52499999999998</v>
      </c>
      <c r="AH257" s="12">
        <f>SUM(All_India_Index_Upto_April23__1___14[[#This Row],[Cereals and products]:[Pan, tobacco and intoxicants]])</f>
        <v>2065.0999999999995</v>
      </c>
      <c r="AI257" s="12">
        <f>SUM(All_India_Index_Upto_April23__1___14[[#This Row],[Household goods and services]],All_India_Index_Upto_April23__1___14[[#This Row],[Housing]])</f>
        <v>290.77096774193564</v>
      </c>
      <c r="AJ257" s="12">
        <f>All_India_Index_Upto_April23__1___14[[#This Row],[Clothing]]+All_India_Index_Upto_April23__1___14[[#This Row],[Footwear]]</f>
        <v>301</v>
      </c>
      <c r="AK257" s="12">
        <f>All_India_Index_Upto_April23__1___14[[#This Row],[Miscellaneous]]+All_India_Index_Upto_April23__1___14[[#This Row],[Personal care and effects]]+All_India_Index_Upto_April23__1___14[[#This Row],[Education]]+All_India_Index_Upto_April23__1___14[[#This Row],[Recreation and amusement]]</f>
        <v>606.09999999999991</v>
      </c>
      <c r="AL25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3708.8709677419351</v>
      </c>
    </row>
    <row r="258" spans="1:38" hidden="1" x14ac:dyDescent="0.3">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s="12">
        <f>AVERAGE(All_India_Index_Upto_April23__1___14[[#This Row],[Cereals and products]:[Pan, tobacco and intoxicants]])</f>
        <v>147.98571428571429</v>
      </c>
      <c r="AF258" s="12">
        <f>AVERAGE(All_India_Index_Upto_April23__1___14[[#This Row],[Household goods and services]],All_India_Index_Upto_April23__1___14[[#This Row],[Housing]])</f>
        <v>147.65</v>
      </c>
      <c r="AG258" s="12">
        <f>AVERAGE(All_India_Index_Upto_April23__1___14[[#This Row],[Miscellaneous]],All_India_Index_Upto_April23__1___14[[#This Row],[Personal care and effects]],All_India_Index_Upto_April23__1___14[[#This Row],[Education]],All_India_Index_Upto_April23__1___14[[#This Row],[Recreation and amusement]])</f>
        <v>143.6</v>
      </c>
      <c r="AH258" s="12">
        <f>SUM(All_India_Index_Upto_April23__1___14[[#This Row],[Cereals and products]:[Pan, tobacco and intoxicants]])</f>
        <v>2071.8000000000002</v>
      </c>
      <c r="AI258" s="12">
        <f>SUM(All_India_Index_Upto_April23__1___14[[#This Row],[Household goods and services]],All_India_Index_Upto_April23__1___14[[#This Row],[Housing]])</f>
        <v>295.3</v>
      </c>
      <c r="AJ258" s="12">
        <f>All_India_Index_Upto_April23__1___14[[#This Row],[Clothing]]+All_India_Index_Upto_April23__1___14[[#This Row],[Footwear]]</f>
        <v>281.5</v>
      </c>
      <c r="AK258" s="12">
        <f>All_India_Index_Upto_April23__1___14[[#This Row],[Miscellaneous]]+All_India_Index_Upto_April23__1___14[[#This Row],[Personal care and effects]]+All_India_Index_Upto_April23__1___14[[#This Row],[Education]]+All_India_Index_Upto_April23__1___14[[#This Row],[Recreation and amusement]]</f>
        <v>574.4</v>
      </c>
      <c r="AL25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3634</v>
      </c>
    </row>
    <row r="259" spans="1:38" hidden="1" x14ac:dyDescent="0.3">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s="12">
        <f>AVERAGE(All_India_Index_Upto_April23__1___14[[#This Row],[Cereals and products]:[Pan, tobacco and intoxicants]])</f>
        <v>147.6142857142857</v>
      </c>
      <c r="AF259" s="12">
        <f>AVERAGE(All_India_Index_Upto_April23__1___14[[#This Row],[Household goods and services]],All_India_Index_Upto_April23__1___14[[#This Row],[Housing]])</f>
        <v>150.44999999999999</v>
      </c>
      <c r="AG259" s="12">
        <f>AVERAGE(All_India_Index_Upto_April23__1___14[[#This Row],[Miscellaneous]],All_India_Index_Upto_April23__1___14[[#This Row],[Personal care and effects]],All_India_Index_Upto_April23__1___14[[#This Row],[Education]],All_India_Index_Upto_April23__1___14[[#This Row],[Recreation and amusement]])</f>
        <v>147.19999999999999</v>
      </c>
      <c r="AH259" s="12">
        <f>SUM(All_India_Index_Upto_April23__1___14[[#This Row],[Cereals and products]:[Pan, tobacco and intoxicants]])</f>
        <v>2066.6</v>
      </c>
      <c r="AI259" s="12">
        <f>SUM(All_India_Index_Upto_April23__1___14[[#This Row],[Household goods and services]],All_India_Index_Upto_April23__1___14[[#This Row],[Housing]])</f>
        <v>300.89999999999998</v>
      </c>
      <c r="AJ259" s="12">
        <f>All_India_Index_Upto_April23__1___14[[#This Row],[Clothing]]+All_India_Index_Upto_April23__1___14[[#This Row],[Footwear]]</f>
        <v>293.10000000000002</v>
      </c>
      <c r="AK259" s="12">
        <f>All_India_Index_Upto_April23__1___14[[#This Row],[Miscellaneous]]+All_India_Index_Upto_April23__1___14[[#This Row],[Personal care and effects]]+All_India_Index_Upto_April23__1___14[[#This Row],[Education]]+All_India_Index_Upto_April23__1___14[[#This Row],[Recreation and amusement]]</f>
        <v>588.79999999999995</v>
      </c>
      <c r="AL25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3680.5</v>
      </c>
    </row>
    <row r="260" spans="1:38" hidden="1" x14ac:dyDescent="0.3">
      <c r="A260" t="s">
        <v>30</v>
      </c>
      <c r="B260">
        <v>2020</v>
      </c>
      <c r="C260" t="s">
        <v>36</v>
      </c>
      <c r="D260">
        <v>147.19999999999999</v>
      </c>
      <c r="F260">
        <v>146.9</v>
      </c>
      <c r="G260">
        <v>155.6</v>
      </c>
      <c r="H260">
        <v>137.1</v>
      </c>
      <c r="I260">
        <v>147.30000000000001</v>
      </c>
      <c r="J260">
        <v>162.69999999999999</v>
      </c>
      <c r="K260">
        <v>150.19999999999999</v>
      </c>
      <c r="L260">
        <v>119.8</v>
      </c>
      <c r="M260">
        <v>158.69999999999999</v>
      </c>
      <c r="N260">
        <v>139.19999999999999</v>
      </c>
      <c r="P260">
        <v>150.1</v>
      </c>
      <c r="U260" s="12">
        <f>'Handle Missing Value Sheet only'!$F$5</f>
        <v>139.27096774193564</v>
      </c>
      <c r="V260">
        <v>148.4</v>
      </c>
      <c r="X260">
        <v>154.30000000000001</v>
      </c>
      <c r="AE260" s="12">
        <f>AVERAGE(All_India_Index_Upto_April23__1___14[[#This Row],[Cereals and products]:[Pan, tobacco and intoxicants]])</f>
        <v>146.80000000000001</v>
      </c>
      <c r="AF260" s="12">
        <f>AVERAGE(All_India_Index_Upto_April23__1___14[[#This Row],[Household goods and services]],All_India_Index_Upto_April23__1___14[[#This Row],[Housing]])</f>
        <v>139.27096774193564</v>
      </c>
      <c r="AG260"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0" s="12">
        <f>SUM(All_India_Index_Upto_April23__1___14[[#This Row],[Cereals and products]:[Pan, tobacco and intoxicants]])</f>
        <v>1614.8000000000002</v>
      </c>
      <c r="AI260" s="12">
        <f>SUM(All_India_Index_Upto_April23__1___14[[#This Row],[Household goods and services]],All_India_Index_Upto_April23__1___14[[#This Row],[Housing]])</f>
        <v>139.27096774193564</v>
      </c>
      <c r="AJ260" s="12">
        <f>All_India_Index_Upto_April23__1___14[[#This Row],[Clothing]]+All_India_Index_Upto_April23__1___14[[#This Row],[Footwear]]</f>
        <v>0</v>
      </c>
      <c r="AK260" s="12">
        <f>All_India_Index_Upto_April23__1___14[[#This Row],[Miscellaneous]]+All_India_Index_Upto_April23__1___14[[#This Row],[Personal care and effects]]+All_India_Index_Upto_April23__1___14[[#This Row],[Education]]+All_India_Index_Upto_April23__1___14[[#This Row],[Recreation and amusement]]</f>
        <v>0</v>
      </c>
      <c r="AL26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2056.7709677419357</v>
      </c>
    </row>
    <row r="261" spans="1:38" hidden="1" x14ac:dyDescent="0.3">
      <c r="A261" t="s">
        <v>32</v>
      </c>
      <c r="B261">
        <v>2020</v>
      </c>
      <c r="C261" t="s">
        <v>36</v>
      </c>
      <c r="D261">
        <v>151.80000000000001</v>
      </c>
      <c r="F261">
        <v>151.9</v>
      </c>
      <c r="G261">
        <v>155.5</v>
      </c>
      <c r="H261">
        <v>131.6</v>
      </c>
      <c r="I261">
        <v>152.9</v>
      </c>
      <c r="J261">
        <v>180</v>
      </c>
      <c r="K261">
        <v>150.80000000000001</v>
      </c>
      <c r="L261">
        <v>121.2</v>
      </c>
      <c r="M261">
        <v>154</v>
      </c>
      <c r="N261">
        <v>133.5</v>
      </c>
      <c r="P261">
        <v>153.5</v>
      </c>
      <c r="U261">
        <v>155.6</v>
      </c>
      <c r="V261">
        <v>137.1</v>
      </c>
      <c r="X261">
        <v>144.80000000000001</v>
      </c>
      <c r="AE261" s="12">
        <f>AVERAGE(All_India_Index_Upto_April23__1___14[[#This Row],[Cereals and products]:[Pan, tobacco and intoxicants]])</f>
        <v>148.79090909090908</v>
      </c>
      <c r="AF261" s="12">
        <f>AVERAGE(All_India_Index_Upto_April23__1___14[[#This Row],[Household goods and services]],All_India_Index_Upto_April23__1___14[[#This Row],[Housing]])</f>
        <v>155.6</v>
      </c>
      <c r="AG261"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1" s="12">
        <f>SUM(All_India_Index_Upto_April23__1___14[[#This Row],[Cereals and products]:[Pan, tobacco and intoxicants]])</f>
        <v>1636.7</v>
      </c>
      <c r="AI261" s="12">
        <f>SUM(All_India_Index_Upto_April23__1___14[[#This Row],[Household goods and services]],All_India_Index_Upto_April23__1___14[[#This Row],[Housing]])</f>
        <v>155.6</v>
      </c>
      <c r="AJ261" s="12">
        <f>All_India_Index_Upto_April23__1___14[[#This Row],[Clothing]]+All_India_Index_Upto_April23__1___14[[#This Row],[Footwear]]</f>
        <v>0</v>
      </c>
      <c r="AK261" s="12">
        <f>All_India_Index_Upto_April23__1___14[[#This Row],[Miscellaneous]]+All_India_Index_Upto_April23__1___14[[#This Row],[Personal care and effects]]+All_India_Index_Upto_April23__1___14[[#This Row],[Education]]+All_India_Index_Upto_April23__1___14[[#This Row],[Recreation and amusement]]</f>
        <v>0</v>
      </c>
      <c r="AL26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2074.1999999999998</v>
      </c>
    </row>
    <row r="262" spans="1:38" hidden="1" x14ac:dyDescent="0.3">
      <c r="A262" t="s">
        <v>33</v>
      </c>
      <c r="B262">
        <v>2020</v>
      </c>
      <c r="C262" t="s">
        <v>36</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c r="AE262" s="12">
        <f>AVERAGE(All_India_Index_Upto_April23__1___14[[#This Row],[Cereals and products]:[Pan, tobacco and intoxicants]])</f>
        <v>147.51818181818183</v>
      </c>
      <c r="AF262" s="12">
        <f>AVERAGE(All_India_Index_Upto_April23__1___14[[#This Row],[Household goods and services]],All_India_Index_Upto_April23__1___14[[#This Row],[Housing]])</f>
        <v>155.6</v>
      </c>
      <c r="AG262"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2" s="12">
        <f>SUM(All_India_Index_Upto_April23__1___14[[#This Row],[Cereals and products]:[Pan, tobacco and intoxicants]])</f>
        <v>1622.7</v>
      </c>
      <c r="AI262" s="12">
        <f>SUM(All_India_Index_Upto_April23__1___14[[#This Row],[Household goods and services]],All_India_Index_Upto_April23__1___14[[#This Row],[Housing]])</f>
        <v>155.6</v>
      </c>
      <c r="AJ262" s="12">
        <f>All_India_Index_Upto_April23__1___14[[#This Row],[Clothing]]+All_India_Index_Upto_April23__1___14[[#This Row],[Footwear]]</f>
        <v>0</v>
      </c>
      <c r="AK262" s="12">
        <f>All_India_Index_Upto_April23__1___14[[#This Row],[Miscellaneous]]+All_India_Index_Upto_April23__1___14[[#This Row],[Personal care and effects]]+All_India_Index_Upto_April23__1___14[[#This Row],[Education]]+All_India_Index_Upto_April23__1___14[[#This Row],[Recreation and amusement]]</f>
        <v>0</v>
      </c>
      <c r="AL26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2073.1</v>
      </c>
    </row>
    <row r="263" spans="1:38" hidden="1" x14ac:dyDescent="0.3">
      <c r="A263" t="s">
        <v>30</v>
      </c>
      <c r="B263">
        <v>2020</v>
      </c>
      <c r="C263" t="s">
        <v>37</v>
      </c>
      <c r="U263" s="12">
        <f>'Handle Missing Value Sheet only'!$F$5</f>
        <v>139.27096774193564</v>
      </c>
      <c r="AE263" s="12" t="e">
        <f>AVERAGE(All_India_Index_Upto_April23__1___14[[#This Row],[Cereals and products]:[Pan, tobacco and intoxicants]])</f>
        <v>#DIV/0!</v>
      </c>
      <c r="AF263" s="12">
        <f>AVERAGE(All_India_Index_Upto_April23__1___14[[#This Row],[Household goods and services]],All_India_Index_Upto_April23__1___14[[#This Row],[Housing]])</f>
        <v>139.27096774193564</v>
      </c>
      <c r="AG263"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3" s="12">
        <f>SUM(All_India_Index_Upto_April23__1___14[[#This Row],[Cereals and products]:[Pan, tobacco and intoxicants]])</f>
        <v>0</v>
      </c>
      <c r="AI263" s="12">
        <f>SUM(All_India_Index_Upto_April23__1___14[[#This Row],[Household goods and services]],All_India_Index_Upto_April23__1___14[[#This Row],[Housing]])</f>
        <v>139.27096774193564</v>
      </c>
      <c r="AJ263" s="12">
        <f>All_India_Index_Upto_April23__1___14[[#This Row],[Clothing]]+All_India_Index_Upto_April23__1___14[[#This Row],[Footwear]]</f>
        <v>0</v>
      </c>
      <c r="AK263" s="12">
        <f>All_India_Index_Upto_April23__1___14[[#This Row],[Miscellaneous]]+All_India_Index_Upto_April23__1___14[[#This Row],[Personal care and effects]]+All_India_Index_Upto_April23__1___14[[#This Row],[Education]]+All_India_Index_Upto_April23__1___14[[#This Row],[Recreation and amusement]]</f>
        <v>0</v>
      </c>
      <c r="AL26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139.27096774193564</v>
      </c>
    </row>
    <row r="264" spans="1:38" hidden="1" x14ac:dyDescent="0.3">
      <c r="A264" t="s">
        <v>32</v>
      </c>
      <c r="B264">
        <v>2020</v>
      </c>
      <c r="C264" t="s">
        <v>37</v>
      </c>
      <c r="U264" s="12">
        <f>'Handle Missing Value Sheet only'!$F$5</f>
        <v>139.27096774193564</v>
      </c>
      <c r="AE264" s="12" t="e">
        <f>AVERAGE(All_India_Index_Upto_April23__1___14[[#This Row],[Cereals and products]:[Pan, tobacco and intoxicants]])</f>
        <v>#DIV/0!</v>
      </c>
      <c r="AF264" s="12">
        <f>AVERAGE(All_India_Index_Upto_April23__1___14[[#This Row],[Household goods and services]],All_India_Index_Upto_April23__1___14[[#This Row],[Housing]])</f>
        <v>139.27096774193564</v>
      </c>
      <c r="AG264"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4" s="12">
        <f>SUM(All_India_Index_Upto_April23__1___14[[#This Row],[Cereals and products]:[Pan, tobacco and intoxicants]])</f>
        <v>0</v>
      </c>
      <c r="AI264" s="12">
        <f>SUM(All_India_Index_Upto_April23__1___14[[#This Row],[Household goods and services]],All_India_Index_Upto_April23__1___14[[#This Row],[Housing]])</f>
        <v>139.27096774193564</v>
      </c>
      <c r="AJ264" s="12">
        <f>All_India_Index_Upto_April23__1___14[[#This Row],[Clothing]]+All_India_Index_Upto_April23__1___14[[#This Row],[Footwear]]</f>
        <v>0</v>
      </c>
      <c r="AK264" s="12">
        <f>All_India_Index_Upto_April23__1___14[[#This Row],[Miscellaneous]]+All_India_Index_Upto_April23__1___14[[#This Row],[Personal care and effects]]+All_India_Index_Upto_April23__1___14[[#This Row],[Education]]+All_India_Index_Upto_April23__1___14[[#This Row],[Recreation and amusement]]</f>
        <v>0</v>
      </c>
      <c r="AL26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139.27096774193564</v>
      </c>
    </row>
    <row r="265" spans="1:38" hidden="1" x14ac:dyDescent="0.3">
      <c r="A265" t="s">
        <v>33</v>
      </c>
      <c r="B265">
        <v>2020</v>
      </c>
      <c r="C265" t="s">
        <v>37</v>
      </c>
      <c r="U265" s="12">
        <f>'Handle Missing Value Sheet only'!$F$5</f>
        <v>139.27096774193564</v>
      </c>
      <c r="AE265" s="12" t="e">
        <f>AVERAGE(All_India_Index_Upto_April23__1___14[[#This Row],[Cereals and products]:[Pan, tobacco and intoxicants]])</f>
        <v>#DIV/0!</v>
      </c>
      <c r="AF265" s="12">
        <f>AVERAGE(All_India_Index_Upto_April23__1___14[[#This Row],[Household goods and services]],All_India_Index_Upto_April23__1___14[[#This Row],[Housing]])</f>
        <v>139.27096774193564</v>
      </c>
      <c r="AG265" s="12" t="e">
        <f>AVERAGE(All_India_Index_Upto_April23__1___14[[#This Row],[Miscellaneous]],All_India_Index_Upto_April23__1___14[[#This Row],[Personal care and effects]],All_India_Index_Upto_April23__1___14[[#This Row],[Education]],All_India_Index_Upto_April23__1___14[[#This Row],[Recreation and amusement]])</f>
        <v>#DIV/0!</v>
      </c>
      <c r="AH265" s="12">
        <f>SUM(All_India_Index_Upto_April23__1___14[[#This Row],[Cereals and products]:[Pan, tobacco and intoxicants]])</f>
        <v>0</v>
      </c>
      <c r="AI265" s="12">
        <f>SUM(All_India_Index_Upto_April23__1___14[[#This Row],[Household goods and services]],All_India_Index_Upto_April23__1___14[[#This Row],[Housing]])</f>
        <v>139.27096774193564</v>
      </c>
      <c r="AJ265" s="12">
        <f>All_India_Index_Upto_April23__1___14[[#This Row],[Clothing]]+All_India_Index_Upto_April23__1___14[[#This Row],[Footwear]]</f>
        <v>0</v>
      </c>
      <c r="AK265" s="12">
        <f>All_India_Index_Upto_April23__1___14[[#This Row],[Miscellaneous]]+All_India_Index_Upto_April23__1___14[[#This Row],[Personal care and effects]]+All_India_Index_Upto_April23__1___14[[#This Row],[Education]]+All_India_Index_Upto_April23__1___14[[#This Row],[Recreation and amusement]]</f>
        <v>0</v>
      </c>
      <c r="AL26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139.27096774193564</v>
      </c>
    </row>
    <row r="266" spans="1:38" hidden="1" x14ac:dyDescent="0.3">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s="12">
        <f>'Handle Missing Value Sheet only'!$F$5</f>
        <v>139.27096774193564</v>
      </c>
      <c r="V266">
        <v>144.9</v>
      </c>
      <c r="W266">
        <v>151.69999999999999</v>
      </c>
      <c r="X266">
        <v>158.19999999999999</v>
      </c>
      <c r="Y266">
        <v>141.4</v>
      </c>
      <c r="Z266">
        <v>153.19999999999999</v>
      </c>
      <c r="AA266">
        <v>161.80000000000001</v>
      </c>
      <c r="AB266">
        <v>151.19999999999999</v>
      </c>
      <c r="AC266">
        <v>151.69999999999999</v>
      </c>
      <c r="AD266">
        <v>152.69999999999999</v>
      </c>
      <c r="AE266" s="12">
        <f>AVERAGE(All_India_Index_Upto_April23__1___14[[#This Row],[Cereals and products]:[Pan, tobacco and intoxicants]])</f>
        <v>152.3857142857143</v>
      </c>
      <c r="AF266" s="12">
        <f>AVERAGE(All_India_Index_Upto_April23__1___14[[#This Row],[Household goods and services]],All_India_Index_Upto_April23__1___14[[#This Row],[Housing]])</f>
        <v>145.48548387096781</v>
      </c>
      <c r="AG266" s="12">
        <f>AVERAGE(All_India_Index_Upto_April23__1___14[[#This Row],[Miscellaneous]],All_India_Index_Upto_April23__1___14[[#This Row],[Personal care and effects]],All_India_Index_Upto_April23__1___14[[#This Row],[Education]],All_India_Index_Upto_April23__1___14[[#This Row],[Recreation and amusement]])</f>
        <v>154.47499999999999</v>
      </c>
      <c r="AH266" s="12">
        <f>SUM(All_India_Index_Upto_April23__1___14[[#This Row],[Cereals and products]:[Pan, tobacco and intoxicants]])</f>
        <v>2133.4</v>
      </c>
      <c r="AI266" s="12">
        <f>SUM(All_India_Index_Upto_April23__1___14[[#This Row],[Household goods and services]],All_India_Index_Upto_April23__1___14[[#This Row],[Housing]])</f>
        <v>290.97096774193562</v>
      </c>
      <c r="AJ266" s="12">
        <f>All_India_Index_Upto_April23__1___14[[#This Row],[Clothing]]+All_India_Index_Upto_April23__1___14[[#This Row],[Footwear]]</f>
        <v>304.7</v>
      </c>
      <c r="AK266" s="12">
        <f>All_India_Index_Upto_April23__1___14[[#This Row],[Miscellaneous]]+All_India_Index_Upto_April23__1___14[[#This Row],[Personal care and effects]]+All_India_Index_Upto_April23__1___14[[#This Row],[Education]]+All_India_Index_Upto_April23__1___14[[#This Row],[Recreation and amusement]]</f>
        <v>617.9</v>
      </c>
      <c r="AL26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3791.4709677419355</v>
      </c>
    </row>
    <row r="267" spans="1:38" hidden="1" x14ac:dyDescent="0.3">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s="12">
        <f>AVERAGE(All_India_Index_Upto_April23__1___14[[#This Row],[Cereals and products]:[Pan, tobacco and intoxicants]])</f>
        <v>155.83571428571426</v>
      </c>
      <c r="AF267" s="12">
        <f>AVERAGE(All_India_Index_Upto_April23__1___14[[#This Row],[Household goods and services]],All_India_Index_Upto_April23__1___14[[#This Row],[Housing]])</f>
        <v>147.55000000000001</v>
      </c>
      <c r="AG267" s="12">
        <f>AVERAGE(All_India_Index_Upto_April23__1___14[[#This Row],[Miscellaneous]],All_India_Index_Upto_April23__1___14[[#This Row],[Personal care and effects]],All_India_Index_Upto_April23__1___14[[#This Row],[Education]],All_India_Index_Upto_April23__1___14[[#This Row],[Recreation and amusement]])</f>
        <v>147.80000000000001</v>
      </c>
      <c r="AH267" s="12">
        <f>SUM(All_India_Index_Upto_April23__1___14[[#This Row],[Cereals and products]:[Pan, tobacco and intoxicants]])</f>
        <v>2181.6999999999998</v>
      </c>
      <c r="AI267" s="12">
        <f>SUM(All_India_Index_Upto_April23__1___14[[#This Row],[Household goods and services]],All_India_Index_Upto_April23__1___14[[#This Row],[Housing]])</f>
        <v>295.10000000000002</v>
      </c>
      <c r="AJ267" s="12">
        <f>All_India_Index_Upto_April23__1___14[[#This Row],[Clothing]]+All_India_Index_Upto_April23__1___14[[#This Row],[Footwear]]</f>
        <v>285.7</v>
      </c>
      <c r="AK267" s="12">
        <f>All_India_Index_Upto_April23__1___14[[#This Row],[Miscellaneous]]+All_India_Index_Upto_April23__1___14[[#This Row],[Personal care and effects]]+All_India_Index_Upto_April23__1___14[[#This Row],[Education]]+All_India_Index_Upto_April23__1___14[[#This Row],[Recreation and amusement]]</f>
        <v>591.20000000000005</v>
      </c>
      <c r="AL26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3768.2</v>
      </c>
    </row>
    <row r="268" spans="1:38" hidden="1" x14ac:dyDescent="0.3">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s="12">
        <f>AVERAGE(All_India_Index_Upto_April23__1___14[[#This Row],[Cereals and products]:[Pan, tobacco and intoxicants]])</f>
        <v>153.59285714285716</v>
      </c>
      <c r="AF268" s="12">
        <f>AVERAGE(All_India_Index_Upto_April23__1___14[[#This Row],[Household goods and services]],All_India_Index_Upto_April23__1___14[[#This Row],[Housing]])</f>
        <v>150.55000000000001</v>
      </c>
      <c r="AG268" s="12">
        <f>AVERAGE(All_India_Index_Upto_April23__1___14[[#This Row],[Miscellaneous]],All_India_Index_Upto_April23__1___14[[#This Row],[Personal care and effects]],All_India_Index_Upto_April23__1___14[[#This Row],[Education]],All_India_Index_Upto_April23__1___14[[#This Row],[Recreation and amusement]])</f>
        <v>150.82499999999999</v>
      </c>
      <c r="AH268" s="12">
        <f>SUM(All_India_Index_Upto_April23__1___14[[#This Row],[Cereals and products]:[Pan, tobacco and intoxicants]])</f>
        <v>2150.3000000000002</v>
      </c>
      <c r="AI268" s="12">
        <f>SUM(All_India_Index_Upto_April23__1___14[[#This Row],[Household goods and services]],All_India_Index_Upto_April23__1___14[[#This Row],[Housing]])</f>
        <v>301.10000000000002</v>
      </c>
      <c r="AJ268" s="12">
        <f>All_India_Index_Upto_April23__1___14[[#This Row],[Clothing]]+All_India_Index_Upto_April23__1___14[[#This Row],[Footwear]]</f>
        <v>296.89999999999998</v>
      </c>
      <c r="AK268" s="12">
        <f>All_India_Index_Upto_April23__1___14[[#This Row],[Miscellaneous]]+All_India_Index_Upto_April23__1___14[[#This Row],[Personal care and effects]]+All_India_Index_Upto_April23__1___14[[#This Row],[Education]]+All_India_Index_Upto_April23__1___14[[#This Row],[Recreation and amusement]]</f>
        <v>603.29999999999995</v>
      </c>
      <c r="AL26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3782.9000000000005</v>
      </c>
    </row>
    <row r="269" spans="1:38" hidden="1"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s="12">
        <f>'Handle Missing Value Sheet only'!$F$5</f>
        <v>139.27096774193564</v>
      </c>
      <c r="V269">
        <v>144.9</v>
      </c>
      <c r="W269">
        <v>151.69999999999999</v>
      </c>
      <c r="X269">
        <v>158.19999999999999</v>
      </c>
      <c r="Y269">
        <v>141.4</v>
      </c>
      <c r="Z269">
        <v>153.19999999999999</v>
      </c>
      <c r="AA269">
        <v>161.80000000000001</v>
      </c>
      <c r="AB269">
        <v>151.19999999999999</v>
      </c>
      <c r="AC269">
        <v>151.69999999999999</v>
      </c>
      <c r="AD269">
        <v>152.69999999999999</v>
      </c>
      <c r="AE269" s="12">
        <f>AVERAGE(All_India_Index_Upto_April23__1___14[[#This Row],[Cereals and products]:[Pan, tobacco and intoxicants]])</f>
        <v>152.3857142857143</v>
      </c>
      <c r="AF269" s="12">
        <f>AVERAGE(All_India_Index_Upto_April23__1___14[[#This Row],[Household goods and services]],All_India_Index_Upto_April23__1___14[[#This Row],[Housing]])</f>
        <v>145.48548387096781</v>
      </c>
      <c r="AG269" s="12">
        <f>AVERAGE(All_India_Index_Upto_April23__1___14[[#This Row],[Miscellaneous]],All_India_Index_Upto_April23__1___14[[#This Row],[Personal care and effects]],All_India_Index_Upto_April23__1___14[[#This Row],[Education]],All_India_Index_Upto_April23__1___14[[#This Row],[Recreation and amusement]])</f>
        <v>154.47499999999999</v>
      </c>
      <c r="AH269" s="12">
        <f>SUM(All_India_Index_Upto_April23__1___14[[#This Row],[Cereals and products]:[Pan, tobacco and intoxicants]])</f>
        <v>2133.4</v>
      </c>
      <c r="AI269" s="12">
        <f>SUM(All_India_Index_Upto_April23__1___14[[#This Row],[Household goods and services]],All_India_Index_Upto_April23__1___14[[#This Row],[Housing]])</f>
        <v>290.97096774193562</v>
      </c>
      <c r="AJ269" s="12">
        <f>All_India_Index_Upto_April23__1___14[[#This Row],[Clothing]]+All_India_Index_Upto_April23__1___14[[#This Row],[Footwear]]</f>
        <v>304.7</v>
      </c>
      <c r="AK269" s="12">
        <f>All_India_Index_Upto_April23__1___14[[#This Row],[Miscellaneous]]+All_India_Index_Upto_April23__1___14[[#This Row],[Personal care and effects]]+All_India_Index_Upto_April23__1___14[[#This Row],[Education]]+All_India_Index_Upto_April23__1___14[[#This Row],[Recreation and amusement]]</f>
        <v>617.9</v>
      </c>
      <c r="AL26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3791.4709677419355</v>
      </c>
    </row>
    <row r="270" spans="1:38" hidden="1" x14ac:dyDescent="0.3">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s="12">
        <f>AVERAGE(All_India_Index_Upto_April23__1___14[[#This Row],[Cereals and products]:[Pan, tobacco and intoxicants]])</f>
        <v>155.83571428571426</v>
      </c>
      <c r="AF270" s="12">
        <f>AVERAGE(All_India_Index_Upto_April23__1___14[[#This Row],[Household goods and services]],All_India_Index_Upto_April23__1___14[[#This Row],[Housing]])</f>
        <v>147.55000000000001</v>
      </c>
      <c r="AG270" s="12">
        <f>AVERAGE(All_India_Index_Upto_April23__1___14[[#This Row],[Miscellaneous]],All_India_Index_Upto_April23__1___14[[#This Row],[Personal care and effects]],All_India_Index_Upto_April23__1___14[[#This Row],[Education]],All_India_Index_Upto_April23__1___14[[#This Row],[Recreation and amusement]])</f>
        <v>147.80000000000001</v>
      </c>
      <c r="AH270" s="12">
        <f>SUM(All_India_Index_Upto_April23__1___14[[#This Row],[Cereals and products]:[Pan, tobacco and intoxicants]])</f>
        <v>2181.6999999999998</v>
      </c>
      <c r="AI270" s="12">
        <f>SUM(All_India_Index_Upto_April23__1___14[[#This Row],[Household goods and services]],All_India_Index_Upto_April23__1___14[[#This Row],[Housing]])</f>
        <v>295.10000000000002</v>
      </c>
      <c r="AJ270" s="12">
        <f>All_India_Index_Upto_April23__1___14[[#This Row],[Clothing]]+All_India_Index_Upto_April23__1___14[[#This Row],[Footwear]]</f>
        <v>285.7</v>
      </c>
      <c r="AK270" s="12">
        <f>All_India_Index_Upto_April23__1___14[[#This Row],[Miscellaneous]]+All_India_Index_Upto_April23__1___14[[#This Row],[Personal care and effects]]+All_India_Index_Upto_April23__1___14[[#This Row],[Education]]+All_India_Index_Upto_April23__1___14[[#This Row],[Recreation and amusement]]</f>
        <v>591.20000000000005</v>
      </c>
      <c r="AL27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3768.2</v>
      </c>
    </row>
    <row r="271" spans="1:38" hidden="1" x14ac:dyDescent="0.3">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s="12">
        <f>AVERAGE(All_India_Index_Upto_April23__1___14[[#This Row],[Cereals and products]:[Pan, tobacco and intoxicants]])</f>
        <v>153.59285714285716</v>
      </c>
      <c r="AF271" s="12">
        <f>AVERAGE(All_India_Index_Upto_April23__1___14[[#This Row],[Household goods and services]],All_India_Index_Upto_April23__1___14[[#This Row],[Housing]])</f>
        <v>150.55000000000001</v>
      </c>
      <c r="AG271" s="12">
        <f>AVERAGE(All_India_Index_Upto_April23__1___14[[#This Row],[Miscellaneous]],All_India_Index_Upto_April23__1___14[[#This Row],[Personal care and effects]],All_India_Index_Upto_April23__1___14[[#This Row],[Education]],All_India_Index_Upto_April23__1___14[[#This Row],[Recreation and amusement]])</f>
        <v>150.82499999999999</v>
      </c>
      <c r="AH271" s="12">
        <f>SUM(All_India_Index_Upto_April23__1___14[[#This Row],[Cereals and products]:[Pan, tobacco and intoxicants]])</f>
        <v>2150.3000000000002</v>
      </c>
      <c r="AI271" s="12">
        <f>SUM(All_India_Index_Upto_April23__1___14[[#This Row],[Household goods and services]],All_India_Index_Upto_April23__1___14[[#This Row],[Housing]])</f>
        <v>301.10000000000002</v>
      </c>
      <c r="AJ271" s="12">
        <f>All_India_Index_Upto_April23__1___14[[#This Row],[Clothing]]+All_India_Index_Upto_April23__1___14[[#This Row],[Footwear]]</f>
        <v>296.89999999999998</v>
      </c>
      <c r="AK271" s="12">
        <f>All_India_Index_Upto_April23__1___14[[#This Row],[Miscellaneous]]+All_India_Index_Upto_April23__1___14[[#This Row],[Personal care and effects]]+All_India_Index_Upto_April23__1___14[[#This Row],[Education]]+All_India_Index_Upto_April23__1___14[[#This Row],[Recreation and amusement]]</f>
        <v>603.29999999999995</v>
      </c>
      <c r="AL27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3782.9000000000005</v>
      </c>
    </row>
    <row r="272" spans="1:38" hidden="1" x14ac:dyDescent="0.3">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s="12">
        <f>'Handle Missing Value Sheet only'!$F$5</f>
        <v>139.27096774193564</v>
      </c>
      <c r="V272">
        <v>145.80000000000001</v>
      </c>
      <c r="W272">
        <v>151.9</v>
      </c>
      <c r="X272">
        <v>158.80000000000001</v>
      </c>
      <c r="Y272">
        <v>143.6</v>
      </c>
      <c r="Z272">
        <v>152.19999999999999</v>
      </c>
      <c r="AA272">
        <v>162.69999999999999</v>
      </c>
      <c r="AB272">
        <v>153.6</v>
      </c>
      <c r="AC272">
        <v>153</v>
      </c>
      <c r="AD272">
        <v>154.69999999999999</v>
      </c>
      <c r="AE272" s="12">
        <f>AVERAGE(All_India_Index_Upto_April23__1___14[[#This Row],[Cereals and products]:[Pan, tobacco and intoxicants]])</f>
        <v>154.25</v>
      </c>
      <c r="AF272" s="12">
        <f>AVERAGE(All_India_Index_Upto_April23__1___14[[#This Row],[Household goods and services]],All_India_Index_Upto_April23__1___14[[#This Row],[Housing]])</f>
        <v>145.58548387096783</v>
      </c>
      <c r="AG272" s="12">
        <f>AVERAGE(All_India_Index_Upto_April23__1___14[[#This Row],[Miscellaneous]],All_India_Index_Upto_April23__1___14[[#This Row],[Personal care and effects]],All_India_Index_Upto_April23__1___14[[#This Row],[Education]],All_India_Index_Upto_April23__1___14[[#This Row],[Recreation and amusement]])</f>
        <v>155.375</v>
      </c>
      <c r="AH272" s="12">
        <f>SUM(All_India_Index_Upto_April23__1___14[[#This Row],[Cereals and products]:[Pan, tobacco and intoxicants]])</f>
        <v>2159.5</v>
      </c>
      <c r="AI272" s="12">
        <f>SUM(All_India_Index_Upto_April23__1___14[[#This Row],[Household goods and services]],All_India_Index_Upto_April23__1___14[[#This Row],[Housing]])</f>
        <v>291.17096774193567</v>
      </c>
      <c r="AJ272" s="12">
        <f>All_India_Index_Upto_April23__1___14[[#This Row],[Clothing]]+All_India_Index_Upto_April23__1___14[[#This Row],[Footwear]]</f>
        <v>304.39999999999998</v>
      </c>
      <c r="AK272" s="12">
        <f>All_India_Index_Upto_April23__1___14[[#This Row],[Miscellaneous]]+All_India_Index_Upto_April23__1___14[[#This Row],[Personal care and effects]]+All_India_Index_Upto_April23__1___14[[#This Row],[Education]]+All_India_Index_Upto_April23__1___14[[#This Row],[Recreation and amusement]]</f>
        <v>621.5</v>
      </c>
      <c r="AL27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3824.7709677419357</v>
      </c>
    </row>
    <row r="273" spans="1:38" hidden="1" x14ac:dyDescent="0.3">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s="12">
        <f>AVERAGE(All_India_Index_Upto_April23__1___14[[#This Row],[Cereals and products]:[Pan, tobacco and intoxicants]])</f>
        <v>158.00714285714284</v>
      </c>
      <c r="AF273" s="12">
        <f>AVERAGE(All_India_Index_Upto_April23__1___14[[#This Row],[Household goods and services]],All_India_Index_Upto_April23__1___14[[#This Row],[Housing]])</f>
        <v>150</v>
      </c>
      <c r="AG273" s="12">
        <f>AVERAGE(All_India_Index_Upto_April23__1___14[[#This Row],[Miscellaneous]],All_India_Index_Upto_April23__1___14[[#This Row],[Personal care and effects]],All_India_Index_Upto_April23__1___14[[#This Row],[Education]],All_India_Index_Upto_April23__1___14[[#This Row],[Recreation and amusement]])</f>
        <v>149.17500000000001</v>
      </c>
      <c r="AH273" s="12">
        <f>SUM(All_India_Index_Upto_April23__1___14[[#This Row],[Cereals and products]:[Pan, tobacco and intoxicants]])</f>
        <v>2212.1</v>
      </c>
      <c r="AI273" s="12">
        <f>SUM(All_India_Index_Upto_April23__1___14[[#This Row],[Household goods and services]],All_India_Index_Upto_April23__1___14[[#This Row],[Housing]])</f>
        <v>300</v>
      </c>
      <c r="AJ273" s="12">
        <f>All_India_Index_Upto_April23__1___14[[#This Row],[Clothing]]+All_India_Index_Upto_April23__1___14[[#This Row],[Footwear]]</f>
        <v>285.2</v>
      </c>
      <c r="AK273" s="12">
        <f>All_India_Index_Upto_April23__1___14[[#This Row],[Miscellaneous]]+All_India_Index_Upto_April23__1___14[[#This Row],[Personal care and effects]]+All_India_Index_Upto_April23__1___14[[#This Row],[Education]]+All_India_Index_Upto_April23__1___14[[#This Row],[Recreation and amusement]]</f>
        <v>596.70000000000005</v>
      </c>
      <c r="AL27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3814.9</v>
      </c>
    </row>
    <row r="274" spans="1:38" hidden="1" x14ac:dyDescent="0.3">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s="12">
        <f>AVERAGE(All_India_Index_Upto_April23__1___14[[#This Row],[Cereals and products]:[Pan, tobacco and intoxicants]])</f>
        <v>155.55714285714285</v>
      </c>
      <c r="AF274" s="12">
        <f>AVERAGE(All_India_Index_Upto_April23__1___14[[#This Row],[Household goods and services]],All_India_Index_Upto_April23__1___14[[#This Row],[Housing]])</f>
        <v>151.94999999999999</v>
      </c>
      <c r="AG274" s="12">
        <f>AVERAGE(All_India_Index_Upto_April23__1___14[[#This Row],[Miscellaneous]],All_India_Index_Upto_April23__1___14[[#This Row],[Personal care and effects]],All_India_Index_Upto_April23__1___14[[#This Row],[Education]],All_India_Index_Upto_April23__1___14[[#This Row],[Recreation and amusement]])</f>
        <v>151.94999999999999</v>
      </c>
      <c r="AH274" s="12">
        <f>SUM(All_India_Index_Upto_April23__1___14[[#This Row],[Cereals and products]:[Pan, tobacco and intoxicants]])</f>
        <v>2177.7999999999997</v>
      </c>
      <c r="AI274" s="12">
        <f>SUM(All_India_Index_Upto_April23__1___14[[#This Row],[Household goods and services]],All_India_Index_Upto_April23__1___14[[#This Row],[Housing]])</f>
        <v>303.89999999999998</v>
      </c>
      <c r="AJ274" s="12">
        <f>All_India_Index_Upto_April23__1___14[[#This Row],[Clothing]]+All_India_Index_Upto_April23__1___14[[#This Row],[Footwear]]</f>
        <v>296.5</v>
      </c>
      <c r="AK274" s="12">
        <f>All_India_Index_Upto_April23__1___14[[#This Row],[Miscellaneous]]+All_India_Index_Upto_April23__1___14[[#This Row],[Personal care and effects]]+All_India_Index_Upto_April23__1___14[[#This Row],[Education]]+All_India_Index_Upto_April23__1___14[[#This Row],[Recreation and amusement]]</f>
        <v>607.79999999999995</v>
      </c>
      <c r="AL27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3822.4999999999995</v>
      </c>
    </row>
    <row r="275" spans="1:38" hidden="1" x14ac:dyDescent="0.3">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s="12">
        <f>'Handle Missing Value Sheet only'!$F$5</f>
        <v>139.27096774193564</v>
      </c>
      <c r="V275">
        <v>146.4</v>
      </c>
      <c r="W275">
        <v>151.6</v>
      </c>
      <c r="X275">
        <v>159.1</v>
      </c>
      <c r="Y275">
        <v>144.6</v>
      </c>
      <c r="Z275">
        <v>152.80000000000001</v>
      </c>
      <c r="AA275">
        <v>161.1</v>
      </c>
      <c r="AB275">
        <v>157.4</v>
      </c>
      <c r="AC275">
        <v>153.69999999999999</v>
      </c>
      <c r="AD275">
        <v>155.4</v>
      </c>
      <c r="AE275" s="12">
        <f>AVERAGE(All_India_Index_Upto_April23__1___14[[#This Row],[Cereals and products]:[Pan, tobacco and intoxicants]])</f>
        <v>155.02142857142854</v>
      </c>
      <c r="AF275" s="12">
        <f>AVERAGE(All_India_Index_Upto_April23__1___14[[#This Row],[Household goods and services]],All_India_Index_Upto_April23__1___14[[#This Row],[Housing]])</f>
        <v>145.4354838709678</v>
      </c>
      <c r="AG275" s="12">
        <f>AVERAGE(All_India_Index_Upto_April23__1___14[[#This Row],[Miscellaneous]],All_India_Index_Upto_April23__1___14[[#This Row],[Personal care and effects]],All_India_Index_Upto_April23__1___14[[#This Row],[Education]],All_India_Index_Upto_April23__1___14[[#This Row],[Recreation and amusement]])</f>
        <v>156.25</v>
      </c>
      <c r="AH275" s="12">
        <f>SUM(All_India_Index_Upto_April23__1___14[[#This Row],[Cereals and products]:[Pan, tobacco and intoxicants]])</f>
        <v>2170.2999999999997</v>
      </c>
      <c r="AI275" s="12">
        <f>SUM(All_India_Index_Upto_April23__1___14[[#This Row],[Household goods and services]],All_India_Index_Upto_April23__1___14[[#This Row],[Housing]])</f>
        <v>290.8709677419356</v>
      </c>
      <c r="AJ275" s="12">
        <f>All_India_Index_Upto_April23__1___14[[#This Row],[Clothing]]+All_India_Index_Upto_April23__1___14[[#This Row],[Footwear]]</f>
        <v>305.3</v>
      </c>
      <c r="AK275" s="12">
        <f>All_India_Index_Upto_April23__1___14[[#This Row],[Miscellaneous]]+All_India_Index_Upto_April23__1___14[[#This Row],[Personal care and effects]]+All_India_Index_Upto_April23__1___14[[#This Row],[Education]]+All_India_Index_Upto_April23__1___14[[#This Row],[Recreation and amusement]]</f>
        <v>625</v>
      </c>
      <c r="AL27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3841.570967741935</v>
      </c>
    </row>
    <row r="276" spans="1:38" hidden="1" x14ac:dyDescent="0.3">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s="12">
        <f>AVERAGE(All_India_Index_Upto_April23__1___14[[#This Row],[Cereals and products]:[Pan, tobacco and intoxicants]])</f>
        <v>159.30714285714288</v>
      </c>
      <c r="AF276" s="12">
        <f>AVERAGE(All_India_Index_Upto_April23__1___14[[#This Row],[Household goods and services]],All_India_Index_Upto_April23__1___14[[#This Row],[Housing]])</f>
        <v>150.85000000000002</v>
      </c>
      <c r="AG276" s="12">
        <f>AVERAGE(All_India_Index_Upto_April23__1___14[[#This Row],[Miscellaneous]],All_India_Index_Upto_April23__1___14[[#This Row],[Personal care and effects]],All_India_Index_Upto_April23__1___14[[#This Row],[Education]],All_India_Index_Upto_April23__1___14[[#This Row],[Recreation and amusement]])</f>
        <v>150.625</v>
      </c>
      <c r="AH276" s="12">
        <f>SUM(All_India_Index_Upto_April23__1___14[[#This Row],[Cereals and products]:[Pan, tobacco and intoxicants]])</f>
        <v>2230.3000000000002</v>
      </c>
      <c r="AI276" s="12">
        <f>SUM(All_India_Index_Upto_April23__1___14[[#This Row],[Household goods and services]],All_India_Index_Upto_April23__1___14[[#This Row],[Housing]])</f>
        <v>301.70000000000005</v>
      </c>
      <c r="AJ276" s="12">
        <f>All_India_Index_Upto_April23__1___14[[#This Row],[Clothing]]+All_India_Index_Upto_April23__1___14[[#This Row],[Footwear]]</f>
        <v>286.5</v>
      </c>
      <c r="AK276" s="12">
        <f>All_India_Index_Upto_April23__1___14[[#This Row],[Miscellaneous]]+All_India_Index_Upto_April23__1___14[[#This Row],[Personal care and effects]]+All_India_Index_Upto_April23__1___14[[#This Row],[Education]]+All_India_Index_Upto_April23__1___14[[#This Row],[Recreation and amusement]]</f>
        <v>602.5</v>
      </c>
      <c r="AL27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3843.2999999999997</v>
      </c>
    </row>
    <row r="277" spans="1:38" hidden="1" x14ac:dyDescent="0.3">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s="12">
        <f>AVERAGE(All_India_Index_Upto_April23__1___14[[#This Row],[Cereals and products]:[Pan, tobacco and intoxicants]])</f>
        <v>156.52857142857144</v>
      </c>
      <c r="AF277" s="12">
        <f>AVERAGE(All_India_Index_Upto_April23__1___14[[#This Row],[Household goods and services]],All_India_Index_Upto_April23__1___14[[#This Row],[Housing]])</f>
        <v>152.5</v>
      </c>
      <c r="AG277" s="12">
        <f>AVERAGE(All_India_Index_Upto_April23__1___14[[#This Row],[Miscellaneous]],All_India_Index_Upto_April23__1___14[[#This Row],[Personal care and effects]],All_India_Index_Upto_April23__1___14[[#This Row],[Education]],All_India_Index_Upto_April23__1___14[[#This Row],[Recreation and amusement]])</f>
        <v>153.125</v>
      </c>
      <c r="AH277" s="12">
        <f>SUM(All_India_Index_Upto_April23__1___14[[#This Row],[Cereals and products]:[Pan, tobacco and intoxicants]])</f>
        <v>2191.4</v>
      </c>
      <c r="AI277" s="12">
        <f>SUM(All_India_Index_Upto_April23__1___14[[#This Row],[Household goods and services]],All_India_Index_Upto_April23__1___14[[#This Row],[Housing]])</f>
        <v>305</v>
      </c>
      <c r="AJ277" s="12">
        <f>All_India_Index_Upto_April23__1___14[[#This Row],[Clothing]]+All_India_Index_Upto_April23__1___14[[#This Row],[Footwear]]</f>
        <v>297.70000000000005</v>
      </c>
      <c r="AK277" s="12">
        <f>All_India_Index_Upto_April23__1___14[[#This Row],[Miscellaneous]]+All_India_Index_Upto_April23__1___14[[#This Row],[Personal care and effects]]+All_India_Index_Upto_April23__1___14[[#This Row],[Education]]+All_India_Index_Upto_April23__1___14[[#This Row],[Recreation and amusement]]</f>
        <v>612.5</v>
      </c>
      <c r="AL27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3844.7000000000003</v>
      </c>
    </row>
    <row r="278" spans="1:38" hidden="1" x14ac:dyDescent="0.3">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s="12">
        <f>'Handle Missing Value Sheet only'!$F$5</f>
        <v>139.27096774193564</v>
      </c>
      <c r="V278">
        <v>146.80000000000001</v>
      </c>
      <c r="W278">
        <v>152</v>
      </c>
      <c r="X278">
        <v>159.5</v>
      </c>
      <c r="Y278">
        <v>146.4</v>
      </c>
      <c r="Z278">
        <v>152.4</v>
      </c>
      <c r="AA278">
        <v>162.5</v>
      </c>
      <c r="AB278">
        <v>156.19999999999999</v>
      </c>
      <c r="AC278">
        <v>154.30000000000001</v>
      </c>
      <c r="AD278">
        <v>157.5</v>
      </c>
      <c r="AE278" s="12">
        <f>AVERAGE(All_India_Index_Upto_April23__1___14[[#This Row],[Cereals and products]:[Pan, tobacco and intoxicants]])</f>
        <v>158.1142857142857</v>
      </c>
      <c r="AF278" s="12">
        <f>AVERAGE(All_India_Index_Upto_April23__1___14[[#This Row],[Household goods and services]],All_India_Index_Upto_April23__1___14[[#This Row],[Housing]])</f>
        <v>145.63548387096782</v>
      </c>
      <c r="AG278" s="12">
        <f>AVERAGE(All_India_Index_Upto_April23__1___14[[#This Row],[Miscellaneous]],All_India_Index_Upto_April23__1___14[[#This Row],[Personal care and effects]],All_India_Index_Upto_April23__1___14[[#This Row],[Education]],All_India_Index_Upto_April23__1___14[[#This Row],[Recreation and amusement]])</f>
        <v>156.35</v>
      </c>
      <c r="AH278" s="12">
        <f>SUM(All_India_Index_Upto_April23__1___14[[#This Row],[Cereals and products]:[Pan, tobacco and intoxicants]])</f>
        <v>2213.6</v>
      </c>
      <c r="AI278" s="12">
        <f>SUM(All_India_Index_Upto_April23__1___14[[#This Row],[Household goods and services]],All_India_Index_Upto_April23__1___14[[#This Row],[Housing]])</f>
        <v>291.27096774193564</v>
      </c>
      <c r="AJ278" s="12">
        <f>All_India_Index_Upto_April23__1___14[[#This Row],[Clothing]]+All_India_Index_Upto_April23__1___14[[#This Row],[Footwear]]</f>
        <v>306.29999999999995</v>
      </c>
      <c r="AK278" s="12">
        <f>All_India_Index_Upto_April23__1___14[[#This Row],[Miscellaneous]]+All_India_Index_Upto_April23__1___14[[#This Row],[Personal care and effects]]+All_India_Index_Upto_April23__1___14[[#This Row],[Education]]+All_India_Index_Upto_April23__1___14[[#This Row],[Recreation and amusement]]</f>
        <v>625.4</v>
      </c>
      <c r="AL27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3889.2709677419357</v>
      </c>
    </row>
    <row r="279" spans="1:38" hidden="1" x14ac:dyDescent="0.3">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s="12">
        <f>AVERAGE(All_India_Index_Upto_April23__1___14[[#This Row],[Cereals and products]:[Pan, tobacco and intoxicants]])</f>
        <v>162.06428571428569</v>
      </c>
      <c r="AF279" s="12">
        <f>AVERAGE(All_India_Index_Upto_April23__1___14[[#This Row],[Household goods and services]],All_India_Index_Upto_April23__1___14[[#This Row],[Housing]])</f>
        <v>150.80000000000001</v>
      </c>
      <c r="AG279" s="12">
        <f>AVERAGE(All_India_Index_Upto_April23__1___14[[#This Row],[Miscellaneous]],All_India_Index_Upto_April23__1___14[[#This Row],[Personal care and effects]],All_India_Index_Upto_April23__1___14[[#This Row],[Education]],All_India_Index_Upto_April23__1___14[[#This Row],[Recreation and amusement]])</f>
        <v>150.5</v>
      </c>
      <c r="AH279" s="12">
        <f>SUM(All_India_Index_Upto_April23__1___14[[#This Row],[Cereals and products]:[Pan, tobacco and intoxicants]])</f>
        <v>2268.8999999999996</v>
      </c>
      <c r="AI279" s="12">
        <f>SUM(All_India_Index_Upto_April23__1___14[[#This Row],[Household goods and services]],All_India_Index_Upto_April23__1___14[[#This Row],[Housing]])</f>
        <v>301.60000000000002</v>
      </c>
      <c r="AJ279" s="12">
        <f>All_India_Index_Upto_April23__1___14[[#This Row],[Clothing]]+All_India_Index_Upto_April23__1___14[[#This Row],[Footwear]]</f>
        <v>286.60000000000002</v>
      </c>
      <c r="AK279" s="12">
        <f>All_India_Index_Upto_April23__1___14[[#This Row],[Miscellaneous]]+All_India_Index_Upto_April23__1___14[[#This Row],[Personal care and effects]]+All_India_Index_Upto_April23__1___14[[#This Row],[Education]]+All_India_Index_Upto_April23__1___14[[#This Row],[Recreation and amusement]]</f>
        <v>602</v>
      </c>
      <c r="AL27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3882.5999999999995</v>
      </c>
    </row>
    <row r="280" spans="1:38" hidden="1" x14ac:dyDescent="0.3">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s="12">
        <f>AVERAGE(All_India_Index_Upto_April23__1___14[[#This Row],[Cereals and products]:[Pan, tobacco and intoxicants]])</f>
        <v>159.49285714285719</v>
      </c>
      <c r="AF280" s="12">
        <f>AVERAGE(All_India_Index_Upto_April23__1___14[[#This Row],[Household goods and services]],All_India_Index_Upto_April23__1___14[[#This Row],[Housing]])</f>
        <v>152.6</v>
      </c>
      <c r="AG280" s="12">
        <f>AVERAGE(All_India_Index_Upto_April23__1___14[[#This Row],[Miscellaneous]],All_India_Index_Upto_April23__1___14[[#This Row],[Personal care and effects]],All_India_Index_Upto_April23__1___14[[#This Row],[Education]],All_India_Index_Upto_April23__1___14[[#This Row],[Recreation and amusement]])</f>
        <v>153.1</v>
      </c>
      <c r="AH280" s="12">
        <f>SUM(All_India_Index_Upto_April23__1___14[[#This Row],[Cereals and products]:[Pan, tobacco and intoxicants]])</f>
        <v>2232.9000000000005</v>
      </c>
      <c r="AI280" s="12">
        <f>SUM(All_India_Index_Upto_April23__1___14[[#This Row],[Household goods and services]],All_India_Index_Upto_April23__1___14[[#This Row],[Housing]])</f>
        <v>305.2</v>
      </c>
      <c r="AJ280" s="12">
        <f>All_India_Index_Upto_April23__1___14[[#This Row],[Clothing]]+All_India_Index_Upto_April23__1___14[[#This Row],[Footwear]]</f>
        <v>298.29999999999995</v>
      </c>
      <c r="AK280" s="12">
        <f>All_India_Index_Upto_April23__1___14[[#This Row],[Miscellaneous]]+All_India_Index_Upto_April23__1___14[[#This Row],[Personal care and effects]]+All_India_Index_Upto_April23__1___14[[#This Row],[Education]]+All_India_Index_Upto_April23__1___14[[#This Row],[Recreation and amusement]]</f>
        <v>612.4</v>
      </c>
      <c r="AL28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3888.8</v>
      </c>
    </row>
    <row r="281" spans="1:38" hidden="1"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s="12">
        <f>'Handle Missing Value Sheet only'!$F$5</f>
        <v>139.27096774193564</v>
      </c>
      <c r="V281">
        <v>147.5</v>
      </c>
      <c r="W281">
        <v>152.80000000000001</v>
      </c>
      <c r="X281">
        <v>160.4</v>
      </c>
      <c r="Y281">
        <v>146.1</v>
      </c>
      <c r="Z281">
        <v>153.6</v>
      </c>
      <c r="AA281">
        <v>161.6</v>
      </c>
      <c r="AB281">
        <v>156.19999999999999</v>
      </c>
      <c r="AC281">
        <v>154.5</v>
      </c>
      <c r="AD281">
        <v>159.80000000000001</v>
      </c>
      <c r="AE281" s="12">
        <f>AVERAGE(All_India_Index_Upto_April23__1___14[[#This Row],[Cereals and products]:[Pan, tobacco and intoxicants]])</f>
        <v>161.84285714285716</v>
      </c>
      <c r="AF281" s="12">
        <f>AVERAGE(All_India_Index_Upto_April23__1___14[[#This Row],[Household goods and services]],All_India_Index_Upto_April23__1___14[[#This Row],[Housing]])</f>
        <v>146.03548387096782</v>
      </c>
      <c r="AG281" s="12">
        <f>AVERAGE(All_India_Index_Upto_April23__1___14[[#This Row],[Miscellaneous]],All_India_Index_Upto_April23__1___14[[#This Row],[Personal care and effects]],All_India_Index_Upto_April23__1___14[[#This Row],[Education]],All_India_Index_Upto_April23__1___14[[#This Row],[Recreation and amusement]])</f>
        <v>156.47499999999999</v>
      </c>
      <c r="AH281" s="12">
        <f>SUM(All_India_Index_Upto_April23__1___14[[#This Row],[Cereals and products]:[Pan, tobacco and intoxicants]])</f>
        <v>2265.8000000000002</v>
      </c>
      <c r="AI281" s="12">
        <f>SUM(All_India_Index_Upto_April23__1___14[[#This Row],[Household goods and services]],All_India_Index_Upto_April23__1___14[[#This Row],[Housing]])</f>
        <v>292.07096774193565</v>
      </c>
      <c r="AJ281" s="12">
        <f>All_India_Index_Upto_April23__1___14[[#This Row],[Clothing]]+All_India_Index_Upto_April23__1___14[[#This Row],[Footwear]]</f>
        <v>307.3</v>
      </c>
      <c r="AK281" s="12">
        <f>All_India_Index_Upto_April23__1___14[[#This Row],[Miscellaneous]]+All_India_Index_Upto_April23__1___14[[#This Row],[Personal care and effects]]+All_India_Index_Upto_April23__1___14[[#This Row],[Education]]+All_India_Index_Upto_April23__1___14[[#This Row],[Recreation and amusement]]</f>
        <v>625.9</v>
      </c>
      <c r="AL28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3945.0709677419359</v>
      </c>
    </row>
    <row r="282" spans="1:38" hidden="1" x14ac:dyDescent="0.3">
      <c r="A282" t="s">
        <v>32</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s="12">
        <f>AVERAGE(All_India_Index_Upto_April23__1___14[[#This Row],[Cereals and products]:[Pan, tobacco and intoxicants]])</f>
        <v>164.96428571428572</v>
      </c>
      <c r="AF282" s="12">
        <f>AVERAGE(All_India_Index_Upto_April23__1___14[[#This Row],[Household goods and services]],All_India_Index_Upto_April23__1___14[[#This Row],[Housing]])</f>
        <v>151.55000000000001</v>
      </c>
      <c r="AG282" s="12">
        <f>AVERAGE(All_India_Index_Upto_April23__1___14[[#This Row],[Miscellaneous]],All_India_Index_Upto_April23__1___14[[#This Row],[Personal care and effects]],All_India_Index_Upto_April23__1___14[[#This Row],[Education]],All_India_Index_Upto_April23__1___14[[#This Row],[Recreation and amusement]])</f>
        <v>151.32499999999999</v>
      </c>
      <c r="AH282" s="12">
        <f>SUM(All_India_Index_Upto_April23__1___14[[#This Row],[Cereals and products]:[Pan, tobacco and intoxicants]])</f>
        <v>2309.5</v>
      </c>
      <c r="AI282" s="12">
        <f>SUM(All_India_Index_Upto_April23__1___14[[#This Row],[Household goods and services]],All_India_Index_Upto_April23__1___14[[#This Row],[Housing]])</f>
        <v>303.10000000000002</v>
      </c>
      <c r="AJ282" s="12">
        <f>All_India_Index_Upto_April23__1___14[[#This Row],[Clothing]]+All_India_Index_Upto_April23__1___14[[#This Row],[Footwear]]</f>
        <v>287.5</v>
      </c>
      <c r="AK282" s="12">
        <f>All_India_Index_Upto_April23__1___14[[#This Row],[Miscellaneous]]+All_India_Index_Upto_April23__1___14[[#This Row],[Personal care and effects]]+All_India_Index_Upto_April23__1___14[[#This Row],[Education]]+All_India_Index_Upto_April23__1___14[[#This Row],[Recreation and amusement]]</f>
        <v>605.29999999999995</v>
      </c>
      <c r="AL28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3929.9</v>
      </c>
    </row>
    <row r="283" spans="1:38" hidden="1" x14ac:dyDescent="0.3">
      <c r="A283" t="s">
        <v>33</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s="12">
        <f>AVERAGE(All_India_Index_Upto_April23__1___14[[#This Row],[Cereals and products]:[Pan, tobacco and intoxicants]])</f>
        <v>162.8857142857143</v>
      </c>
      <c r="AF283" s="12">
        <f>AVERAGE(All_India_Index_Upto_April23__1___14[[#This Row],[Household goods and services]],All_India_Index_Upto_April23__1___14[[#This Row],[Housing]])</f>
        <v>153.6</v>
      </c>
      <c r="AG283" s="12">
        <f>AVERAGE(All_India_Index_Upto_April23__1___14[[#This Row],[Miscellaneous]],All_India_Index_Upto_April23__1___14[[#This Row],[Personal care and effects]],All_India_Index_Upto_April23__1___14[[#This Row],[Education]],All_India_Index_Upto_April23__1___14[[#This Row],[Recreation and amusement]])</f>
        <v>153.65</v>
      </c>
      <c r="AH283" s="12">
        <f>SUM(All_India_Index_Upto_April23__1___14[[#This Row],[Cereals and products]:[Pan, tobacco and intoxicants]])</f>
        <v>2280.4</v>
      </c>
      <c r="AI283" s="12">
        <f>SUM(All_India_Index_Upto_April23__1___14[[#This Row],[Household goods and services]],All_India_Index_Upto_April23__1___14[[#This Row],[Housing]])</f>
        <v>307.2</v>
      </c>
      <c r="AJ283" s="12">
        <f>All_India_Index_Upto_April23__1___14[[#This Row],[Clothing]]+All_India_Index_Upto_April23__1___14[[#This Row],[Footwear]]</f>
        <v>299.20000000000005</v>
      </c>
      <c r="AK283" s="12">
        <f>All_India_Index_Upto_April23__1___14[[#This Row],[Miscellaneous]]+All_India_Index_Upto_April23__1___14[[#This Row],[Personal care and effects]]+All_India_Index_Upto_April23__1___14[[#This Row],[Education]]+All_India_Index_Upto_April23__1___14[[#This Row],[Recreation and amusement]]</f>
        <v>614.6</v>
      </c>
      <c r="AL28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3942.6</v>
      </c>
    </row>
    <row r="284" spans="1:38" hidden="1"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s="12">
        <f>'Handle Missing Value Sheet only'!$F$5</f>
        <v>139.27096774193564</v>
      </c>
      <c r="V284">
        <v>148.69999999999999</v>
      </c>
      <c r="W284">
        <v>153.4</v>
      </c>
      <c r="X284">
        <v>161.6</v>
      </c>
      <c r="Y284">
        <v>146.4</v>
      </c>
      <c r="Z284">
        <v>153.9</v>
      </c>
      <c r="AA284">
        <v>162.9</v>
      </c>
      <c r="AB284">
        <v>156.6</v>
      </c>
      <c r="AC284">
        <v>155.19999999999999</v>
      </c>
      <c r="AD284">
        <v>160.69999999999999</v>
      </c>
      <c r="AE284" s="12">
        <f>AVERAGE(All_India_Index_Upto_April23__1___14[[#This Row],[Cereals and products]:[Pan, tobacco and intoxicants]])</f>
        <v>163.15</v>
      </c>
      <c r="AF284" s="12">
        <f>AVERAGE(All_India_Index_Upto_April23__1___14[[#This Row],[Household goods and services]],All_India_Index_Upto_April23__1___14[[#This Row],[Housing]])</f>
        <v>146.33548387096783</v>
      </c>
      <c r="AG284" s="12">
        <f>AVERAGE(All_India_Index_Upto_April23__1___14[[#This Row],[Miscellaneous]],All_India_Index_Upto_April23__1___14[[#This Row],[Personal care and effects]],All_India_Index_Upto_April23__1___14[[#This Row],[Education]],All_India_Index_Upto_April23__1___14[[#This Row],[Recreation and amusement]])</f>
        <v>157.14999999999998</v>
      </c>
      <c r="AH284" s="12">
        <f>SUM(All_India_Index_Upto_April23__1___14[[#This Row],[Cereals and products]:[Pan, tobacco and intoxicants]])</f>
        <v>2284.1</v>
      </c>
      <c r="AI284" s="12">
        <f>SUM(All_India_Index_Upto_April23__1___14[[#This Row],[Household goods and services]],All_India_Index_Upto_April23__1___14[[#This Row],[Housing]])</f>
        <v>292.67096774193567</v>
      </c>
      <c r="AJ284" s="12">
        <f>All_India_Index_Upto_April23__1___14[[#This Row],[Clothing]]+All_India_Index_Upto_April23__1___14[[#This Row],[Footwear]]</f>
        <v>308.60000000000002</v>
      </c>
      <c r="AK284" s="12">
        <f>All_India_Index_Upto_April23__1___14[[#This Row],[Miscellaneous]]+All_India_Index_Upto_April23__1___14[[#This Row],[Personal care and effects]]+All_India_Index_Upto_April23__1___14[[#This Row],[Education]]+All_India_Index_Upto_April23__1___14[[#This Row],[Recreation and amusement]]</f>
        <v>628.59999999999991</v>
      </c>
      <c r="AL28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3970.6709677419353</v>
      </c>
    </row>
    <row r="285" spans="1:38" hidden="1" x14ac:dyDescent="0.3">
      <c r="A285" t="s">
        <v>32</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s="12">
        <f>AVERAGE(All_India_Index_Upto_April23__1___14[[#This Row],[Cereals and products]:[Pan, tobacco and intoxicants]])</f>
        <v>165.4</v>
      </c>
      <c r="AF285" s="12">
        <f>AVERAGE(All_India_Index_Upto_April23__1___14[[#This Row],[Household goods and services]],All_India_Index_Upto_April23__1___14[[#This Row],[Housing]])</f>
        <v>151.94999999999999</v>
      </c>
      <c r="AG285" s="12">
        <f>AVERAGE(All_India_Index_Upto_April23__1___14[[#This Row],[Miscellaneous]],All_India_Index_Upto_April23__1___14[[#This Row],[Personal care and effects]],All_India_Index_Upto_April23__1___14[[#This Row],[Education]],All_India_Index_Upto_April23__1___14[[#This Row],[Recreation and amusement]])</f>
        <v>151.5</v>
      </c>
      <c r="AH285" s="12">
        <f>SUM(All_India_Index_Upto_April23__1___14[[#This Row],[Cereals and products]:[Pan, tobacco and intoxicants]])</f>
        <v>2315.6</v>
      </c>
      <c r="AI285" s="12">
        <f>SUM(All_India_Index_Upto_April23__1___14[[#This Row],[Household goods and services]],All_India_Index_Upto_April23__1___14[[#This Row],[Housing]])</f>
        <v>303.89999999999998</v>
      </c>
      <c r="AJ285" s="12">
        <f>All_India_Index_Upto_April23__1___14[[#This Row],[Clothing]]+All_India_Index_Upto_April23__1___14[[#This Row],[Footwear]]</f>
        <v>288.60000000000002</v>
      </c>
      <c r="AK285" s="12">
        <f>All_India_Index_Upto_April23__1___14[[#This Row],[Miscellaneous]]+All_India_Index_Upto_April23__1___14[[#This Row],[Personal care and effects]]+All_India_Index_Upto_April23__1___14[[#This Row],[Education]]+All_India_Index_Upto_April23__1___14[[#This Row],[Recreation and amusement]]</f>
        <v>606</v>
      </c>
      <c r="AL28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3940.4</v>
      </c>
    </row>
    <row r="286" spans="1:38" hidden="1" x14ac:dyDescent="0.3">
      <c r="A286" t="s">
        <v>33</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s="12">
        <f>AVERAGE(All_India_Index_Upto_April23__1___14[[#This Row],[Cereals and products]:[Pan, tobacco and intoxicants]])</f>
        <v>163.89285714285714</v>
      </c>
      <c r="AF286" s="12">
        <f>AVERAGE(All_India_Index_Upto_April23__1___14[[#This Row],[Household goods and services]],All_India_Index_Upto_April23__1___14[[#This Row],[Housing]])</f>
        <v>154.05000000000001</v>
      </c>
      <c r="AG286" s="12">
        <f>AVERAGE(All_India_Index_Upto_April23__1___14[[#This Row],[Miscellaneous]],All_India_Index_Upto_April23__1___14[[#This Row],[Personal care and effects]],All_India_Index_Upto_April23__1___14[[#This Row],[Education]],All_India_Index_Upto_April23__1___14[[#This Row],[Recreation and amusement]])</f>
        <v>154.04999999999998</v>
      </c>
      <c r="AH286" s="12">
        <f>SUM(All_India_Index_Upto_April23__1___14[[#This Row],[Cereals and products]:[Pan, tobacco and intoxicants]])</f>
        <v>2294.5</v>
      </c>
      <c r="AI286" s="12">
        <f>SUM(All_India_Index_Upto_April23__1___14[[#This Row],[Household goods and services]],All_India_Index_Upto_April23__1___14[[#This Row],[Housing]])</f>
        <v>308.10000000000002</v>
      </c>
      <c r="AJ286" s="12">
        <f>All_India_Index_Upto_April23__1___14[[#This Row],[Clothing]]+All_India_Index_Upto_April23__1___14[[#This Row],[Footwear]]</f>
        <v>300.39999999999998</v>
      </c>
      <c r="AK286" s="12">
        <f>All_India_Index_Upto_April23__1___14[[#This Row],[Miscellaneous]]+All_India_Index_Upto_April23__1___14[[#This Row],[Personal care and effects]]+All_India_Index_Upto_April23__1___14[[#This Row],[Education]]+All_India_Index_Upto_April23__1___14[[#This Row],[Recreation and amusement]]</f>
        <v>616.19999999999993</v>
      </c>
      <c r="AL28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3962.7999999999997</v>
      </c>
    </row>
    <row r="287" spans="1:38"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s="12">
        <f>'Handle Missing Value Sheet only'!$F$5</f>
        <v>139.27096774193564</v>
      </c>
      <c r="V287">
        <v>150.9</v>
      </c>
      <c r="W287">
        <v>153.9</v>
      </c>
      <c r="X287">
        <v>162.5</v>
      </c>
      <c r="Y287">
        <v>147.5</v>
      </c>
      <c r="Z287">
        <v>155.1</v>
      </c>
      <c r="AA287">
        <v>163.5</v>
      </c>
      <c r="AB287">
        <v>156.19999999999999</v>
      </c>
      <c r="AC287">
        <v>155.9</v>
      </c>
      <c r="AD287">
        <v>158.5</v>
      </c>
      <c r="AE287" s="12">
        <f>AVERAGE(All_India_Index_Upto_April23__1___14[[#This Row],[Cereals and products]:[Pan, tobacco and intoxicants]])</f>
        <v>160.73571428571427</v>
      </c>
      <c r="AF287" s="12">
        <f>AVERAGE(All_India_Index_Upto_April23__1___14[[#This Row],[Household goods and services]],All_India_Index_Upto_April23__1___14[[#This Row],[Housing]])</f>
        <v>146.58548387096783</v>
      </c>
      <c r="AG287" s="12">
        <f>AVERAGE(All_India_Index_Upto_April23__1___14[[#This Row],[Miscellaneous]],All_India_Index_Upto_April23__1___14[[#This Row],[Personal care and effects]],All_India_Index_Upto_April23__1___14[[#This Row],[Education]],All_India_Index_Upto_April23__1___14[[#This Row],[Recreation and amusement]])</f>
        <v>157.67500000000001</v>
      </c>
      <c r="AH287" s="12">
        <f>SUM(All_India_Index_Upto_April23__1___14[[#This Row],[Cereals and products]:[Pan, tobacco and intoxicants]])</f>
        <v>2250.2999999999997</v>
      </c>
      <c r="AI287" s="12">
        <f>SUM(All_India_Index_Upto_April23__1___14[[#This Row],[Household goods and services]],All_India_Index_Upto_April23__1___14[[#This Row],[Housing]])</f>
        <v>293.17096774193567</v>
      </c>
      <c r="AJ287" s="12">
        <f>All_India_Index_Upto_April23__1___14[[#This Row],[Clothing]]+All_India_Index_Upto_April23__1___14[[#This Row],[Footwear]]</f>
        <v>309.89999999999998</v>
      </c>
      <c r="AK287" s="12">
        <f>All_India_Index_Upto_April23__1___14[[#This Row],[Miscellaneous]]+All_India_Index_Upto_April23__1___14[[#This Row],[Personal care and effects]]+All_India_Index_Upto_April23__1___14[[#This Row],[Education]]+All_India_Index_Upto_April23__1___14[[#This Row],[Recreation and amusement]]</f>
        <v>630.70000000000005</v>
      </c>
      <c r="AL28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3944.9709677419355</v>
      </c>
    </row>
    <row r="288" spans="1:38" hidden="1" x14ac:dyDescent="0.3">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s="12">
        <f>AVERAGE(All_India_Index_Upto_April23__1___14[[#This Row],[Cereals and products]:[Pan, tobacco and intoxicants]])</f>
        <v>163.48571428571429</v>
      </c>
      <c r="AF288" s="12">
        <f>AVERAGE(All_India_Index_Upto_April23__1___14[[#This Row],[Household goods and services]],All_India_Index_Upto_April23__1___14[[#This Row],[Housing]])</f>
        <v>151.69999999999999</v>
      </c>
      <c r="AG288" s="12">
        <f>AVERAGE(All_India_Index_Upto_April23__1___14[[#This Row],[Miscellaneous]],All_India_Index_Upto_April23__1___14[[#This Row],[Personal care and effects]],All_India_Index_Upto_April23__1___14[[#This Row],[Education]],All_India_Index_Upto_April23__1___14[[#This Row],[Recreation and amusement]])</f>
        <v>151.69999999999999</v>
      </c>
      <c r="AH288" s="12">
        <f>SUM(All_India_Index_Upto_April23__1___14[[#This Row],[Cereals and products]:[Pan, tobacco and intoxicants]])</f>
        <v>2288.8000000000002</v>
      </c>
      <c r="AI288" s="12">
        <f>SUM(All_India_Index_Upto_April23__1___14[[#This Row],[Household goods and services]],All_India_Index_Upto_April23__1___14[[#This Row],[Housing]])</f>
        <v>303.39999999999998</v>
      </c>
      <c r="AJ288" s="12">
        <f>All_India_Index_Upto_April23__1___14[[#This Row],[Clothing]]+All_India_Index_Upto_April23__1___14[[#This Row],[Footwear]]</f>
        <v>289.8</v>
      </c>
      <c r="AK288" s="12">
        <f>All_India_Index_Upto_April23__1___14[[#This Row],[Miscellaneous]]+All_India_Index_Upto_April23__1___14[[#This Row],[Personal care and effects]]+All_India_Index_Upto_April23__1___14[[#This Row],[Education]]+All_India_Index_Upto_April23__1___14[[#This Row],[Recreation and amusement]]</f>
        <v>606.79999999999995</v>
      </c>
      <c r="AL28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3922.7000000000003</v>
      </c>
    </row>
    <row r="289" spans="1:38" hidden="1" x14ac:dyDescent="0.3">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s="12">
        <f>AVERAGE(All_India_Index_Upto_April23__1___14[[#This Row],[Cereals and products]:[Pan, tobacco and intoxicants]])</f>
        <v>161.64285714285714</v>
      </c>
      <c r="AF289" s="12">
        <f>AVERAGE(All_India_Index_Upto_April23__1___14[[#This Row],[Household goods and services]],All_India_Index_Upto_April23__1___14[[#This Row],[Housing]])</f>
        <v>153.85</v>
      </c>
      <c r="AG289" s="12">
        <f>AVERAGE(All_India_Index_Upto_April23__1___14[[#This Row],[Miscellaneous]],All_India_Index_Upto_April23__1___14[[#This Row],[Personal care and effects]],All_India_Index_Upto_April23__1___14[[#This Row],[Education]],All_India_Index_Upto_April23__1___14[[#This Row],[Recreation and amusement]])</f>
        <v>154.375</v>
      </c>
      <c r="AH289" s="12">
        <f>SUM(All_India_Index_Upto_April23__1___14[[#This Row],[Cereals and products]:[Pan, tobacco and intoxicants]])</f>
        <v>2263</v>
      </c>
      <c r="AI289" s="12">
        <f>SUM(All_India_Index_Upto_April23__1___14[[#This Row],[Household goods and services]],All_India_Index_Upto_April23__1___14[[#This Row],[Housing]])</f>
        <v>307.7</v>
      </c>
      <c r="AJ289" s="12">
        <f>All_India_Index_Upto_April23__1___14[[#This Row],[Clothing]]+All_India_Index_Upto_April23__1___14[[#This Row],[Footwear]]</f>
        <v>301.60000000000002</v>
      </c>
      <c r="AK289" s="12">
        <f>All_India_Index_Upto_April23__1___14[[#This Row],[Miscellaneous]]+All_India_Index_Upto_April23__1___14[[#This Row],[Personal care and effects]]+All_India_Index_Upto_April23__1___14[[#This Row],[Education]]+All_India_Index_Upto_April23__1___14[[#This Row],[Recreation and amusement]]</f>
        <v>617.5</v>
      </c>
      <c r="AL28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3938.9000000000005</v>
      </c>
    </row>
    <row r="290" spans="1:38" hidden="1" x14ac:dyDescent="0.3">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s="12">
        <f>'Handle Missing Value Sheet only'!$F$5</f>
        <v>139.27096774193564</v>
      </c>
      <c r="V290">
        <v>154.4</v>
      </c>
      <c r="W290">
        <v>154.80000000000001</v>
      </c>
      <c r="X290">
        <v>164.3</v>
      </c>
      <c r="Y290">
        <v>150.19999999999999</v>
      </c>
      <c r="Z290">
        <v>157</v>
      </c>
      <c r="AA290">
        <v>163.6</v>
      </c>
      <c r="AB290">
        <v>155.19999999999999</v>
      </c>
      <c r="AC290">
        <v>157.19999999999999</v>
      </c>
      <c r="AD290">
        <v>156.69999999999999</v>
      </c>
      <c r="AE290" s="12">
        <f>AVERAGE(All_India_Index_Upto_April23__1___14[[#This Row],[Cereals and products]:[Pan, tobacco and intoxicants]])</f>
        <v>157.98571428571429</v>
      </c>
      <c r="AF290" s="12">
        <f>AVERAGE(All_India_Index_Upto_April23__1___14[[#This Row],[Household goods and services]],All_India_Index_Upto_April23__1___14[[#This Row],[Housing]])</f>
        <v>147.03548387096782</v>
      </c>
      <c r="AG290" s="12">
        <f>AVERAGE(All_India_Index_Upto_April23__1___14[[#This Row],[Miscellaneous]],All_India_Index_Upto_April23__1___14[[#This Row],[Personal care and effects]],All_India_Index_Upto_April23__1___14[[#This Row],[Education]],All_India_Index_Upto_April23__1___14[[#This Row],[Recreation and amusement]])</f>
        <v>158.25</v>
      </c>
      <c r="AH290" s="12">
        <f>SUM(All_India_Index_Upto_April23__1___14[[#This Row],[Cereals and products]:[Pan, tobacco and intoxicants]])</f>
        <v>2211.8000000000002</v>
      </c>
      <c r="AI290" s="12">
        <f>SUM(All_India_Index_Upto_April23__1___14[[#This Row],[Household goods and services]],All_India_Index_Upto_April23__1___14[[#This Row],[Housing]])</f>
        <v>294.07096774193565</v>
      </c>
      <c r="AJ290" s="12">
        <f>All_India_Index_Upto_April23__1___14[[#This Row],[Clothing]]+All_India_Index_Upto_April23__1___14[[#This Row],[Footwear]]</f>
        <v>313</v>
      </c>
      <c r="AK290" s="12">
        <f>All_India_Index_Upto_April23__1___14[[#This Row],[Miscellaneous]]+All_India_Index_Upto_April23__1___14[[#This Row],[Personal care and effects]]+All_India_Index_Upto_April23__1___14[[#This Row],[Education]]+All_India_Index_Upto_April23__1___14[[#This Row],[Recreation and amusement]]</f>
        <v>633</v>
      </c>
      <c r="AL29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3920.7709677419357</v>
      </c>
    </row>
    <row r="291" spans="1:38" hidden="1" x14ac:dyDescent="0.3">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s="12">
        <f>AVERAGE(All_India_Index_Upto_April23__1___14[[#This Row],[Cereals and products]:[Pan, tobacco and intoxicants]])</f>
        <v>161.37857142857143</v>
      </c>
      <c r="AF291" s="12">
        <f>AVERAGE(All_India_Index_Upto_April23__1___14[[#This Row],[Household goods and services]],All_India_Index_Upto_April23__1___14[[#This Row],[Housing]])</f>
        <v>153.15</v>
      </c>
      <c r="AG291" s="12">
        <f>AVERAGE(All_India_Index_Upto_April23__1___14[[#This Row],[Miscellaneous]],All_India_Index_Upto_April23__1___14[[#This Row],[Personal care and effects]],All_India_Index_Upto_April23__1___14[[#This Row],[Education]],All_India_Index_Upto_April23__1___14[[#This Row],[Recreation and amusement]])</f>
        <v>152.47500000000002</v>
      </c>
      <c r="AH291" s="12">
        <f>SUM(All_India_Index_Upto_April23__1___14[[#This Row],[Cereals and products]:[Pan, tobacco and intoxicants]])</f>
        <v>2259.3000000000002</v>
      </c>
      <c r="AI291" s="12">
        <f>SUM(All_India_Index_Upto_April23__1___14[[#This Row],[Household goods and services]],All_India_Index_Upto_April23__1___14[[#This Row],[Housing]])</f>
        <v>306.3</v>
      </c>
      <c r="AJ291" s="12">
        <f>All_India_Index_Upto_April23__1___14[[#This Row],[Clothing]]+All_India_Index_Upto_April23__1___14[[#This Row],[Footwear]]</f>
        <v>292.39999999999998</v>
      </c>
      <c r="AK291" s="12">
        <f>All_India_Index_Upto_April23__1___14[[#This Row],[Miscellaneous]]+All_India_Index_Upto_April23__1___14[[#This Row],[Personal care and effects]]+All_India_Index_Upto_April23__1___14[[#This Row],[Education]]+All_India_Index_Upto_April23__1___14[[#This Row],[Recreation and amusement]]</f>
        <v>609.90000000000009</v>
      </c>
      <c r="AL29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3913.8000000000006</v>
      </c>
    </row>
    <row r="292" spans="1:38" hidden="1" x14ac:dyDescent="0.3">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s="12">
        <f>AVERAGE(All_India_Index_Upto_April23__1___14[[#This Row],[Cereals and products]:[Pan, tobacco and intoxicants]])</f>
        <v>159.11428571428573</v>
      </c>
      <c r="AF292" s="12">
        <f>AVERAGE(All_India_Index_Upto_April23__1___14[[#This Row],[Household goods and services]],All_India_Index_Upto_April23__1___14[[#This Row],[Housing]])</f>
        <v>155.35000000000002</v>
      </c>
      <c r="AG292" s="12">
        <f>AVERAGE(All_India_Index_Upto_April23__1___14[[#This Row],[Miscellaneous]],All_India_Index_Upto_April23__1___14[[#This Row],[Personal care and effects]],All_India_Index_Upto_April23__1___14[[#This Row],[Education]],All_India_Index_Upto_April23__1___14[[#This Row],[Recreation and amusement]])</f>
        <v>155.05000000000001</v>
      </c>
      <c r="AH292" s="12">
        <f>SUM(All_India_Index_Upto_April23__1___14[[#This Row],[Cereals and products]:[Pan, tobacco and intoxicants]])</f>
        <v>2227.6000000000004</v>
      </c>
      <c r="AI292" s="12">
        <f>SUM(All_India_Index_Upto_April23__1___14[[#This Row],[Household goods and services]],All_India_Index_Upto_April23__1___14[[#This Row],[Housing]])</f>
        <v>310.70000000000005</v>
      </c>
      <c r="AJ292" s="12">
        <f>All_India_Index_Upto_April23__1___14[[#This Row],[Clothing]]+All_India_Index_Upto_April23__1___14[[#This Row],[Footwear]]</f>
        <v>304.60000000000002</v>
      </c>
      <c r="AK292" s="12">
        <f>All_India_Index_Upto_April23__1___14[[#This Row],[Miscellaneous]]+All_India_Index_Upto_April23__1___14[[#This Row],[Personal care and effects]]+All_India_Index_Upto_April23__1___14[[#This Row],[Education]]+All_India_Index_Upto_April23__1___14[[#This Row],[Recreation and amusement]]</f>
        <v>620.20000000000005</v>
      </c>
      <c r="AL29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3921.9000000000005</v>
      </c>
    </row>
    <row r="293" spans="1:38" hidden="1" x14ac:dyDescent="0.3">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s="12">
        <f>'Handle Missing Value Sheet only'!$F$5</f>
        <v>139.27096774193564</v>
      </c>
      <c r="V293">
        <v>156</v>
      </c>
      <c r="W293">
        <v>154.80000000000001</v>
      </c>
      <c r="X293">
        <v>164.6</v>
      </c>
      <c r="Y293">
        <v>151.30000000000001</v>
      </c>
      <c r="Z293">
        <v>157.80000000000001</v>
      </c>
      <c r="AA293">
        <v>163.80000000000001</v>
      </c>
      <c r="AB293">
        <v>153.1</v>
      </c>
      <c r="AC293">
        <v>157.30000000000001</v>
      </c>
      <c r="AD293">
        <v>156.69999999999999</v>
      </c>
      <c r="AE293" s="12">
        <f>AVERAGE(All_India_Index_Upto_April23__1___14[[#This Row],[Cereals and products]:[Pan, tobacco and intoxicants]])</f>
        <v>157.98571428571429</v>
      </c>
      <c r="AF293" s="12">
        <f>AVERAGE(All_India_Index_Upto_April23__1___14[[#This Row],[Household goods and services]],All_India_Index_Upto_April23__1___14[[#This Row],[Housing]])</f>
        <v>147.03548387096782</v>
      </c>
      <c r="AG293" s="12">
        <f>AVERAGE(All_India_Index_Upto_April23__1___14[[#This Row],[Miscellaneous]],All_India_Index_Upto_April23__1___14[[#This Row],[Personal care and effects]],All_India_Index_Upto_April23__1___14[[#This Row],[Education]],All_India_Index_Upto_April23__1___14[[#This Row],[Recreation and amusement]])</f>
        <v>158</v>
      </c>
      <c r="AH293" s="12">
        <f>SUM(All_India_Index_Upto_April23__1___14[[#This Row],[Cereals and products]:[Pan, tobacco and intoxicants]])</f>
        <v>2211.8000000000002</v>
      </c>
      <c r="AI293" s="12">
        <f>SUM(All_India_Index_Upto_April23__1___14[[#This Row],[Household goods and services]],All_India_Index_Upto_April23__1___14[[#This Row],[Housing]])</f>
        <v>294.07096774193565</v>
      </c>
      <c r="AJ293" s="12">
        <f>All_India_Index_Upto_April23__1___14[[#This Row],[Clothing]]+All_India_Index_Upto_April23__1___14[[#This Row],[Footwear]]</f>
        <v>314</v>
      </c>
      <c r="AK293" s="12">
        <f>All_India_Index_Upto_April23__1___14[[#This Row],[Miscellaneous]]+All_India_Index_Upto_April23__1___14[[#This Row],[Personal care and effects]]+All_India_Index_Upto_April23__1___14[[#This Row],[Education]]+All_India_Index_Upto_April23__1___14[[#This Row],[Recreation and amusement]]</f>
        <v>632</v>
      </c>
      <c r="AL29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3923.7709677419357</v>
      </c>
    </row>
    <row r="294" spans="1:38" hidden="1" x14ac:dyDescent="0.3">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s="12">
        <f>AVERAGE(All_India_Index_Upto_April23__1___14[[#This Row],[Cereals and products]:[Pan, tobacco and intoxicants]])</f>
        <v>161.28571428571425</v>
      </c>
      <c r="AF294" s="12">
        <f>AVERAGE(All_India_Index_Upto_April23__1___14[[#This Row],[Household goods and services]],All_India_Index_Upto_April23__1___14[[#This Row],[Housing]])</f>
        <v>153.55000000000001</v>
      </c>
      <c r="AG294" s="12">
        <f>AVERAGE(All_India_Index_Upto_April23__1___14[[#This Row],[Miscellaneous]],All_India_Index_Upto_April23__1___14[[#This Row],[Personal care and effects]],All_India_Index_Upto_April23__1___14[[#This Row],[Education]],All_India_Index_Upto_April23__1___14[[#This Row],[Recreation and amusement]])</f>
        <v>152.77500000000001</v>
      </c>
      <c r="AH294" s="12">
        <f>SUM(All_India_Index_Upto_April23__1___14[[#This Row],[Cereals and products]:[Pan, tobacco and intoxicants]])</f>
        <v>2257.9999999999995</v>
      </c>
      <c r="AI294" s="12">
        <f>SUM(All_India_Index_Upto_April23__1___14[[#This Row],[Household goods and services]],All_India_Index_Upto_April23__1___14[[#This Row],[Housing]])</f>
        <v>307.10000000000002</v>
      </c>
      <c r="AJ294" s="12">
        <f>All_India_Index_Upto_April23__1___14[[#This Row],[Clothing]]+All_India_Index_Upto_April23__1___14[[#This Row],[Footwear]]</f>
        <v>293.79999999999995</v>
      </c>
      <c r="AK294" s="12">
        <f>All_India_Index_Upto_April23__1___14[[#This Row],[Miscellaneous]]+All_India_Index_Upto_April23__1___14[[#This Row],[Personal care and effects]]+All_India_Index_Upto_April23__1___14[[#This Row],[Education]]+All_India_Index_Upto_April23__1___14[[#This Row],[Recreation and amusement]]</f>
        <v>611.1</v>
      </c>
      <c r="AL29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3923.3999999999996</v>
      </c>
    </row>
    <row r="295" spans="1:38" hidden="1" x14ac:dyDescent="0.3">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s="12">
        <f>AVERAGE(All_India_Index_Upto_April23__1___14[[#This Row],[Cereals and products]:[Pan, tobacco and intoxicants]])</f>
        <v>159.10714285714286</v>
      </c>
      <c r="AF295" s="12">
        <f>AVERAGE(All_India_Index_Upto_April23__1___14[[#This Row],[Household goods and services]],All_India_Index_Upto_April23__1___14[[#This Row],[Housing]])</f>
        <v>155.55000000000001</v>
      </c>
      <c r="AG295" s="12">
        <f>AVERAGE(All_India_Index_Upto_April23__1___14[[#This Row],[Miscellaneous]],All_India_Index_Upto_April23__1___14[[#This Row],[Personal care and effects]],All_India_Index_Upto_April23__1___14[[#This Row],[Education]],All_India_Index_Upto_April23__1___14[[#This Row],[Recreation and amusement]])</f>
        <v>155.1</v>
      </c>
      <c r="AH295" s="12">
        <f>SUM(All_India_Index_Upto_April23__1___14[[#This Row],[Cereals and products]:[Pan, tobacco and intoxicants]])</f>
        <v>2227.5</v>
      </c>
      <c r="AI295" s="12">
        <f>SUM(All_India_Index_Upto_April23__1___14[[#This Row],[Household goods and services]],All_India_Index_Upto_April23__1___14[[#This Row],[Housing]])</f>
        <v>311.10000000000002</v>
      </c>
      <c r="AJ295" s="12">
        <f>All_India_Index_Upto_April23__1___14[[#This Row],[Clothing]]+All_India_Index_Upto_April23__1___14[[#This Row],[Footwear]]</f>
        <v>305.70000000000005</v>
      </c>
      <c r="AK295" s="12">
        <f>All_India_Index_Upto_April23__1___14[[#This Row],[Miscellaneous]]+All_India_Index_Upto_April23__1___14[[#This Row],[Personal care and effects]]+All_India_Index_Upto_April23__1___14[[#This Row],[Education]]+All_India_Index_Upto_April23__1___14[[#This Row],[Recreation and amusement]]</f>
        <v>620.4</v>
      </c>
      <c r="AL29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3928.0999999999995</v>
      </c>
    </row>
    <row r="296" spans="1:38" hidden="1" x14ac:dyDescent="0.3">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s="12">
        <f>'Handle Missing Value Sheet only'!$F$5</f>
        <v>139.27096774193564</v>
      </c>
      <c r="V296">
        <v>156</v>
      </c>
      <c r="W296">
        <v>155.5</v>
      </c>
      <c r="X296">
        <v>165.3</v>
      </c>
      <c r="Y296">
        <v>151.69999999999999</v>
      </c>
      <c r="Z296">
        <v>158.6</v>
      </c>
      <c r="AA296">
        <v>164.1</v>
      </c>
      <c r="AB296">
        <v>154.6</v>
      </c>
      <c r="AC296">
        <v>158</v>
      </c>
      <c r="AD296">
        <v>157.6</v>
      </c>
      <c r="AE296" s="12">
        <f>AVERAGE(All_India_Index_Upto_April23__1___14[[#This Row],[Cereals and products]:[Pan, tobacco and intoxicants]])</f>
        <v>159.73571428571429</v>
      </c>
      <c r="AF296" s="12">
        <f>AVERAGE(All_India_Index_Upto_April23__1___14[[#This Row],[Household goods and services]],All_India_Index_Upto_April23__1___14[[#This Row],[Housing]])</f>
        <v>147.38548387096782</v>
      </c>
      <c r="AG296" s="12">
        <f>AVERAGE(All_India_Index_Upto_April23__1___14[[#This Row],[Miscellaneous]],All_India_Index_Upto_April23__1___14[[#This Row],[Personal care and effects]],All_India_Index_Upto_April23__1___14[[#This Row],[Education]],All_India_Index_Upto_April23__1___14[[#This Row],[Recreation and amusement]])</f>
        <v>158.82500000000002</v>
      </c>
      <c r="AH296" s="12">
        <f>SUM(All_India_Index_Upto_April23__1___14[[#This Row],[Cereals and products]:[Pan, tobacco and intoxicants]])</f>
        <v>2236.3000000000002</v>
      </c>
      <c r="AI296" s="12">
        <f>SUM(All_India_Index_Upto_April23__1___14[[#This Row],[Household goods and services]],All_India_Index_Upto_April23__1___14[[#This Row],[Housing]])</f>
        <v>294.77096774193564</v>
      </c>
      <c r="AJ296" s="12">
        <f>All_India_Index_Upto_April23__1___14[[#This Row],[Clothing]]+All_India_Index_Upto_April23__1___14[[#This Row],[Footwear]]</f>
        <v>315.79999999999995</v>
      </c>
      <c r="AK296" s="12">
        <f>All_India_Index_Upto_April23__1___14[[#This Row],[Miscellaneous]]+All_India_Index_Upto_April23__1___14[[#This Row],[Personal care and effects]]+All_India_Index_Upto_April23__1___14[[#This Row],[Education]]+All_India_Index_Upto_April23__1___14[[#This Row],[Recreation and amusement]]</f>
        <v>635.30000000000007</v>
      </c>
      <c r="AL29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3955.1709677419358</v>
      </c>
    </row>
    <row r="297" spans="1:38" hidden="1" x14ac:dyDescent="0.3">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s="12">
        <f>AVERAGE(All_India_Index_Upto_April23__1___14[[#This Row],[Cereals and products]:[Pan, tobacco and intoxicants]])</f>
        <v>163.14285714285714</v>
      </c>
      <c r="AF297" s="12">
        <f>AVERAGE(All_India_Index_Upto_April23__1___14[[#This Row],[Household goods and services]],All_India_Index_Upto_April23__1___14[[#This Row],[Housing]])</f>
        <v>154.5</v>
      </c>
      <c r="AG297" s="12">
        <f>AVERAGE(All_India_Index_Upto_April23__1___14[[#This Row],[Miscellaneous]],All_India_Index_Upto_April23__1___14[[#This Row],[Personal care and effects]],All_India_Index_Upto_April23__1___14[[#This Row],[Education]],All_India_Index_Upto_April23__1___14[[#This Row],[Recreation and amusement]])</f>
        <v>153.45000000000002</v>
      </c>
      <c r="AH297" s="12">
        <f>SUM(All_India_Index_Upto_April23__1___14[[#This Row],[Cereals and products]:[Pan, tobacco and intoxicants]])</f>
        <v>2284</v>
      </c>
      <c r="AI297" s="12">
        <f>SUM(All_India_Index_Upto_April23__1___14[[#This Row],[Household goods and services]],All_India_Index_Upto_April23__1___14[[#This Row],[Housing]])</f>
        <v>309</v>
      </c>
      <c r="AJ297" s="12">
        <f>All_India_Index_Upto_April23__1___14[[#This Row],[Clothing]]+All_India_Index_Upto_April23__1___14[[#This Row],[Footwear]]</f>
        <v>295.20000000000005</v>
      </c>
      <c r="AK297" s="12">
        <f>All_India_Index_Upto_April23__1___14[[#This Row],[Miscellaneous]]+All_India_Index_Upto_April23__1___14[[#This Row],[Personal care and effects]]+All_India_Index_Upto_April23__1___14[[#This Row],[Education]]+All_India_Index_Upto_April23__1___14[[#This Row],[Recreation and amusement]]</f>
        <v>613.80000000000007</v>
      </c>
      <c r="AL29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3956.5</v>
      </c>
    </row>
    <row r="298" spans="1:38" hidden="1" x14ac:dyDescent="0.3">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s="12">
        <f>AVERAGE(All_India_Index_Upto_April23__1___14[[#This Row],[Cereals and products]:[Pan, tobacco and intoxicants]])</f>
        <v>160.92142857142858</v>
      </c>
      <c r="AF298" s="12">
        <f>AVERAGE(All_India_Index_Upto_April23__1___14[[#This Row],[Household goods and services]],All_India_Index_Upto_April23__1___14[[#This Row],[Housing]])</f>
        <v>156.60000000000002</v>
      </c>
      <c r="AG298" s="12">
        <f>AVERAGE(All_India_Index_Upto_April23__1___14[[#This Row],[Miscellaneous]],All_India_Index_Upto_April23__1___14[[#This Row],[Personal care and effects]],All_India_Index_Upto_April23__1___14[[#This Row],[Education]],All_India_Index_Upto_April23__1___14[[#This Row],[Recreation and amusement]])</f>
        <v>155.82499999999999</v>
      </c>
      <c r="AH298" s="12">
        <f>SUM(All_India_Index_Upto_April23__1___14[[#This Row],[Cereals and products]:[Pan, tobacco and intoxicants]])</f>
        <v>2252.9</v>
      </c>
      <c r="AI298" s="12">
        <f>SUM(All_India_Index_Upto_April23__1___14[[#This Row],[Household goods and services]],All_India_Index_Upto_April23__1___14[[#This Row],[Housing]])</f>
        <v>313.20000000000005</v>
      </c>
      <c r="AJ298" s="12">
        <f>All_India_Index_Upto_April23__1___14[[#This Row],[Clothing]]+All_India_Index_Upto_April23__1___14[[#This Row],[Footwear]]</f>
        <v>307.3</v>
      </c>
      <c r="AK298" s="12">
        <f>All_India_Index_Upto_April23__1___14[[#This Row],[Miscellaneous]]+All_India_Index_Upto_April23__1___14[[#This Row],[Personal care and effects]]+All_India_Index_Upto_April23__1___14[[#This Row],[Education]]+All_India_Index_Upto_April23__1___14[[#This Row],[Recreation and amusement]]</f>
        <v>623.29999999999995</v>
      </c>
      <c r="AL29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3961.2</v>
      </c>
    </row>
    <row r="299" spans="1:38" hidden="1" x14ac:dyDescent="0.3">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s="12">
        <f>'Handle Missing Value Sheet only'!$F$5</f>
        <v>139.27096774193564</v>
      </c>
      <c r="V299">
        <v>161.69999999999999</v>
      </c>
      <c r="W299">
        <v>158.80000000000001</v>
      </c>
      <c r="X299">
        <v>169.1</v>
      </c>
      <c r="Y299">
        <v>153.19999999999999</v>
      </c>
      <c r="Z299">
        <v>160</v>
      </c>
      <c r="AA299">
        <v>167.6</v>
      </c>
      <c r="AB299">
        <v>159.30000000000001</v>
      </c>
      <c r="AC299">
        <v>161.1</v>
      </c>
      <c r="AD299">
        <v>161.1</v>
      </c>
      <c r="AE299" s="12">
        <f>AVERAGE(All_India_Index_Upto_April23__1___14[[#This Row],[Cereals and products]:[Pan, tobacco and intoxicants]])</f>
        <v>163.20714285714283</v>
      </c>
      <c r="AF299" s="12">
        <f>AVERAGE(All_India_Index_Upto_April23__1___14[[#This Row],[Household goods and services]],All_India_Index_Upto_April23__1___14[[#This Row],[Housing]])</f>
        <v>149.03548387096782</v>
      </c>
      <c r="AG299" s="12">
        <f>AVERAGE(All_India_Index_Upto_April23__1___14[[#This Row],[Miscellaneous]],All_India_Index_Upto_April23__1___14[[#This Row],[Personal care and effects]],All_India_Index_Upto_April23__1___14[[#This Row],[Education]],All_India_Index_Upto_April23__1___14[[#This Row],[Recreation and amusement]])</f>
        <v>162</v>
      </c>
      <c r="AH299" s="12">
        <f>SUM(All_India_Index_Upto_April23__1___14[[#This Row],[Cereals and products]:[Pan, tobacco and intoxicants]])</f>
        <v>2284.8999999999996</v>
      </c>
      <c r="AI299" s="12">
        <f>SUM(All_India_Index_Upto_April23__1___14[[#This Row],[Household goods and services]],All_India_Index_Upto_April23__1___14[[#This Row],[Housing]])</f>
        <v>298.07096774193565</v>
      </c>
      <c r="AJ299" s="12">
        <f>All_India_Index_Upto_April23__1___14[[#This Row],[Clothing]]+All_India_Index_Upto_April23__1___14[[#This Row],[Footwear]]</f>
        <v>325.89999999999998</v>
      </c>
      <c r="AK299" s="12">
        <f>All_India_Index_Upto_April23__1___14[[#This Row],[Miscellaneous]]+All_India_Index_Upto_April23__1___14[[#This Row],[Personal care and effects]]+All_India_Index_Upto_April23__1___14[[#This Row],[Education]]+All_India_Index_Upto_April23__1___14[[#This Row],[Recreation and amusement]]</f>
        <v>648</v>
      </c>
      <c r="AL29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4040.8709677419347</v>
      </c>
    </row>
    <row r="300" spans="1:38" hidden="1" x14ac:dyDescent="0.3">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s="12">
        <f>AVERAGE(All_India_Index_Upto_April23__1___14[[#This Row],[Cereals and products]:[Pan, tobacco and intoxicants]])</f>
        <v>165.92142857142858</v>
      </c>
      <c r="AF300" s="12">
        <f>AVERAGE(All_India_Index_Upto_April23__1___14[[#This Row],[Household goods and services]],All_India_Index_Upto_April23__1___14[[#This Row],[Housing]])</f>
        <v>155.85</v>
      </c>
      <c r="AG300" s="12">
        <f>AVERAGE(All_India_Index_Upto_April23__1___14[[#This Row],[Miscellaneous]],All_India_Index_Upto_April23__1___14[[#This Row],[Personal care and effects]],All_India_Index_Upto_April23__1___14[[#This Row],[Education]],All_India_Index_Upto_April23__1___14[[#This Row],[Recreation and amusement]])</f>
        <v>154.75</v>
      </c>
      <c r="AH300" s="12">
        <f>SUM(All_India_Index_Upto_April23__1___14[[#This Row],[Cereals and products]:[Pan, tobacco and intoxicants]])</f>
        <v>2322.9</v>
      </c>
      <c r="AI300" s="12">
        <f>SUM(All_India_Index_Upto_April23__1___14[[#This Row],[Household goods and services]],All_India_Index_Upto_April23__1___14[[#This Row],[Housing]])</f>
        <v>311.7</v>
      </c>
      <c r="AJ300" s="12">
        <f>All_India_Index_Upto_April23__1___14[[#This Row],[Clothing]]+All_India_Index_Upto_April23__1___14[[#This Row],[Footwear]]</f>
        <v>296.7</v>
      </c>
      <c r="AK300" s="12">
        <f>All_India_Index_Upto_April23__1___14[[#This Row],[Miscellaneous]]+All_India_Index_Upto_April23__1___14[[#This Row],[Personal care and effects]]+All_India_Index_Upto_April23__1___14[[#This Row],[Education]]+All_India_Index_Upto_April23__1___14[[#This Row],[Recreation and amusement]]</f>
        <v>619</v>
      </c>
      <c r="AL30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4011.2000000000003</v>
      </c>
    </row>
    <row r="301" spans="1:38" hidden="1" x14ac:dyDescent="0.3">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s="12">
        <f>AVERAGE(All_India_Index_Upto_April23__1___14[[#This Row],[Cereals and products]:[Pan, tobacco and intoxicants]])</f>
        <v>164.11428571428573</v>
      </c>
      <c r="AF301" s="12">
        <f>AVERAGE(All_India_Index_Upto_April23__1___14[[#This Row],[Household goods and services]],All_India_Index_Upto_April23__1___14[[#This Row],[Housing]])</f>
        <v>158.14999999999998</v>
      </c>
      <c r="AG301" s="12">
        <f>AVERAGE(All_India_Index_Upto_April23__1___14[[#This Row],[Miscellaneous]],All_India_Index_Upto_April23__1___14[[#This Row],[Personal care and effects]],All_India_Index_Upto_April23__1___14[[#This Row],[Education]],All_India_Index_Upto_April23__1___14[[#This Row],[Recreation and amusement]])</f>
        <v>158.1</v>
      </c>
      <c r="AH301" s="12">
        <f>SUM(All_India_Index_Upto_April23__1___14[[#This Row],[Cereals and products]:[Pan, tobacco and intoxicants]])</f>
        <v>2297.6000000000004</v>
      </c>
      <c r="AI301" s="12">
        <f>SUM(All_India_Index_Upto_April23__1___14[[#This Row],[Household goods and services]],All_India_Index_Upto_April23__1___14[[#This Row],[Housing]])</f>
        <v>316.29999999999995</v>
      </c>
      <c r="AJ301" s="12">
        <f>All_India_Index_Upto_April23__1___14[[#This Row],[Clothing]]+All_India_Index_Upto_April23__1___14[[#This Row],[Footwear]]</f>
        <v>313.89999999999998</v>
      </c>
      <c r="AK301" s="12">
        <f>All_India_Index_Upto_April23__1___14[[#This Row],[Miscellaneous]]+All_India_Index_Upto_April23__1___14[[#This Row],[Personal care and effects]]+All_India_Index_Upto_April23__1___14[[#This Row],[Education]]+All_India_Index_Upto_April23__1___14[[#This Row],[Recreation and amusement]]</f>
        <v>632.4</v>
      </c>
      <c r="AL30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4034.3000000000006</v>
      </c>
    </row>
    <row r="302" spans="1:38" hidden="1" x14ac:dyDescent="0.3">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s="12">
        <f>'Handle Missing Value Sheet only'!$F$5</f>
        <v>139.27096774193564</v>
      </c>
      <c r="V302">
        <v>162.1</v>
      </c>
      <c r="W302">
        <v>159.19999999999999</v>
      </c>
      <c r="X302">
        <v>169.7</v>
      </c>
      <c r="Y302">
        <v>154.19999999999999</v>
      </c>
      <c r="Z302">
        <v>160.4</v>
      </c>
      <c r="AA302">
        <v>166.8</v>
      </c>
      <c r="AB302">
        <v>159.4</v>
      </c>
      <c r="AC302">
        <v>161.5</v>
      </c>
      <c r="AD302">
        <v>162.1</v>
      </c>
      <c r="AE302" s="12">
        <f>AVERAGE(All_India_Index_Upto_April23__1___14[[#This Row],[Cereals and products]:[Pan, tobacco and intoxicants]])</f>
        <v>165.12142857142857</v>
      </c>
      <c r="AF302" s="12">
        <f>AVERAGE(All_India_Index_Upto_April23__1___14[[#This Row],[Household goods and services]],All_India_Index_Upto_April23__1___14[[#This Row],[Housing]])</f>
        <v>149.23548387096781</v>
      </c>
      <c r="AG302" s="12">
        <f>AVERAGE(All_India_Index_Upto_April23__1___14[[#This Row],[Miscellaneous]],All_India_Index_Upto_April23__1___14[[#This Row],[Personal care and effects]],All_India_Index_Upto_April23__1___14[[#This Row],[Education]],All_India_Index_Upto_April23__1___14[[#This Row],[Recreation and amusement]])</f>
        <v>162.02500000000001</v>
      </c>
      <c r="AH302" s="12">
        <f>SUM(All_India_Index_Upto_April23__1___14[[#This Row],[Cereals and products]:[Pan, tobacco and intoxicants]])</f>
        <v>2311.6999999999998</v>
      </c>
      <c r="AI302" s="12">
        <f>SUM(All_India_Index_Upto_April23__1___14[[#This Row],[Household goods and services]],All_India_Index_Upto_April23__1___14[[#This Row],[Housing]])</f>
        <v>298.47096774193562</v>
      </c>
      <c r="AJ302" s="12">
        <f>All_India_Index_Upto_April23__1___14[[#This Row],[Clothing]]+All_India_Index_Upto_April23__1___14[[#This Row],[Footwear]]</f>
        <v>325.20000000000005</v>
      </c>
      <c r="AK302" s="12">
        <f>All_India_Index_Upto_April23__1___14[[#This Row],[Miscellaneous]]+All_India_Index_Upto_April23__1___14[[#This Row],[Personal care and effects]]+All_India_Index_Upto_April23__1___14[[#This Row],[Education]]+All_India_Index_Upto_April23__1___14[[#This Row],[Recreation and amusement]]</f>
        <v>648.1</v>
      </c>
      <c r="AL30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4069.4709677419351</v>
      </c>
    </row>
    <row r="303" spans="1:38" hidden="1" x14ac:dyDescent="0.3">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s="12">
        <f>AVERAGE(All_India_Index_Upto_April23__1___14[[#This Row],[Cereals and products]:[Pan, tobacco and intoxicants]])</f>
        <v>167.84285714285713</v>
      </c>
      <c r="AF303" s="12">
        <f>AVERAGE(All_India_Index_Upto_April23__1___14[[#This Row],[Household goods and services]],All_India_Index_Upto_April23__1___14[[#This Row],[Housing]])</f>
        <v>155.15</v>
      </c>
      <c r="AG303" s="12">
        <f>AVERAGE(All_India_Index_Upto_April23__1___14[[#This Row],[Miscellaneous]],All_India_Index_Upto_April23__1___14[[#This Row],[Personal care and effects]],All_India_Index_Upto_April23__1___14[[#This Row],[Education]],All_India_Index_Upto_April23__1___14[[#This Row],[Recreation and amusement]])</f>
        <v>155.05000000000001</v>
      </c>
      <c r="AH303" s="12">
        <f>SUM(All_India_Index_Upto_April23__1___14[[#This Row],[Cereals and products]:[Pan, tobacco and intoxicants]])</f>
        <v>2349.7999999999997</v>
      </c>
      <c r="AI303" s="12">
        <f>SUM(All_India_Index_Upto_April23__1___14[[#This Row],[Household goods and services]],All_India_Index_Upto_April23__1___14[[#This Row],[Housing]])</f>
        <v>310.3</v>
      </c>
      <c r="AJ303" s="12">
        <f>All_India_Index_Upto_April23__1___14[[#This Row],[Clothing]]+All_India_Index_Upto_April23__1___14[[#This Row],[Footwear]]</f>
        <v>297.8</v>
      </c>
      <c r="AK303" s="12">
        <f>All_India_Index_Upto_April23__1___14[[#This Row],[Miscellaneous]]+All_India_Index_Upto_April23__1___14[[#This Row],[Personal care and effects]]+All_India_Index_Upto_April23__1___14[[#This Row],[Education]]+All_India_Index_Upto_April23__1___14[[#This Row],[Recreation and amusement]]</f>
        <v>620.20000000000005</v>
      </c>
      <c r="AL30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4042.4999999999995</v>
      </c>
    </row>
    <row r="304" spans="1:38" hidden="1" x14ac:dyDescent="0.3">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s="12">
        <f>AVERAGE(All_India_Index_Upto_April23__1___14[[#This Row],[Cereals and products]:[Pan, tobacco and intoxicants]])</f>
        <v>166.05</v>
      </c>
      <c r="AF304" s="12">
        <f>AVERAGE(All_India_Index_Upto_April23__1___14[[#This Row],[Household goods and services]],All_India_Index_Upto_April23__1___14[[#This Row],[Housing]])</f>
        <v>157.65</v>
      </c>
      <c r="AG304" s="12">
        <f>AVERAGE(All_India_Index_Upto_April23__1___14[[#This Row],[Miscellaneous]],All_India_Index_Upto_April23__1___14[[#This Row],[Personal care and effects]],All_India_Index_Upto_April23__1___14[[#This Row],[Education]],All_India_Index_Upto_April23__1___14[[#This Row],[Recreation and amusement]])</f>
        <v>158.25</v>
      </c>
      <c r="AH304" s="12">
        <f>SUM(All_India_Index_Upto_April23__1___14[[#This Row],[Cereals and products]:[Pan, tobacco and intoxicants]])</f>
        <v>2324.7000000000003</v>
      </c>
      <c r="AI304" s="12">
        <f>SUM(All_India_Index_Upto_April23__1___14[[#This Row],[Household goods and services]],All_India_Index_Upto_April23__1___14[[#This Row],[Housing]])</f>
        <v>315.3</v>
      </c>
      <c r="AJ304" s="12">
        <f>All_India_Index_Upto_April23__1___14[[#This Row],[Clothing]]+All_India_Index_Upto_April23__1___14[[#This Row],[Footwear]]</f>
        <v>314</v>
      </c>
      <c r="AK304" s="12">
        <f>All_India_Index_Upto_April23__1___14[[#This Row],[Miscellaneous]]+All_India_Index_Upto_April23__1___14[[#This Row],[Personal care and effects]]+All_India_Index_Upto_April23__1___14[[#This Row],[Education]]+All_India_Index_Upto_April23__1___14[[#This Row],[Recreation and amusement]]</f>
        <v>633</v>
      </c>
      <c r="AL30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4063.8</v>
      </c>
    </row>
    <row r="305" spans="1:38" hidden="1" x14ac:dyDescent="0.3">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s="12">
        <f>'Handle Missing Value Sheet only'!$F$5</f>
        <v>139.27096774193564</v>
      </c>
      <c r="V305">
        <v>162.5</v>
      </c>
      <c r="W305">
        <v>160.30000000000001</v>
      </c>
      <c r="X305">
        <v>170.4</v>
      </c>
      <c r="Y305">
        <v>157.1</v>
      </c>
      <c r="Z305">
        <v>160.69999999999999</v>
      </c>
      <c r="AA305">
        <v>167.2</v>
      </c>
      <c r="AB305">
        <v>160.4</v>
      </c>
      <c r="AC305">
        <v>162.80000000000001</v>
      </c>
      <c r="AD305">
        <v>163.19999999999999</v>
      </c>
      <c r="AE305" s="12">
        <f>AVERAGE(All_India_Index_Upto_April23__1___14[[#This Row],[Cereals and products]:[Pan, tobacco and intoxicants]])</f>
        <v>165.8642857142857</v>
      </c>
      <c r="AF305" s="12">
        <f>AVERAGE(All_India_Index_Upto_April23__1___14[[#This Row],[Household goods and services]],All_India_Index_Upto_April23__1___14[[#This Row],[Housing]])</f>
        <v>149.78548387096782</v>
      </c>
      <c r="AG305" s="12">
        <f>AVERAGE(All_India_Index_Upto_April23__1___14[[#This Row],[Miscellaneous]],All_India_Index_Upto_April23__1___14[[#This Row],[Personal care and effects]],All_India_Index_Upto_April23__1___14[[#This Row],[Education]],All_India_Index_Upto_April23__1___14[[#This Row],[Recreation and amusement]])</f>
        <v>162.77500000000001</v>
      </c>
      <c r="AH305" s="12">
        <f>SUM(All_India_Index_Upto_April23__1___14[[#This Row],[Cereals and products]:[Pan, tobacco and intoxicants]])</f>
        <v>2322.1</v>
      </c>
      <c r="AI305" s="12">
        <f>SUM(All_India_Index_Upto_April23__1___14[[#This Row],[Household goods and services]],All_India_Index_Upto_April23__1___14[[#This Row],[Housing]])</f>
        <v>299.57096774193565</v>
      </c>
      <c r="AJ305" s="12">
        <f>All_India_Index_Upto_April23__1___14[[#This Row],[Clothing]]+All_India_Index_Upto_April23__1___14[[#This Row],[Footwear]]</f>
        <v>327.10000000000002</v>
      </c>
      <c r="AK305" s="12">
        <f>All_India_Index_Upto_April23__1___14[[#This Row],[Miscellaneous]]+All_India_Index_Upto_April23__1___14[[#This Row],[Personal care and effects]]+All_India_Index_Upto_April23__1___14[[#This Row],[Education]]+All_India_Index_Upto_April23__1___14[[#This Row],[Recreation and amusement]]</f>
        <v>651.1</v>
      </c>
      <c r="AL30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4089.8709677419356</v>
      </c>
    </row>
    <row r="306" spans="1:38" hidden="1" x14ac:dyDescent="0.3">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s="12">
        <f>AVERAGE(All_India_Index_Upto_April23__1___14[[#This Row],[Cereals and products]:[Pan, tobacco and intoxicants]])</f>
        <v>169.09285714285716</v>
      </c>
      <c r="AF306" s="12">
        <f>AVERAGE(All_India_Index_Upto_April23__1___14[[#This Row],[Household goods and services]],All_India_Index_Upto_April23__1___14[[#This Row],[Housing]])</f>
        <v>156.1</v>
      </c>
      <c r="AG306" s="12">
        <f>AVERAGE(All_India_Index_Upto_April23__1___14[[#This Row],[Miscellaneous]],All_India_Index_Upto_April23__1___14[[#This Row],[Personal care and effects]],All_India_Index_Upto_April23__1___14[[#This Row],[Education]],All_India_Index_Upto_April23__1___14[[#This Row],[Recreation and amusement]])</f>
        <v>156.52500000000001</v>
      </c>
      <c r="AH306" s="12">
        <f>SUM(All_India_Index_Upto_April23__1___14[[#This Row],[Cereals and products]:[Pan, tobacco and intoxicants]])</f>
        <v>2367.3000000000002</v>
      </c>
      <c r="AI306" s="12">
        <f>SUM(All_India_Index_Upto_April23__1___14[[#This Row],[Household goods and services]],All_India_Index_Upto_April23__1___14[[#This Row],[Housing]])</f>
        <v>312.2</v>
      </c>
      <c r="AJ306" s="12">
        <f>All_India_Index_Upto_April23__1___14[[#This Row],[Clothing]]+All_India_Index_Upto_April23__1___14[[#This Row],[Footwear]]</f>
        <v>299.8</v>
      </c>
      <c r="AK306" s="12">
        <f>All_India_Index_Upto_April23__1___14[[#This Row],[Miscellaneous]]+All_India_Index_Upto_April23__1___14[[#This Row],[Personal care and effects]]+All_India_Index_Upto_April23__1___14[[#This Row],[Education]]+All_India_Index_Upto_April23__1___14[[#This Row],[Recreation and amusement]]</f>
        <v>626.1</v>
      </c>
      <c r="AL30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4074.1000000000004</v>
      </c>
    </row>
    <row r="307" spans="1:38" hidden="1" x14ac:dyDescent="0.3">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s="12">
        <f>AVERAGE(All_India_Index_Upto_April23__1___14[[#This Row],[Cereals and products]:[Pan, tobacco and intoxicants]])</f>
        <v>167.01428571428571</v>
      </c>
      <c r="AF307" s="12">
        <f>AVERAGE(All_India_Index_Upto_April23__1___14[[#This Row],[Household goods and services]],All_India_Index_Upto_April23__1___14[[#This Row],[Housing]])</f>
        <v>158.65</v>
      </c>
      <c r="AG307" s="12">
        <f>AVERAGE(All_India_Index_Upto_April23__1___14[[#This Row],[Miscellaneous]],All_India_Index_Upto_April23__1___14[[#This Row],[Personal care and effects]],All_India_Index_Upto_April23__1___14[[#This Row],[Education]],All_India_Index_Upto_April23__1___14[[#This Row],[Recreation and amusement]])</f>
        <v>159.4</v>
      </c>
      <c r="AH307" s="12">
        <f>SUM(All_India_Index_Upto_April23__1___14[[#This Row],[Cereals and products]:[Pan, tobacco and intoxicants]])</f>
        <v>2338.1999999999998</v>
      </c>
      <c r="AI307" s="12">
        <f>SUM(All_India_Index_Upto_April23__1___14[[#This Row],[Household goods and services]],All_India_Index_Upto_April23__1___14[[#This Row],[Housing]])</f>
        <v>317.3</v>
      </c>
      <c r="AJ307" s="12">
        <f>All_India_Index_Upto_April23__1___14[[#This Row],[Clothing]]+All_India_Index_Upto_April23__1___14[[#This Row],[Footwear]]</f>
        <v>315.89999999999998</v>
      </c>
      <c r="AK307" s="12">
        <f>All_India_Index_Upto_April23__1___14[[#This Row],[Miscellaneous]]+All_India_Index_Upto_April23__1___14[[#This Row],[Personal care and effects]]+All_India_Index_Upto_April23__1___14[[#This Row],[Education]]+All_India_Index_Upto_April23__1___14[[#This Row],[Recreation and amusement]]</f>
        <v>637.6</v>
      </c>
      <c r="AL30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4089.7999999999997</v>
      </c>
    </row>
    <row r="308" spans="1:38" hidden="1" x14ac:dyDescent="0.3">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s="12">
        <f>'Handle Missing Value Sheet only'!$F$5</f>
        <v>139.27096774193564</v>
      </c>
      <c r="V308">
        <v>163.1</v>
      </c>
      <c r="W308">
        <v>160.9</v>
      </c>
      <c r="X308">
        <v>171.1</v>
      </c>
      <c r="Y308">
        <v>157.69999999999999</v>
      </c>
      <c r="Z308">
        <v>161.1</v>
      </c>
      <c r="AA308">
        <v>167.5</v>
      </c>
      <c r="AB308">
        <v>160.30000000000001</v>
      </c>
      <c r="AC308">
        <v>163.30000000000001</v>
      </c>
      <c r="AD308">
        <v>163.6</v>
      </c>
      <c r="AE308" s="12">
        <f>AVERAGE(All_India_Index_Upto_April23__1___14[[#This Row],[Cereals and products]:[Pan, tobacco and intoxicants]])</f>
        <v>165.78571428571428</v>
      </c>
      <c r="AF308" s="12">
        <f>AVERAGE(All_India_Index_Upto_April23__1___14[[#This Row],[Household goods and services]],All_India_Index_Upto_April23__1___14[[#This Row],[Housing]])</f>
        <v>150.08548387096783</v>
      </c>
      <c r="AG308" s="12">
        <f>AVERAGE(All_India_Index_Upto_April23__1___14[[#This Row],[Miscellaneous]],All_India_Index_Upto_April23__1___14[[#This Row],[Personal care and effects]],All_India_Index_Upto_April23__1___14[[#This Row],[Education]],All_India_Index_Upto_April23__1___14[[#This Row],[Recreation and amusement]])</f>
        <v>163.05000000000001</v>
      </c>
      <c r="AH308" s="12">
        <f>SUM(All_India_Index_Upto_April23__1___14[[#This Row],[Cereals and products]:[Pan, tobacco and intoxicants]])</f>
        <v>2321</v>
      </c>
      <c r="AI308" s="12">
        <f>SUM(All_India_Index_Upto_April23__1___14[[#This Row],[Household goods and services]],All_India_Index_Upto_April23__1___14[[#This Row],[Housing]])</f>
        <v>300.17096774193567</v>
      </c>
      <c r="AJ308" s="12">
        <f>All_India_Index_Upto_April23__1___14[[#This Row],[Clothing]]+All_India_Index_Upto_April23__1___14[[#This Row],[Footwear]]</f>
        <v>329.6</v>
      </c>
      <c r="AK308" s="12">
        <f>All_India_Index_Upto_April23__1___14[[#This Row],[Miscellaneous]]+All_India_Index_Upto_April23__1___14[[#This Row],[Personal care and effects]]+All_India_Index_Upto_April23__1___14[[#This Row],[Education]]+All_India_Index_Upto_April23__1___14[[#This Row],[Recreation and amusement]]</f>
        <v>652.20000000000005</v>
      </c>
      <c r="AL30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4094.8709677419356</v>
      </c>
    </row>
    <row r="309" spans="1:38" hidden="1" x14ac:dyDescent="0.3">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s="12">
        <f>AVERAGE(All_India_Index_Upto_April23__1___14[[#This Row],[Cereals and products]:[Pan, tobacco and intoxicants]])</f>
        <v>168.17142857142858</v>
      </c>
      <c r="AF309" s="12">
        <f>AVERAGE(All_India_Index_Upto_April23__1___14[[#This Row],[Household goods and services]],All_India_Index_Upto_April23__1___14[[#This Row],[Housing]])</f>
        <v>157.64999999999998</v>
      </c>
      <c r="AG309" s="12">
        <f>AVERAGE(All_India_Index_Upto_April23__1___14[[#This Row],[Miscellaneous]],All_India_Index_Upto_April23__1___14[[#This Row],[Personal care and effects]],All_India_Index_Upto_April23__1___14[[#This Row],[Education]],All_India_Index_Upto_April23__1___14[[#This Row],[Recreation and amusement]])</f>
        <v>157.42500000000001</v>
      </c>
      <c r="AH309" s="12">
        <f>SUM(All_India_Index_Upto_April23__1___14[[#This Row],[Cereals and products]:[Pan, tobacco and intoxicants]])</f>
        <v>2354.4</v>
      </c>
      <c r="AI309" s="12">
        <f>SUM(All_India_Index_Upto_April23__1___14[[#This Row],[Household goods and services]],All_India_Index_Upto_April23__1___14[[#This Row],[Housing]])</f>
        <v>315.29999999999995</v>
      </c>
      <c r="AJ309" s="12">
        <f>All_India_Index_Upto_April23__1___14[[#This Row],[Clothing]]+All_India_Index_Upto_April23__1___14[[#This Row],[Footwear]]</f>
        <v>303.39999999999998</v>
      </c>
      <c r="AK309" s="12">
        <f>All_India_Index_Upto_April23__1___14[[#This Row],[Miscellaneous]]+All_India_Index_Upto_April23__1___14[[#This Row],[Personal care and effects]]+All_India_Index_Upto_April23__1___14[[#This Row],[Education]]+All_India_Index_Upto_April23__1___14[[#This Row],[Recreation and amusement]]</f>
        <v>629.70000000000005</v>
      </c>
      <c r="AL30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4076.7000000000003</v>
      </c>
    </row>
    <row r="310" spans="1:38" hidden="1" x14ac:dyDescent="0.3">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s="12">
        <f>AVERAGE(All_India_Index_Upto_April23__1___14[[#This Row],[Cereals and products]:[Pan, tobacco and intoxicants]])</f>
        <v>166.72142857142856</v>
      </c>
      <c r="AF310" s="12">
        <f>AVERAGE(All_India_Index_Upto_April23__1___14[[#This Row],[Household goods and services]],All_India_Index_Upto_April23__1___14[[#This Row],[Housing]])</f>
        <v>159.80000000000001</v>
      </c>
      <c r="AG310" s="12">
        <f>AVERAGE(All_India_Index_Upto_April23__1___14[[#This Row],[Miscellaneous]],All_India_Index_Upto_April23__1___14[[#This Row],[Personal care and effects]],All_India_Index_Upto_April23__1___14[[#This Row],[Education]],All_India_Index_Upto_April23__1___14[[#This Row],[Recreation and amusement]])</f>
        <v>160.35</v>
      </c>
      <c r="AH310" s="12">
        <f>SUM(All_India_Index_Upto_April23__1___14[[#This Row],[Cereals and products]:[Pan, tobacco and intoxicants]])</f>
        <v>2334.1</v>
      </c>
      <c r="AI310" s="12">
        <f>SUM(All_India_Index_Upto_April23__1___14[[#This Row],[Household goods and services]],All_India_Index_Upto_April23__1___14[[#This Row],[Housing]])</f>
        <v>319.60000000000002</v>
      </c>
      <c r="AJ310" s="12">
        <f>All_India_Index_Upto_April23__1___14[[#This Row],[Clothing]]+All_India_Index_Upto_April23__1___14[[#This Row],[Footwear]]</f>
        <v>319.8</v>
      </c>
      <c r="AK310" s="12">
        <f>All_India_Index_Upto_April23__1___14[[#This Row],[Miscellaneous]]+All_India_Index_Upto_April23__1___14[[#This Row],[Personal care and effects]]+All_India_Index_Upto_April23__1___14[[#This Row],[Education]]+All_India_Index_Upto_April23__1___14[[#This Row],[Recreation and amusement]]</f>
        <v>641.4</v>
      </c>
      <c r="AL31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4099.9000000000005</v>
      </c>
    </row>
    <row r="311" spans="1:38" hidden="1" x14ac:dyDescent="0.3">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s="12">
        <f>'Handle Missing Value Sheet only'!$F$5</f>
        <v>139.27096774193564</v>
      </c>
      <c r="V311">
        <v>163.69999999999999</v>
      </c>
      <c r="W311">
        <v>161.30000000000001</v>
      </c>
      <c r="X311">
        <v>171.9</v>
      </c>
      <c r="Y311">
        <v>157.80000000000001</v>
      </c>
      <c r="Z311">
        <v>162.69999999999999</v>
      </c>
      <c r="AA311">
        <v>168.5</v>
      </c>
      <c r="AB311">
        <v>160.19999999999999</v>
      </c>
      <c r="AC311">
        <v>163.80000000000001</v>
      </c>
      <c r="AD311">
        <v>164</v>
      </c>
      <c r="AE311" s="12">
        <f>AVERAGE(All_India_Index_Upto_April23__1___14[[#This Row],[Cereals and products]:[Pan, tobacco and intoxicants]])</f>
        <v>166.00714285714284</v>
      </c>
      <c r="AF311" s="12">
        <f>AVERAGE(All_India_Index_Upto_April23__1___14[[#This Row],[Household goods and services]],All_India_Index_Upto_April23__1___14[[#This Row],[Housing]])</f>
        <v>150.28548387096782</v>
      </c>
      <c r="AG311" s="12">
        <f>AVERAGE(All_India_Index_Upto_April23__1___14[[#This Row],[Miscellaneous]],All_India_Index_Upto_April23__1___14[[#This Row],[Personal care and effects]],All_India_Index_Upto_April23__1___14[[#This Row],[Education]],All_India_Index_Upto_April23__1___14[[#This Row],[Recreation and amusement]])</f>
        <v>163.80000000000001</v>
      </c>
      <c r="AH311" s="12">
        <f>SUM(All_India_Index_Upto_April23__1___14[[#This Row],[Cereals and products]:[Pan, tobacco and intoxicants]])</f>
        <v>2324.1</v>
      </c>
      <c r="AI311" s="12">
        <f>SUM(All_India_Index_Upto_April23__1___14[[#This Row],[Household goods and services]],All_India_Index_Upto_April23__1___14[[#This Row],[Housing]])</f>
        <v>300.57096774193565</v>
      </c>
      <c r="AJ311" s="12">
        <f>All_India_Index_Upto_April23__1___14[[#This Row],[Clothing]]+All_India_Index_Upto_April23__1___14[[#This Row],[Footwear]]</f>
        <v>331.29999999999995</v>
      </c>
      <c r="AK311" s="12">
        <f>All_India_Index_Upto_April23__1___14[[#This Row],[Miscellaneous]]+All_India_Index_Upto_April23__1___14[[#This Row],[Personal care and effects]]+All_India_Index_Upto_April23__1___14[[#This Row],[Education]]+All_India_Index_Upto_April23__1___14[[#This Row],[Recreation and amusement]]</f>
        <v>655.20000000000005</v>
      </c>
      <c r="AL31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4104.5709677419363</v>
      </c>
    </row>
    <row r="312" spans="1:38" hidden="1" x14ac:dyDescent="0.3">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s="12">
        <f>AVERAGE(All_India_Index_Upto_April23__1___14[[#This Row],[Cereals and products]:[Pan, tobacco and intoxicants]])</f>
        <v>168.17142857142858</v>
      </c>
      <c r="AF312" s="12">
        <f>AVERAGE(All_India_Index_Upto_April23__1___14[[#This Row],[Household goods and services]],All_India_Index_Upto_April23__1___14[[#This Row],[Housing]])</f>
        <v>157.69999999999999</v>
      </c>
      <c r="AG312" s="12">
        <f>AVERAGE(All_India_Index_Upto_April23__1___14[[#This Row],[Miscellaneous]],All_India_Index_Upto_April23__1___14[[#This Row],[Personal care and effects]],All_India_Index_Upto_April23__1___14[[#This Row],[Education]],All_India_Index_Upto_April23__1___14[[#This Row],[Recreation and amusement]])</f>
        <v>157.45000000000002</v>
      </c>
      <c r="AH312" s="12">
        <f>SUM(All_India_Index_Upto_April23__1___14[[#This Row],[Cereals and products]:[Pan, tobacco and intoxicants]])</f>
        <v>2354.4</v>
      </c>
      <c r="AI312" s="12">
        <f>SUM(All_India_Index_Upto_April23__1___14[[#This Row],[Household goods and services]],All_India_Index_Upto_April23__1___14[[#This Row],[Housing]])</f>
        <v>315.39999999999998</v>
      </c>
      <c r="AJ312" s="12">
        <f>All_India_Index_Upto_April23__1___14[[#This Row],[Clothing]]+All_India_Index_Upto_April23__1___14[[#This Row],[Footwear]]</f>
        <v>303.39999999999998</v>
      </c>
      <c r="AK312" s="12">
        <f>All_India_Index_Upto_April23__1___14[[#This Row],[Miscellaneous]]+All_India_Index_Upto_April23__1___14[[#This Row],[Personal care and effects]]+All_India_Index_Upto_April23__1___14[[#This Row],[Education]]+All_India_Index_Upto_April23__1___14[[#This Row],[Recreation and amusement]]</f>
        <v>629.80000000000007</v>
      </c>
      <c r="AL31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4077.1000000000004</v>
      </c>
    </row>
    <row r="313" spans="1:38" hidden="1" x14ac:dyDescent="0.3">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s="12">
        <f>AVERAGE(All_India_Index_Upto_April23__1___14[[#This Row],[Cereals and products]:[Pan, tobacco and intoxicants]])</f>
        <v>166.72142857142856</v>
      </c>
      <c r="AF313" s="12">
        <f>AVERAGE(All_India_Index_Upto_April23__1___14[[#This Row],[Household goods and services]],All_India_Index_Upto_April23__1___14[[#This Row],[Housing]])</f>
        <v>159.80000000000001</v>
      </c>
      <c r="AG313" s="12">
        <f>AVERAGE(All_India_Index_Upto_April23__1___14[[#This Row],[Miscellaneous]],All_India_Index_Upto_April23__1___14[[#This Row],[Personal care and effects]],All_India_Index_Upto_April23__1___14[[#This Row],[Education]],All_India_Index_Upto_April23__1___14[[#This Row],[Recreation and amusement]])</f>
        <v>160.35</v>
      </c>
      <c r="AH313" s="12">
        <f>SUM(All_India_Index_Upto_April23__1___14[[#This Row],[Cereals and products]:[Pan, tobacco and intoxicants]])</f>
        <v>2334.1</v>
      </c>
      <c r="AI313" s="12">
        <f>SUM(All_India_Index_Upto_April23__1___14[[#This Row],[Household goods and services]],All_India_Index_Upto_April23__1___14[[#This Row],[Housing]])</f>
        <v>319.60000000000002</v>
      </c>
      <c r="AJ313" s="12">
        <f>All_India_Index_Upto_April23__1___14[[#This Row],[Clothing]]+All_India_Index_Upto_April23__1___14[[#This Row],[Footwear]]</f>
        <v>319.89999999999998</v>
      </c>
      <c r="AK313" s="12">
        <f>All_India_Index_Upto_April23__1___14[[#This Row],[Miscellaneous]]+All_India_Index_Upto_April23__1___14[[#This Row],[Personal care and effects]]+All_India_Index_Upto_April23__1___14[[#This Row],[Education]]+All_India_Index_Upto_April23__1___14[[#This Row],[Recreation and amusement]]</f>
        <v>641.4</v>
      </c>
      <c r="AL31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4100</v>
      </c>
    </row>
    <row r="314" spans="1:38" hidden="1" x14ac:dyDescent="0.3">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s="12">
        <f>'Handle Missing Value Sheet only'!$F$5</f>
        <v>139.27096774193564</v>
      </c>
      <c r="V314">
        <v>165.5</v>
      </c>
      <c r="W314">
        <v>162</v>
      </c>
      <c r="X314">
        <v>172.5</v>
      </c>
      <c r="Y314">
        <v>159.5</v>
      </c>
      <c r="Z314">
        <v>163.19999999999999</v>
      </c>
      <c r="AA314">
        <v>169</v>
      </c>
      <c r="AB314">
        <v>161.1</v>
      </c>
      <c r="AC314">
        <v>164.7</v>
      </c>
      <c r="AD314">
        <v>166.3</v>
      </c>
      <c r="AE314" s="12">
        <f>AVERAGE(All_India_Index_Upto_April23__1___14[[#This Row],[Cereals and products]:[Pan, tobacco and intoxicants]])</f>
        <v>168.2428571428571</v>
      </c>
      <c r="AF314" s="12">
        <f>AVERAGE(All_India_Index_Upto_April23__1___14[[#This Row],[Household goods and services]],All_India_Index_Upto_April23__1___14[[#This Row],[Housing]])</f>
        <v>150.63548387096782</v>
      </c>
      <c r="AG314" s="12">
        <f>AVERAGE(All_India_Index_Upto_April23__1___14[[#This Row],[Miscellaneous]],All_India_Index_Upto_April23__1___14[[#This Row],[Personal care and effects]],All_India_Index_Upto_April23__1___14[[#This Row],[Education]],All_India_Index_Upto_April23__1___14[[#This Row],[Recreation and amusement]])</f>
        <v>164.5</v>
      </c>
      <c r="AH314" s="12">
        <f>SUM(All_India_Index_Upto_April23__1___14[[#This Row],[Cereals and products]:[Pan, tobacco and intoxicants]])</f>
        <v>2355.3999999999996</v>
      </c>
      <c r="AI314" s="12">
        <f>SUM(All_India_Index_Upto_April23__1___14[[#This Row],[Household goods and services]],All_India_Index_Upto_April23__1___14[[#This Row],[Housing]])</f>
        <v>301.27096774193564</v>
      </c>
      <c r="AJ314" s="12">
        <f>All_India_Index_Upto_April23__1___14[[#This Row],[Clothing]]+All_India_Index_Upto_April23__1___14[[#This Row],[Footwear]]</f>
        <v>333.70000000000005</v>
      </c>
      <c r="AK314" s="12">
        <f>All_India_Index_Upto_April23__1___14[[#This Row],[Miscellaneous]]+All_India_Index_Upto_April23__1___14[[#This Row],[Personal care and effects]]+All_India_Index_Upto_April23__1___14[[#This Row],[Education]]+All_India_Index_Upto_April23__1___14[[#This Row],[Recreation and amusement]]</f>
        <v>658</v>
      </c>
      <c r="AL31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4145.8709677419356</v>
      </c>
    </row>
    <row r="315" spans="1:38" hidden="1" x14ac:dyDescent="0.3">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s="12">
        <f>AVERAGE(All_India_Index_Upto_April23__1___14[[#This Row],[Cereals and products]:[Pan, tobacco and intoxicants]])</f>
        <v>171.10000000000005</v>
      </c>
      <c r="AF315" s="12">
        <f>AVERAGE(All_India_Index_Upto_April23__1___14[[#This Row],[Household goods and services]],All_India_Index_Upto_April23__1___14[[#This Row],[Housing]])</f>
        <v>158.94999999999999</v>
      </c>
      <c r="AG315" s="12">
        <f>AVERAGE(All_India_Index_Upto_April23__1___14[[#This Row],[Miscellaneous]],All_India_Index_Upto_April23__1___14[[#This Row],[Personal care and effects]],All_India_Index_Upto_April23__1___14[[#This Row],[Education]],All_India_Index_Upto_April23__1___14[[#This Row],[Recreation and amusement]])</f>
        <v>158.17500000000001</v>
      </c>
      <c r="AH315" s="12">
        <f>SUM(All_India_Index_Upto_April23__1___14[[#This Row],[Cereals and products]:[Pan, tobacco and intoxicants]])</f>
        <v>2395.4000000000005</v>
      </c>
      <c r="AI315" s="12">
        <f>SUM(All_India_Index_Upto_April23__1___14[[#This Row],[Household goods and services]],All_India_Index_Upto_April23__1___14[[#This Row],[Housing]])</f>
        <v>317.89999999999998</v>
      </c>
      <c r="AJ315" s="12">
        <f>All_India_Index_Upto_April23__1___14[[#This Row],[Clothing]]+All_India_Index_Upto_April23__1___14[[#This Row],[Footwear]]</f>
        <v>305.20000000000005</v>
      </c>
      <c r="AK315" s="12">
        <f>All_India_Index_Upto_April23__1___14[[#This Row],[Miscellaneous]]+All_India_Index_Upto_April23__1___14[[#This Row],[Personal care and effects]]+All_India_Index_Upto_April23__1___14[[#This Row],[Education]]+All_India_Index_Upto_April23__1___14[[#This Row],[Recreation and amusement]]</f>
        <v>632.70000000000005</v>
      </c>
      <c r="AL31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4129.1000000000004</v>
      </c>
    </row>
    <row r="316" spans="1:38" hidden="1" x14ac:dyDescent="0.3">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s="12">
        <f>AVERAGE(All_India_Index_Upto_April23__1___14[[#This Row],[Cereals and products]:[Pan, tobacco and intoxicants]])</f>
        <v>169.15714285714284</v>
      </c>
      <c r="AF316" s="12">
        <f>AVERAGE(All_India_Index_Upto_April23__1___14[[#This Row],[Household goods and services]],All_India_Index_Upto_April23__1___14[[#This Row],[Housing]])</f>
        <v>161</v>
      </c>
      <c r="AG316" s="12">
        <f>AVERAGE(All_India_Index_Upto_April23__1___14[[#This Row],[Miscellaneous]],All_India_Index_Upto_April23__1___14[[#This Row],[Personal care and effects]],All_India_Index_Upto_April23__1___14[[#This Row],[Education]],All_India_Index_Upto_April23__1___14[[#This Row],[Recreation and amusement]])</f>
        <v>161.07500000000002</v>
      </c>
      <c r="AH316" s="12">
        <f>SUM(All_India_Index_Upto_April23__1___14[[#This Row],[Cereals and products]:[Pan, tobacco and intoxicants]])</f>
        <v>2368.1999999999998</v>
      </c>
      <c r="AI316" s="12">
        <f>SUM(All_India_Index_Upto_April23__1___14[[#This Row],[Household goods and services]],All_India_Index_Upto_April23__1___14[[#This Row],[Housing]])</f>
        <v>322</v>
      </c>
      <c r="AJ316" s="12">
        <f>All_India_Index_Upto_April23__1___14[[#This Row],[Clothing]]+All_India_Index_Upto_April23__1___14[[#This Row],[Footwear]]</f>
        <v>322</v>
      </c>
      <c r="AK316" s="12">
        <f>All_India_Index_Upto_April23__1___14[[#This Row],[Miscellaneous]]+All_India_Index_Upto_April23__1___14[[#This Row],[Personal care and effects]]+All_India_Index_Upto_April23__1___14[[#This Row],[Education]]+All_India_Index_Upto_April23__1___14[[#This Row],[Recreation and amusement]]</f>
        <v>644.30000000000007</v>
      </c>
      <c r="AL31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4145.5</v>
      </c>
    </row>
    <row r="317" spans="1:38" hidden="1"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s="12">
        <f>'Handle Missing Value Sheet only'!$F$5</f>
        <v>139.27096774193564</v>
      </c>
      <c r="V317">
        <v>165.3</v>
      </c>
      <c r="W317">
        <v>162.9</v>
      </c>
      <c r="X317">
        <v>173.4</v>
      </c>
      <c r="Y317">
        <v>158.9</v>
      </c>
      <c r="Z317">
        <v>163.80000000000001</v>
      </c>
      <c r="AA317">
        <v>169.3</v>
      </c>
      <c r="AB317">
        <v>162.4</v>
      </c>
      <c r="AC317">
        <v>165.2</v>
      </c>
      <c r="AD317">
        <v>167.6</v>
      </c>
      <c r="AE317" s="12">
        <f>AVERAGE(All_India_Index_Upto_April23__1___14[[#This Row],[Cereals and products]:[Pan, tobacco and intoxicants]])</f>
        <v>169.52857142857144</v>
      </c>
      <c r="AF317" s="12">
        <f>AVERAGE(All_India_Index_Upto_April23__1___14[[#This Row],[Household goods and services]],All_India_Index_Upto_April23__1___14[[#This Row],[Housing]])</f>
        <v>151.08548387096783</v>
      </c>
      <c r="AG317" s="12">
        <f>AVERAGE(All_India_Index_Upto_April23__1___14[[#This Row],[Miscellaneous]],All_India_Index_Upto_April23__1___14[[#This Row],[Personal care and effects]],All_India_Index_Upto_April23__1___14[[#This Row],[Education]],All_India_Index_Upto_April23__1___14[[#This Row],[Recreation and amusement]])</f>
        <v>165.17500000000001</v>
      </c>
      <c r="AH317" s="12">
        <f>SUM(All_India_Index_Upto_April23__1___14[[#This Row],[Cereals and products]:[Pan, tobacco and intoxicants]])</f>
        <v>2373.4</v>
      </c>
      <c r="AI317" s="12">
        <f>SUM(All_India_Index_Upto_April23__1___14[[#This Row],[Household goods and services]],All_India_Index_Upto_April23__1___14[[#This Row],[Housing]])</f>
        <v>302.17096774193567</v>
      </c>
      <c r="AJ317" s="12">
        <f>All_India_Index_Upto_April23__1___14[[#This Row],[Clothing]]+All_India_Index_Upto_April23__1___14[[#This Row],[Footwear]]</f>
        <v>336.4</v>
      </c>
      <c r="AK317" s="12">
        <f>All_India_Index_Upto_April23__1___14[[#This Row],[Miscellaneous]]+All_India_Index_Upto_April23__1___14[[#This Row],[Personal care and effects]]+All_India_Index_Upto_April23__1___14[[#This Row],[Education]]+All_India_Index_Upto_April23__1___14[[#This Row],[Recreation and amusement]]</f>
        <v>660.7</v>
      </c>
      <c r="AL31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4170.2709677419361</v>
      </c>
    </row>
    <row r="318" spans="1:38" hidden="1" x14ac:dyDescent="0.3">
      <c r="A318" t="s">
        <v>32</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s="12">
        <f>AVERAGE(All_India_Index_Upto_April23__1___14[[#This Row],[Cereals and products]:[Pan, tobacco and intoxicants]])</f>
        <v>172.4928571428571</v>
      </c>
      <c r="AF318" s="12">
        <f>AVERAGE(All_India_Index_Upto_April23__1___14[[#This Row],[Household goods and services]],All_India_Index_Upto_April23__1___14[[#This Row],[Housing]])</f>
        <v>159.69999999999999</v>
      </c>
      <c r="AG318" s="12">
        <f>AVERAGE(All_India_Index_Upto_April23__1___14[[#This Row],[Miscellaneous]],All_India_Index_Upto_April23__1___14[[#This Row],[Personal care and effects]],All_India_Index_Upto_April23__1___14[[#This Row],[Education]],All_India_Index_Upto_April23__1___14[[#This Row],[Recreation and amusement]])</f>
        <v>159.15</v>
      </c>
      <c r="AH318" s="12">
        <f>SUM(All_India_Index_Upto_April23__1___14[[#This Row],[Cereals and products]:[Pan, tobacco and intoxicants]])</f>
        <v>2414.8999999999996</v>
      </c>
      <c r="AI318" s="12">
        <f>SUM(All_India_Index_Upto_April23__1___14[[#This Row],[Household goods and services]],All_India_Index_Upto_April23__1___14[[#This Row],[Housing]])</f>
        <v>319.39999999999998</v>
      </c>
      <c r="AJ318" s="12">
        <f>All_India_Index_Upto_April23__1___14[[#This Row],[Clothing]]+All_India_Index_Upto_April23__1___14[[#This Row],[Footwear]]</f>
        <v>307.60000000000002</v>
      </c>
      <c r="AK318" s="12">
        <f>All_India_Index_Upto_April23__1___14[[#This Row],[Miscellaneous]]+All_India_Index_Upto_April23__1___14[[#This Row],[Personal care and effects]]+All_India_Index_Upto_April23__1___14[[#This Row],[Education]]+All_India_Index_Upto_April23__1___14[[#This Row],[Recreation and amusement]]</f>
        <v>636.6</v>
      </c>
      <c r="AL31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4155.4999999999991</v>
      </c>
    </row>
    <row r="319" spans="1:38" hidden="1" x14ac:dyDescent="0.3">
      <c r="A319" t="s">
        <v>33</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s="12">
        <f>AVERAGE(All_India_Index_Upto_April23__1___14[[#This Row],[Cereals and products]:[Pan, tobacco and intoxicants]])</f>
        <v>170.5</v>
      </c>
      <c r="AF319" s="12">
        <f>AVERAGE(All_India_Index_Upto_April23__1___14[[#This Row],[Household goods and services]],All_India_Index_Upto_April23__1___14[[#This Row],[Housing]])</f>
        <v>161.75</v>
      </c>
      <c r="AG319" s="12">
        <f>AVERAGE(All_India_Index_Upto_April23__1___14[[#This Row],[Miscellaneous]],All_India_Index_Upto_April23__1___14[[#This Row],[Personal care and effects]],All_India_Index_Upto_April23__1___14[[#This Row],[Education]],All_India_Index_Upto_April23__1___14[[#This Row],[Recreation and amusement]])</f>
        <v>161.92500000000001</v>
      </c>
      <c r="AH319" s="12">
        <f>SUM(All_India_Index_Upto_April23__1___14[[#This Row],[Cereals and products]:[Pan, tobacco and intoxicants]])</f>
        <v>2387</v>
      </c>
      <c r="AI319" s="12">
        <f>SUM(All_India_Index_Upto_April23__1___14[[#This Row],[Household goods and services]],All_India_Index_Upto_April23__1___14[[#This Row],[Housing]])</f>
        <v>323.5</v>
      </c>
      <c r="AJ319" s="12">
        <f>All_India_Index_Upto_April23__1___14[[#This Row],[Clothing]]+All_India_Index_Upto_April23__1___14[[#This Row],[Footwear]]</f>
        <v>324.60000000000002</v>
      </c>
      <c r="AK319" s="12">
        <f>All_India_Index_Upto_April23__1___14[[#This Row],[Miscellaneous]]+All_India_Index_Upto_April23__1___14[[#This Row],[Personal care and effects]]+All_India_Index_Upto_April23__1___14[[#This Row],[Education]]+All_India_Index_Upto_April23__1___14[[#This Row],[Recreation and amusement]]</f>
        <v>647.70000000000005</v>
      </c>
      <c r="AL31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4171.4000000000005</v>
      </c>
    </row>
    <row r="320" spans="1:38" hidden="1"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s="12">
        <f>'Handle Missing Value Sheet only'!$F$5</f>
        <v>139.27096774193564</v>
      </c>
      <c r="V320">
        <v>165.6</v>
      </c>
      <c r="W320">
        <v>163.9</v>
      </c>
      <c r="X320">
        <v>174</v>
      </c>
      <c r="Y320">
        <v>160.1</v>
      </c>
      <c r="Z320">
        <v>164.5</v>
      </c>
      <c r="AA320">
        <v>169.7</v>
      </c>
      <c r="AB320">
        <v>162.80000000000001</v>
      </c>
      <c r="AC320">
        <v>166</v>
      </c>
      <c r="AD320">
        <v>167</v>
      </c>
      <c r="AE320" s="12">
        <f>AVERAGE(All_India_Index_Upto_April23__1___14[[#This Row],[Cereals and products]:[Pan, tobacco and intoxicants]])</f>
        <v>168.5</v>
      </c>
      <c r="AF320" s="12">
        <f>AVERAGE(All_India_Index_Upto_April23__1___14[[#This Row],[Household goods and services]],All_India_Index_Upto_April23__1___14[[#This Row],[Housing]])</f>
        <v>151.58548387096783</v>
      </c>
      <c r="AG320" s="12">
        <f>AVERAGE(All_India_Index_Upto_April23__1___14[[#This Row],[Miscellaneous]],All_India_Index_Upto_April23__1___14[[#This Row],[Personal care and effects]],All_India_Index_Upto_April23__1___14[[#This Row],[Education]],All_India_Index_Upto_April23__1___14[[#This Row],[Recreation and amusement]])</f>
        <v>165.75</v>
      </c>
      <c r="AH320" s="12">
        <f>SUM(All_India_Index_Upto_April23__1___14[[#This Row],[Cereals and products]:[Pan, tobacco and intoxicants]])</f>
        <v>2359</v>
      </c>
      <c r="AI320" s="12">
        <f>SUM(All_India_Index_Upto_April23__1___14[[#This Row],[Household goods and services]],All_India_Index_Upto_April23__1___14[[#This Row],[Housing]])</f>
        <v>303.17096774193567</v>
      </c>
      <c r="AJ320" s="12">
        <f>All_India_Index_Upto_April23__1___14[[#This Row],[Clothing]]+All_India_Index_Upto_April23__1___14[[#This Row],[Footwear]]</f>
        <v>339.1</v>
      </c>
      <c r="AK320" s="12">
        <f>All_India_Index_Upto_April23__1___14[[#This Row],[Miscellaneous]]+All_India_Index_Upto_April23__1___14[[#This Row],[Personal care and effects]]+All_India_Index_Upto_April23__1___14[[#This Row],[Education]]+All_India_Index_Upto_April23__1___14[[#This Row],[Recreation and amusement]]</f>
        <v>663</v>
      </c>
      <c r="AL32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4163.970967741936</v>
      </c>
    </row>
    <row r="321" spans="1:38" hidden="1" x14ac:dyDescent="0.3">
      <c r="A321" t="s">
        <v>32</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s="12">
        <f>AVERAGE(All_India_Index_Upto_April23__1___14[[#This Row],[Cereals and products]:[Pan, tobacco and intoxicants]])</f>
        <v>171.65000000000003</v>
      </c>
      <c r="AF321" s="12">
        <f>AVERAGE(All_India_Index_Upto_April23__1___14[[#This Row],[Household goods and services]],All_India_Index_Upto_April23__1___14[[#This Row],[Housing]])</f>
        <v>159.69999999999999</v>
      </c>
      <c r="AG321" s="12">
        <f>AVERAGE(All_India_Index_Upto_April23__1___14[[#This Row],[Miscellaneous]],All_India_Index_Upto_April23__1___14[[#This Row],[Personal care and effects]],All_India_Index_Upto_April23__1___14[[#This Row],[Education]],All_India_Index_Upto_April23__1___14[[#This Row],[Recreation and amusement]])</f>
        <v>159.60000000000002</v>
      </c>
      <c r="AH321" s="12">
        <f>SUM(All_India_Index_Upto_April23__1___14[[#This Row],[Cereals and products]:[Pan, tobacco and intoxicants]])</f>
        <v>2403.1000000000004</v>
      </c>
      <c r="AI321" s="12">
        <f>SUM(All_India_Index_Upto_April23__1___14[[#This Row],[Household goods and services]],All_India_Index_Upto_April23__1___14[[#This Row],[Housing]])</f>
        <v>319.39999999999998</v>
      </c>
      <c r="AJ321" s="12">
        <f>All_India_Index_Upto_April23__1___14[[#This Row],[Clothing]]+All_India_Index_Upto_April23__1___14[[#This Row],[Footwear]]</f>
        <v>310</v>
      </c>
      <c r="AK321" s="12">
        <f>All_India_Index_Upto_April23__1___14[[#This Row],[Miscellaneous]]+All_India_Index_Upto_April23__1___14[[#This Row],[Personal care and effects]]+All_India_Index_Upto_April23__1___14[[#This Row],[Education]]+All_India_Index_Upto_April23__1___14[[#This Row],[Recreation and amusement]]</f>
        <v>638.40000000000009</v>
      </c>
      <c r="AL32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4149.5000000000009</v>
      </c>
    </row>
    <row r="322" spans="1:38" hidden="1" x14ac:dyDescent="0.3">
      <c r="A322" t="s">
        <v>33</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s="12">
        <f>AVERAGE(All_India_Index_Upto_April23__1___14[[#This Row],[Cereals and products]:[Pan, tobacco and intoxicants]])</f>
        <v>169.52142857142857</v>
      </c>
      <c r="AF322" s="12">
        <f>AVERAGE(All_India_Index_Upto_April23__1___14[[#This Row],[Household goods and services]],All_India_Index_Upto_April23__1___14[[#This Row],[Housing]])</f>
        <v>161.80000000000001</v>
      </c>
      <c r="AG322" s="12">
        <f>AVERAGE(All_India_Index_Upto_April23__1___14[[#This Row],[Miscellaneous]],All_India_Index_Upto_April23__1___14[[#This Row],[Personal care and effects]],All_India_Index_Upto_April23__1___14[[#This Row],[Education]],All_India_Index_Upto_April23__1___14[[#This Row],[Recreation and amusement]])</f>
        <v>162.4</v>
      </c>
      <c r="AH322" s="12">
        <f>SUM(All_India_Index_Upto_April23__1___14[[#This Row],[Cereals and products]:[Pan, tobacco and intoxicants]])</f>
        <v>2373.3000000000002</v>
      </c>
      <c r="AI322" s="12">
        <f>SUM(All_India_Index_Upto_April23__1___14[[#This Row],[Household goods and services]],All_India_Index_Upto_April23__1___14[[#This Row],[Housing]])</f>
        <v>323.60000000000002</v>
      </c>
      <c r="AJ322" s="12">
        <f>All_India_Index_Upto_April23__1___14[[#This Row],[Clothing]]+All_India_Index_Upto_April23__1___14[[#This Row],[Footwear]]</f>
        <v>327.2</v>
      </c>
      <c r="AK322" s="12">
        <f>All_India_Index_Upto_April23__1___14[[#This Row],[Miscellaneous]]+All_India_Index_Upto_April23__1___14[[#This Row],[Personal care and effects]]+All_India_Index_Upto_April23__1___14[[#This Row],[Education]]+All_India_Index_Upto_April23__1___14[[#This Row],[Recreation and amusement]]</f>
        <v>649.6</v>
      </c>
      <c r="AL32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4164.1000000000004</v>
      </c>
    </row>
    <row r="323" spans="1:38" hidden="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s="12">
        <f>'Handle Missing Value Sheet only'!$F$5</f>
        <v>139.27096774193564</v>
      </c>
      <c r="V323">
        <v>165.8</v>
      </c>
      <c r="W323">
        <v>164.9</v>
      </c>
      <c r="X323">
        <v>174.7</v>
      </c>
      <c r="Y323">
        <v>160.80000000000001</v>
      </c>
      <c r="Z323">
        <v>164.9</v>
      </c>
      <c r="AA323">
        <v>169.9</v>
      </c>
      <c r="AB323">
        <v>163.19999999999999</v>
      </c>
      <c r="AC323">
        <v>166.6</v>
      </c>
      <c r="AD323">
        <v>166.4</v>
      </c>
      <c r="AE323" s="12">
        <f>AVERAGE(All_India_Index_Upto_April23__1___14[[#This Row],[Cereals and products]:[Pan, tobacco and intoxicants]])</f>
        <v>167.40714285714284</v>
      </c>
      <c r="AF323" s="12">
        <f>AVERAGE(All_India_Index_Upto_April23__1___14[[#This Row],[Household goods and services]],All_India_Index_Upto_April23__1___14[[#This Row],[Housing]])</f>
        <v>152.08548387096783</v>
      </c>
      <c r="AG323" s="12">
        <f>AVERAGE(All_India_Index_Upto_April23__1___14[[#This Row],[Miscellaneous]],All_India_Index_Upto_April23__1___14[[#This Row],[Personal care and effects]],All_India_Index_Upto_April23__1___14[[#This Row],[Education]],All_India_Index_Upto_April23__1___14[[#This Row],[Recreation and amusement]])</f>
        <v>166.14999999999998</v>
      </c>
      <c r="AH323" s="12">
        <f>SUM(All_India_Index_Upto_April23__1___14[[#This Row],[Cereals and products]:[Pan, tobacco and intoxicants]])</f>
        <v>2343.6999999999998</v>
      </c>
      <c r="AI323" s="12">
        <f>SUM(All_India_Index_Upto_April23__1___14[[#This Row],[Household goods and services]],All_India_Index_Upto_April23__1___14[[#This Row],[Housing]])</f>
        <v>304.17096774193567</v>
      </c>
      <c r="AJ323" s="12">
        <f>All_India_Index_Upto_April23__1___14[[#This Row],[Clothing]]+All_India_Index_Upto_April23__1___14[[#This Row],[Footwear]]</f>
        <v>342.5</v>
      </c>
      <c r="AK323" s="12">
        <f>All_India_Index_Upto_April23__1___14[[#This Row],[Miscellaneous]]+All_India_Index_Upto_April23__1___14[[#This Row],[Personal care and effects]]+All_India_Index_Upto_April23__1___14[[#This Row],[Education]]+All_India_Index_Upto_April23__1___14[[#This Row],[Recreation and amusement]]</f>
        <v>664.59999999999991</v>
      </c>
      <c r="AL32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4156.2709677419352</v>
      </c>
    </row>
    <row r="324" spans="1:38" hidden="1" x14ac:dyDescent="0.3">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s="12">
        <f>AVERAGE(All_India_Index_Upto_April23__1___14[[#This Row],[Cereals and products]:[Pan, tobacco and intoxicants]])</f>
        <v>170.22142857142856</v>
      </c>
      <c r="AF324" s="12">
        <f>AVERAGE(All_India_Index_Upto_April23__1___14[[#This Row],[Household goods and services]],All_India_Index_Upto_April23__1___14[[#This Row],[Housing]])</f>
        <v>160.65</v>
      </c>
      <c r="AG324" s="12">
        <f>AVERAGE(All_India_Index_Upto_April23__1___14[[#This Row],[Miscellaneous]],All_India_Index_Upto_April23__1___14[[#This Row],[Personal care and effects]],All_India_Index_Upto_April23__1___14[[#This Row],[Education]],All_India_Index_Upto_April23__1___14[[#This Row],[Recreation and amusement]])</f>
        <v>160.19999999999999</v>
      </c>
      <c r="AH324" s="12">
        <f>SUM(All_India_Index_Upto_April23__1___14[[#This Row],[Cereals and products]:[Pan, tobacco and intoxicants]])</f>
        <v>2383.1</v>
      </c>
      <c r="AI324" s="12">
        <f>SUM(All_India_Index_Upto_April23__1___14[[#This Row],[Household goods and services]],All_India_Index_Upto_April23__1___14[[#This Row],[Housing]])</f>
        <v>321.3</v>
      </c>
      <c r="AJ324" s="12">
        <f>All_India_Index_Upto_April23__1___14[[#This Row],[Clothing]]+All_India_Index_Upto_April23__1___14[[#This Row],[Footwear]]</f>
        <v>313.2</v>
      </c>
      <c r="AK324" s="12">
        <f>All_India_Index_Upto_April23__1___14[[#This Row],[Miscellaneous]]+All_India_Index_Upto_April23__1___14[[#This Row],[Personal care and effects]]+All_India_Index_Upto_April23__1___14[[#This Row],[Education]]+All_India_Index_Upto_April23__1___14[[#This Row],[Recreation and amusement]]</f>
        <v>640.79999999999995</v>
      </c>
      <c r="AL32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4138.7999999999993</v>
      </c>
    </row>
    <row r="325" spans="1:38" hidden="1" x14ac:dyDescent="0.3">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s="12">
        <f>AVERAGE(All_India_Index_Upto_April23__1___14[[#This Row],[Cereals and products]:[Pan, tobacco and intoxicants]])</f>
        <v>168.31428571428569</v>
      </c>
      <c r="AF325" s="12">
        <f>AVERAGE(All_India_Index_Upto_April23__1___14[[#This Row],[Household goods and services]],All_India_Index_Upto_April23__1___14[[#This Row],[Housing]])</f>
        <v>162.80000000000001</v>
      </c>
      <c r="AG325" s="12">
        <f>AVERAGE(All_India_Index_Upto_April23__1___14[[#This Row],[Miscellaneous]],All_India_Index_Upto_April23__1___14[[#This Row],[Personal care and effects]],All_India_Index_Upto_April23__1___14[[#This Row],[Education]],All_India_Index_Upto_April23__1___14[[#This Row],[Recreation and amusement]])</f>
        <v>162.89999999999998</v>
      </c>
      <c r="AH325" s="12">
        <f>SUM(All_India_Index_Upto_April23__1___14[[#This Row],[Cereals and products]:[Pan, tobacco and intoxicants]])</f>
        <v>2356.3999999999996</v>
      </c>
      <c r="AI325" s="12">
        <f>SUM(All_India_Index_Upto_April23__1___14[[#This Row],[Household goods and services]],All_India_Index_Upto_April23__1___14[[#This Row],[Housing]])</f>
        <v>325.60000000000002</v>
      </c>
      <c r="AJ325" s="12">
        <f>All_India_Index_Upto_April23__1___14[[#This Row],[Clothing]]+All_India_Index_Upto_April23__1___14[[#This Row],[Footwear]]</f>
        <v>330.6</v>
      </c>
      <c r="AK325" s="12">
        <f>All_India_Index_Upto_April23__1___14[[#This Row],[Miscellaneous]]+All_India_Index_Upto_April23__1___14[[#This Row],[Personal care and effects]]+All_India_Index_Upto_April23__1___14[[#This Row],[Education]]+All_India_Index_Upto_April23__1___14[[#This Row],[Recreation and amusement]]</f>
        <v>651.59999999999991</v>
      </c>
      <c r="AL32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4156.3</v>
      </c>
    </row>
    <row r="326" spans="1:38" hidden="1" x14ac:dyDescent="0.3">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s="12">
        <f>'Handle Missing Value Sheet only'!$F$5</f>
        <v>139.27096774193564</v>
      </c>
      <c r="V326">
        <v>167.4</v>
      </c>
      <c r="W326">
        <v>165.7</v>
      </c>
      <c r="X326">
        <v>175.3</v>
      </c>
      <c r="Y326">
        <v>161.19999999999999</v>
      </c>
      <c r="Z326">
        <v>165.5</v>
      </c>
      <c r="AA326">
        <v>170.3</v>
      </c>
      <c r="AB326">
        <v>164.5</v>
      </c>
      <c r="AC326">
        <v>167.3</v>
      </c>
      <c r="AD326">
        <v>166.7</v>
      </c>
      <c r="AE326" s="12">
        <f>AVERAGE(All_India_Index_Upto_April23__1___14[[#This Row],[Cereals and products]:[Pan, tobacco and intoxicants]])</f>
        <v>167.27857142857144</v>
      </c>
      <c r="AF326" s="12">
        <f>AVERAGE(All_India_Index_Upto_April23__1___14[[#This Row],[Household goods and services]],All_India_Index_Upto_April23__1___14[[#This Row],[Housing]])</f>
        <v>152.48548387096781</v>
      </c>
      <c r="AG326" s="12">
        <f>AVERAGE(All_India_Index_Upto_April23__1___14[[#This Row],[Miscellaneous]],All_India_Index_Upto_April23__1___14[[#This Row],[Personal care and effects]],All_India_Index_Upto_April23__1___14[[#This Row],[Education]],All_India_Index_Upto_April23__1___14[[#This Row],[Recreation and amusement]])</f>
        <v>166.9</v>
      </c>
      <c r="AH326" s="12">
        <f>SUM(All_India_Index_Upto_April23__1___14[[#This Row],[Cereals and products]:[Pan, tobacco and intoxicants]])</f>
        <v>2341.9</v>
      </c>
      <c r="AI326" s="12">
        <f>SUM(All_India_Index_Upto_April23__1___14[[#This Row],[Household goods and services]],All_India_Index_Upto_April23__1___14[[#This Row],[Housing]])</f>
        <v>304.97096774193562</v>
      </c>
      <c r="AJ326" s="12">
        <f>All_India_Index_Upto_April23__1___14[[#This Row],[Clothing]]+All_India_Index_Upto_April23__1___14[[#This Row],[Footwear]]</f>
        <v>345.1</v>
      </c>
      <c r="AK326" s="12">
        <f>All_India_Index_Upto_April23__1___14[[#This Row],[Miscellaneous]]+All_India_Index_Upto_April23__1___14[[#This Row],[Personal care and effects]]+All_India_Index_Upto_April23__1___14[[#This Row],[Education]]+All_India_Index_Upto_April23__1___14[[#This Row],[Recreation and amusement]]</f>
        <v>667.6</v>
      </c>
      <c r="AL32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4163.470967741936</v>
      </c>
    </row>
    <row r="327" spans="1:38" hidden="1" x14ac:dyDescent="0.3">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s="12">
        <f>AVERAGE(All_India_Index_Upto_April23__1___14[[#This Row],[Cereals and products]:[Pan, tobacco and intoxicants]])</f>
        <v>170</v>
      </c>
      <c r="AF327" s="12">
        <f>AVERAGE(All_India_Index_Upto_April23__1___14[[#This Row],[Household goods and services]],All_India_Index_Upto_April23__1___14[[#This Row],[Housing]])</f>
        <v>161.44999999999999</v>
      </c>
      <c r="AG327" s="12">
        <f>AVERAGE(All_India_Index_Upto_April23__1___14[[#This Row],[Miscellaneous]],All_India_Index_Upto_April23__1___14[[#This Row],[Personal care and effects]],All_India_Index_Upto_April23__1___14[[#This Row],[Education]],All_India_Index_Upto_April23__1___14[[#This Row],[Recreation and amusement]])</f>
        <v>161.27500000000001</v>
      </c>
      <c r="AH327" s="12">
        <f>SUM(All_India_Index_Upto_April23__1___14[[#This Row],[Cereals and products]:[Pan, tobacco and intoxicants]])</f>
        <v>2380</v>
      </c>
      <c r="AI327" s="12">
        <f>SUM(All_India_Index_Upto_April23__1___14[[#This Row],[Household goods and services]],All_India_Index_Upto_April23__1___14[[#This Row],[Housing]])</f>
        <v>322.89999999999998</v>
      </c>
      <c r="AJ327" s="12">
        <f>All_India_Index_Upto_April23__1___14[[#This Row],[Clothing]]+All_India_Index_Upto_April23__1___14[[#This Row],[Footwear]]</f>
        <v>316.10000000000002</v>
      </c>
      <c r="AK327" s="12">
        <f>All_India_Index_Upto_April23__1___14[[#This Row],[Miscellaneous]]+All_India_Index_Upto_April23__1___14[[#This Row],[Personal care and effects]]+All_India_Index_Upto_April23__1___14[[#This Row],[Education]]+All_India_Index_Upto_April23__1___14[[#This Row],[Recreation and amusement]]</f>
        <v>645.1</v>
      </c>
      <c r="AL32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4147.3999999999996</v>
      </c>
    </row>
    <row r="328" spans="1:38" hidden="1" x14ac:dyDescent="0.3">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s="12">
        <f>AVERAGE(All_India_Index_Upto_April23__1___14[[#This Row],[Cereals and products]:[Pan, tobacco and intoxicants]])</f>
        <v>168.14285714285717</v>
      </c>
      <c r="AF328" s="12">
        <f>AVERAGE(All_India_Index_Upto_April23__1___14[[#This Row],[Household goods and services]],All_India_Index_Upto_April23__1___14[[#This Row],[Housing]])</f>
        <v>163.65</v>
      </c>
      <c r="AG328" s="12">
        <f>AVERAGE(All_India_Index_Upto_April23__1___14[[#This Row],[Miscellaneous]],All_India_Index_Upto_April23__1___14[[#This Row],[Personal care and effects]],All_India_Index_Upto_April23__1___14[[#This Row],[Education]],All_India_Index_Upto_April23__1___14[[#This Row],[Recreation and amusement]])</f>
        <v>163.85</v>
      </c>
      <c r="AH328" s="12">
        <f>SUM(All_India_Index_Upto_April23__1___14[[#This Row],[Cereals and products]:[Pan, tobacco and intoxicants]])</f>
        <v>2354.0000000000005</v>
      </c>
      <c r="AI328" s="12">
        <f>SUM(All_India_Index_Upto_April23__1___14[[#This Row],[Household goods and services]],All_India_Index_Upto_April23__1___14[[#This Row],[Housing]])</f>
        <v>327.3</v>
      </c>
      <c r="AJ328" s="12">
        <f>All_India_Index_Upto_April23__1___14[[#This Row],[Clothing]]+All_India_Index_Upto_April23__1___14[[#This Row],[Footwear]]</f>
        <v>333.20000000000005</v>
      </c>
      <c r="AK328" s="12">
        <f>All_India_Index_Upto_April23__1___14[[#This Row],[Miscellaneous]]+All_India_Index_Upto_April23__1___14[[#This Row],[Personal care and effects]]+All_India_Index_Upto_April23__1___14[[#This Row],[Education]]+All_India_Index_Upto_April23__1___14[[#This Row],[Recreation and amusement]]</f>
        <v>655.4</v>
      </c>
      <c r="AL32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4164.7000000000007</v>
      </c>
    </row>
    <row r="329" spans="1:38" hidden="1" x14ac:dyDescent="0.3">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s="12">
        <f>'Handle Missing Value Sheet only'!$F$5</f>
        <v>139.27096774193564</v>
      </c>
      <c r="V329">
        <v>168.9</v>
      </c>
      <c r="W329">
        <v>166.5</v>
      </c>
      <c r="X329">
        <v>176</v>
      </c>
      <c r="Y329">
        <v>162</v>
      </c>
      <c r="Z329">
        <v>166.6</v>
      </c>
      <c r="AA329">
        <v>170.6</v>
      </c>
      <c r="AB329">
        <v>167.4</v>
      </c>
      <c r="AC329">
        <v>168.3</v>
      </c>
      <c r="AD329">
        <v>168.7</v>
      </c>
      <c r="AE329" s="12">
        <f>AVERAGE(All_India_Index_Upto_April23__1___14[[#This Row],[Cereals and products]:[Pan, tobacco and intoxicants]])</f>
        <v>169.38571428571433</v>
      </c>
      <c r="AF329" s="12">
        <f>AVERAGE(All_India_Index_Upto_April23__1___14[[#This Row],[Household goods and services]],All_India_Index_Upto_April23__1___14[[#This Row],[Housing]])</f>
        <v>152.88548387096782</v>
      </c>
      <c r="AG329" s="12">
        <f>AVERAGE(All_India_Index_Upto_April23__1___14[[#This Row],[Miscellaneous]],All_India_Index_Upto_April23__1___14[[#This Row],[Personal care and effects]],All_India_Index_Upto_April23__1___14[[#This Row],[Education]],All_India_Index_Upto_April23__1___14[[#This Row],[Recreation and amusement]])</f>
        <v>168.22500000000002</v>
      </c>
      <c r="AH329" s="12">
        <f>SUM(All_India_Index_Upto_April23__1___14[[#This Row],[Cereals and products]:[Pan, tobacco and intoxicants]])</f>
        <v>2371.4000000000005</v>
      </c>
      <c r="AI329" s="12">
        <f>SUM(All_India_Index_Upto_April23__1___14[[#This Row],[Household goods and services]],All_India_Index_Upto_April23__1___14[[#This Row],[Housing]])</f>
        <v>305.77096774193564</v>
      </c>
      <c r="AJ329" s="12">
        <f>All_India_Index_Upto_April23__1___14[[#This Row],[Clothing]]+All_India_Index_Upto_April23__1___14[[#This Row],[Footwear]]</f>
        <v>348.6</v>
      </c>
      <c r="AK329" s="12">
        <f>All_India_Index_Upto_April23__1___14[[#This Row],[Miscellaneous]]+All_India_Index_Upto_April23__1___14[[#This Row],[Personal care and effects]]+All_India_Index_Upto_April23__1___14[[#This Row],[Education]]+All_India_Index_Upto_April23__1___14[[#This Row],[Recreation and amusement]]</f>
        <v>672.90000000000009</v>
      </c>
      <c r="AL32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4205.5709677419363</v>
      </c>
    </row>
    <row r="330" spans="1:38" hidden="1" x14ac:dyDescent="0.3">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s="12">
        <f>AVERAGE(All_India_Index_Upto_April23__1___14[[#This Row],[Cereals and products]:[Pan, tobacco and intoxicants]])</f>
        <v>170.98571428571429</v>
      </c>
      <c r="AF330" s="12">
        <f>AVERAGE(All_India_Index_Upto_April23__1___14[[#This Row],[Household goods and services]],All_India_Index_Upto_April23__1___14[[#This Row],[Housing]])</f>
        <v>161.94999999999999</v>
      </c>
      <c r="AG330" s="12">
        <f>AVERAGE(All_India_Index_Upto_April23__1___14[[#This Row],[Miscellaneous]],All_India_Index_Upto_April23__1___14[[#This Row],[Personal care and effects]],All_India_Index_Upto_April23__1___14[[#This Row],[Education]],All_India_Index_Upto_April23__1___14[[#This Row],[Recreation and amusement]])</f>
        <v>162.72499999999999</v>
      </c>
      <c r="AH330" s="12">
        <f>SUM(All_India_Index_Upto_April23__1___14[[#This Row],[Cereals and products]:[Pan, tobacco and intoxicants]])</f>
        <v>2393.8000000000002</v>
      </c>
      <c r="AI330" s="12">
        <f>SUM(All_India_Index_Upto_April23__1___14[[#This Row],[Household goods and services]],All_India_Index_Upto_April23__1___14[[#This Row],[Housing]])</f>
        <v>323.89999999999998</v>
      </c>
      <c r="AJ330" s="12">
        <f>All_India_Index_Upto_April23__1___14[[#This Row],[Clothing]]+All_India_Index_Upto_April23__1___14[[#This Row],[Footwear]]</f>
        <v>319.7</v>
      </c>
      <c r="AK330" s="12">
        <f>All_India_Index_Upto_April23__1___14[[#This Row],[Miscellaneous]]+All_India_Index_Upto_April23__1___14[[#This Row],[Personal care and effects]]+All_India_Index_Upto_April23__1___14[[#This Row],[Education]]+All_India_Index_Upto_April23__1___14[[#This Row],[Recreation and amusement]]</f>
        <v>650.9</v>
      </c>
      <c r="AL33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4175.2</v>
      </c>
    </row>
    <row r="331" spans="1:38" hidden="1" x14ac:dyDescent="0.3">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s="12">
        <f>AVERAGE(All_India_Index_Upto_April23__1___14[[#This Row],[Cereals and products]:[Pan, tobacco and intoxicants]])</f>
        <v>169.85</v>
      </c>
      <c r="AF331" s="12">
        <f>AVERAGE(All_India_Index_Upto_April23__1___14[[#This Row],[Household goods and services]],All_India_Index_Upto_April23__1___14[[#This Row],[Housing]])</f>
        <v>164.05</v>
      </c>
      <c r="AG331" s="12">
        <f>AVERAGE(All_India_Index_Upto_April23__1___14[[#This Row],[Miscellaneous]],All_India_Index_Upto_April23__1___14[[#This Row],[Personal care and effects]],All_India_Index_Upto_April23__1___14[[#This Row],[Education]],All_India_Index_Upto_April23__1___14[[#This Row],[Recreation and amusement]])</f>
        <v>165.27499999999998</v>
      </c>
      <c r="AH331" s="12">
        <f>SUM(All_India_Index_Upto_April23__1___14[[#This Row],[Cereals and products]:[Pan, tobacco and intoxicants]])</f>
        <v>2377.9</v>
      </c>
      <c r="AI331" s="12">
        <f>SUM(All_India_Index_Upto_April23__1___14[[#This Row],[Household goods and services]],All_India_Index_Upto_April23__1___14[[#This Row],[Housing]])</f>
        <v>328.1</v>
      </c>
      <c r="AJ331" s="12">
        <f>All_India_Index_Upto_April23__1___14[[#This Row],[Clothing]]+All_India_Index_Upto_April23__1___14[[#This Row],[Footwear]]</f>
        <v>336.7</v>
      </c>
      <c r="AK331" s="12">
        <f>All_India_Index_Upto_April23__1___14[[#This Row],[Miscellaneous]]+All_India_Index_Upto_April23__1___14[[#This Row],[Personal care and effects]]+All_India_Index_Upto_April23__1___14[[#This Row],[Education]]+All_India_Index_Upto_April23__1___14[[#This Row],[Recreation and amusement]]</f>
        <v>661.09999999999991</v>
      </c>
      <c r="AL33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4201.9000000000005</v>
      </c>
    </row>
    <row r="332" spans="1:38" hidden="1" x14ac:dyDescent="0.3">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s="12">
        <f>'Handle Missing Value Sheet only'!$F$5</f>
        <v>139.27096774193564</v>
      </c>
      <c r="V332">
        <v>173.3</v>
      </c>
      <c r="W332">
        <v>167.7</v>
      </c>
      <c r="X332">
        <v>177</v>
      </c>
      <c r="Y332">
        <v>166.2</v>
      </c>
      <c r="Z332">
        <v>167.2</v>
      </c>
      <c r="AA332">
        <v>170.9</v>
      </c>
      <c r="AB332">
        <v>169</v>
      </c>
      <c r="AC332">
        <v>170.2</v>
      </c>
      <c r="AD332">
        <v>170.8</v>
      </c>
      <c r="AE332" s="12">
        <f>AVERAGE(All_India_Index_Upto_April23__1___14[[#This Row],[Cereals and products]:[Pan, tobacco and intoxicants]])</f>
        <v>171.3857142857143</v>
      </c>
      <c r="AF332" s="12">
        <f>AVERAGE(All_India_Index_Upto_April23__1___14[[#This Row],[Household goods and services]],All_India_Index_Upto_April23__1___14[[#This Row],[Housing]])</f>
        <v>153.48548387096781</v>
      </c>
      <c r="AG332" s="12">
        <f>AVERAGE(All_India_Index_Upto_April23__1___14[[#This Row],[Miscellaneous]],All_India_Index_Upto_April23__1___14[[#This Row],[Personal care and effects]],All_India_Index_Upto_April23__1___14[[#This Row],[Education]],All_India_Index_Upto_April23__1___14[[#This Row],[Recreation and amusement]])</f>
        <v>169.32499999999999</v>
      </c>
      <c r="AH332" s="12">
        <f>SUM(All_India_Index_Upto_April23__1___14[[#This Row],[Cereals and products]:[Pan, tobacco and intoxicants]])</f>
        <v>2399.4</v>
      </c>
      <c r="AI332" s="12">
        <f>SUM(All_India_Index_Upto_April23__1___14[[#This Row],[Household goods and services]],All_India_Index_Upto_April23__1___14[[#This Row],[Housing]])</f>
        <v>306.97096774193562</v>
      </c>
      <c r="AJ332" s="12">
        <f>All_India_Index_Upto_April23__1___14[[#This Row],[Clothing]]+All_India_Index_Upto_April23__1___14[[#This Row],[Footwear]]</f>
        <v>352.6</v>
      </c>
      <c r="AK332" s="12">
        <f>All_India_Index_Upto_April23__1___14[[#This Row],[Miscellaneous]]+All_India_Index_Upto_April23__1___14[[#This Row],[Personal care and effects]]+All_India_Index_Upto_April23__1___14[[#This Row],[Education]]+All_India_Index_Upto_April23__1___14[[#This Row],[Recreation and amusement]]</f>
        <v>677.3</v>
      </c>
      <c r="AL33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4252.7709677419352</v>
      </c>
    </row>
    <row r="333" spans="1:38" hidden="1" x14ac:dyDescent="0.3">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s="12">
        <f>AVERAGE(All_India_Index_Upto_April23__1___14[[#This Row],[Cereals and products]:[Pan, tobacco and intoxicants]])</f>
        <v>173.39285714285714</v>
      </c>
      <c r="AF333" s="12">
        <f>AVERAGE(All_India_Index_Upto_April23__1___14[[#This Row],[Household goods and services]],All_India_Index_Upto_April23__1___14[[#This Row],[Housing]])</f>
        <v>163.4</v>
      </c>
      <c r="AG333" s="12">
        <f>AVERAGE(All_India_Index_Upto_April23__1___14[[#This Row],[Miscellaneous]],All_India_Index_Upto_April23__1___14[[#This Row],[Personal care and effects]],All_India_Index_Upto_April23__1___14[[#This Row],[Education]],All_India_Index_Upto_April23__1___14[[#This Row],[Recreation and amusement]])</f>
        <v>164.42500000000001</v>
      </c>
      <c r="AH333" s="12">
        <f>SUM(All_India_Index_Upto_April23__1___14[[#This Row],[Cereals and products]:[Pan, tobacco and intoxicants]])</f>
        <v>2427.5</v>
      </c>
      <c r="AI333" s="12">
        <f>SUM(All_India_Index_Upto_April23__1___14[[#This Row],[Household goods and services]],All_India_Index_Upto_April23__1___14[[#This Row],[Housing]])</f>
        <v>326.8</v>
      </c>
      <c r="AJ333" s="12">
        <f>All_India_Index_Upto_April23__1___14[[#This Row],[Clothing]]+All_India_Index_Upto_April23__1___14[[#This Row],[Footwear]]</f>
        <v>322.89999999999998</v>
      </c>
      <c r="AK333" s="12">
        <f>All_India_Index_Upto_April23__1___14[[#This Row],[Miscellaneous]]+All_India_Index_Upto_April23__1___14[[#This Row],[Personal care and effects]]+All_India_Index_Upto_April23__1___14[[#This Row],[Education]]+All_India_Index_Upto_April23__1___14[[#This Row],[Recreation and amusement]]</f>
        <v>657.7</v>
      </c>
      <c r="AL33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4233.7000000000007</v>
      </c>
    </row>
    <row r="334" spans="1:38" hidden="1" x14ac:dyDescent="0.3">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s="12">
        <f>AVERAGE(All_India_Index_Upto_April23__1___14[[#This Row],[Cereals and products]:[Pan, tobacco and intoxicants]])</f>
        <v>172.01428571428573</v>
      </c>
      <c r="AF334" s="12">
        <f>AVERAGE(All_India_Index_Upto_April23__1___14[[#This Row],[Household goods and services]],All_India_Index_Upto_April23__1___14[[#This Row],[Housing]])</f>
        <v>165.5</v>
      </c>
      <c r="AG334" s="12">
        <f>AVERAGE(All_India_Index_Upto_April23__1___14[[#This Row],[Miscellaneous]],All_India_Index_Upto_April23__1___14[[#This Row],[Personal care and effects]],All_India_Index_Upto_April23__1___14[[#This Row],[Education]],All_India_Index_Upto_April23__1___14[[#This Row],[Recreation and amusement]])</f>
        <v>166.72499999999999</v>
      </c>
      <c r="AH334" s="12">
        <f>SUM(All_India_Index_Upto_April23__1___14[[#This Row],[Cereals and products]:[Pan, tobacco and intoxicants]])</f>
        <v>2408.2000000000003</v>
      </c>
      <c r="AI334" s="12">
        <f>SUM(All_India_Index_Upto_April23__1___14[[#This Row],[Household goods and services]],All_India_Index_Upto_April23__1___14[[#This Row],[Housing]])</f>
        <v>331</v>
      </c>
      <c r="AJ334" s="12">
        <f>All_India_Index_Upto_April23__1___14[[#This Row],[Clothing]]+All_India_Index_Upto_April23__1___14[[#This Row],[Footwear]]</f>
        <v>340.4</v>
      </c>
      <c r="AK334" s="12">
        <f>All_India_Index_Upto_April23__1___14[[#This Row],[Miscellaneous]]+All_India_Index_Upto_April23__1___14[[#This Row],[Personal care and effects]]+All_India_Index_Upto_April23__1___14[[#This Row],[Education]]+All_India_Index_Upto_April23__1___14[[#This Row],[Recreation and amusement]]</f>
        <v>666.9</v>
      </c>
      <c r="AL33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4255.3</v>
      </c>
    </row>
    <row r="335" spans="1:38" hidden="1" x14ac:dyDescent="0.3">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s="12">
        <f>'Handle Missing Value Sheet only'!$F$5</f>
        <v>139.27096774193564</v>
      </c>
      <c r="V335">
        <v>175.3</v>
      </c>
      <c r="W335">
        <v>168.9</v>
      </c>
      <c r="X335">
        <v>177.7</v>
      </c>
      <c r="Y335">
        <v>167.1</v>
      </c>
      <c r="Z335">
        <v>167.6</v>
      </c>
      <c r="AA335">
        <v>171.8</v>
      </c>
      <c r="AB335">
        <v>168.5</v>
      </c>
      <c r="AC335">
        <v>170.9</v>
      </c>
      <c r="AD335">
        <v>172.5</v>
      </c>
      <c r="AE335" s="12">
        <f>AVERAGE(All_India_Index_Upto_April23__1___14[[#This Row],[Cereals and products]:[Pan, tobacco and intoxicants]])</f>
        <v>172.83571428571432</v>
      </c>
      <c r="AF335" s="12">
        <f>AVERAGE(All_India_Index_Upto_April23__1___14[[#This Row],[Household goods and services]],All_India_Index_Upto_April23__1___14[[#This Row],[Housing]])</f>
        <v>154.08548387096783</v>
      </c>
      <c r="AG335" s="12">
        <f>AVERAGE(All_India_Index_Upto_April23__1___14[[#This Row],[Miscellaneous]],All_India_Index_Upto_April23__1___14[[#This Row],[Personal care and effects]],All_India_Index_Upto_April23__1___14[[#This Row],[Education]],All_India_Index_Upto_April23__1___14[[#This Row],[Recreation and amusement]])</f>
        <v>169.7</v>
      </c>
      <c r="AH335" s="12">
        <f>SUM(All_India_Index_Upto_April23__1___14[[#This Row],[Cereals and products]:[Pan, tobacco and intoxicants]])</f>
        <v>2419.7000000000003</v>
      </c>
      <c r="AI335" s="12">
        <f>SUM(All_India_Index_Upto_April23__1___14[[#This Row],[Household goods and services]],All_India_Index_Upto_April23__1___14[[#This Row],[Housing]])</f>
        <v>308.17096774193567</v>
      </c>
      <c r="AJ335" s="12">
        <f>All_India_Index_Upto_April23__1___14[[#This Row],[Clothing]]+All_India_Index_Upto_April23__1___14[[#This Row],[Footwear]]</f>
        <v>356.5</v>
      </c>
      <c r="AK335" s="12">
        <f>All_India_Index_Upto_April23__1___14[[#This Row],[Miscellaneous]]+All_India_Index_Upto_April23__1___14[[#This Row],[Personal care and effects]]+All_India_Index_Upto_April23__1___14[[#This Row],[Education]]+All_India_Index_Upto_April23__1___14[[#This Row],[Recreation and amusement]]</f>
        <v>678.8</v>
      </c>
      <c r="AL33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4283.2709677419361</v>
      </c>
    </row>
    <row r="336" spans="1:38" hidden="1" x14ac:dyDescent="0.3">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s="12">
        <f>AVERAGE(All_India_Index_Upto_April23__1___14[[#This Row],[Cereals and products]:[Pan, tobacco and intoxicants]])</f>
        <v>175.69285714285715</v>
      </c>
      <c r="AF336" s="12">
        <f>AVERAGE(All_India_Index_Upto_April23__1___14[[#This Row],[Household goods and services]],All_India_Index_Upto_April23__1___14[[#This Row],[Housing]])</f>
        <v>164.3</v>
      </c>
      <c r="AG336" s="12">
        <f>AVERAGE(All_India_Index_Upto_April23__1___14[[#This Row],[Miscellaneous]],All_India_Index_Upto_April23__1___14[[#This Row],[Personal care and effects]],All_India_Index_Upto_April23__1___14[[#This Row],[Education]],All_India_Index_Upto_April23__1___14[[#This Row],[Recreation and amusement]])</f>
        <v>165.1</v>
      </c>
      <c r="AH336" s="12">
        <f>SUM(All_India_Index_Upto_April23__1___14[[#This Row],[Cereals and products]:[Pan, tobacco and intoxicants]])</f>
        <v>2459.7000000000003</v>
      </c>
      <c r="AI336" s="12">
        <f>SUM(All_India_Index_Upto_April23__1___14[[#This Row],[Household goods and services]],All_India_Index_Upto_April23__1___14[[#This Row],[Housing]])</f>
        <v>328.6</v>
      </c>
      <c r="AJ336" s="12">
        <f>All_India_Index_Upto_April23__1___14[[#This Row],[Clothing]]+All_India_Index_Upto_April23__1___14[[#This Row],[Footwear]]</f>
        <v>325.89999999999998</v>
      </c>
      <c r="AK336" s="12">
        <f>All_India_Index_Upto_April23__1___14[[#This Row],[Miscellaneous]]+All_India_Index_Upto_April23__1___14[[#This Row],[Personal care and effects]]+All_India_Index_Upto_April23__1___14[[#This Row],[Education]]+All_India_Index_Upto_April23__1___14[[#This Row],[Recreation and amusement]]</f>
        <v>660.4</v>
      </c>
      <c r="AL33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4277.6000000000004</v>
      </c>
    </row>
    <row r="337" spans="1:38" hidden="1" x14ac:dyDescent="0.3">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s="12">
        <f>AVERAGE(All_India_Index_Upto_April23__1___14[[#This Row],[Cereals and products]:[Pan, tobacco and intoxicants]])</f>
        <v>173.78571428571431</v>
      </c>
      <c r="AF337" s="12">
        <f>AVERAGE(All_India_Index_Upto_April23__1___14[[#This Row],[Household goods and services]],All_India_Index_Upto_April23__1___14[[#This Row],[Housing]])</f>
        <v>166.35</v>
      </c>
      <c r="AG337" s="12">
        <f>AVERAGE(All_India_Index_Upto_April23__1___14[[#This Row],[Miscellaneous]],All_India_Index_Upto_April23__1___14[[#This Row],[Personal care and effects]],All_India_Index_Upto_April23__1___14[[#This Row],[Education]],All_India_Index_Upto_April23__1___14[[#This Row],[Recreation and amusement]])</f>
        <v>167.22499999999999</v>
      </c>
      <c r="AH337" s="12">
        <f>SUM(All_India_Index_Upto_April23__1___14[[#This Row],[Cereals and products]:[Pan, tobacco and intoxicants]])</f>
        <v>2433.0000000000005</v>
      </c>
      <c r="AI337" s="12">
        <f>SUM(All_India_Index_Upto_April23__1___14[[#This Row],[Household goods and services]],All_India_Index_Upto_April23__1___14[[#This Row],[Housing]])</f>
        <v>332.7</v>
      </c>
      <c r="AJ337" s="12">
        <f>All_India_Index_Upto_April23__1___14[[#This Row],[Clothing]]+All_India_Index_Upto_April23__1___14[[#This Row],[Footwear]]</f>
        <v>344</v>
      </c>
      <c r="AK337" s="12">
        <f>All_India_Index_Upto_April23__1___14[[#This Row],[Miscellaneous]]+All_India_Index_Upto_April23__1___14[[#This Row],[Personal care and effects]]+All_India_Index_Upto_April23__1___14[[#This Row],[Education]]+All_India_Index_Upto_April23__1___14[[#This Row],[Recreation and amusement]]</f>
        <v>668.9</v>
      </c>
      <c r="AL33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4291.0000000000009</v>
      </c>
    </row>
    <row r="338" spans="1:38" hidden="1" x14ac:dyDescent="0.3">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s="12">
        <f>'Handle Missing Value Sheet only'!$F$5</f>
        <v>139.27096774193564</v>
      </c>
      <c r="V338">
        <v>176.7</v>
      </c>
      <c r="W338">
        <v>170.3</v>
      </c>
      <c r="X338">
        <v>178.2</v>
      </c>
      <c r="Y338">
        <v>165.5</v>
      </c>
      <c r="Z338">
        <v>168</v>
      </c>
      <c r="AA338">
        <v>172.6</v>
      </c>
      <c r="AB338">
        <v>169.5</v>
      </c>
      <c r="AC338">
        <v>171</v>
      </c>
      <c r="AD338">
        <v>173.6</v>
      </c>
      <c r="AE338" s="12">
        <f>AVERAGE(All_India_Index_Upto_April23__1___14[[#This Row],[Cereals and products]:[Pan, tobacco and intoxicants]])</f>
        <v>174.37142857142859</v>
      </c>
      <c r="AF338" s="12">
        <f>AVERAGE(All_India_Index_Upto_April23__1___14[[#This Row],[Household goods and services]],All_India_Index_Upto_April23__1___14[[#This Row],[Housing]])</f>
        <v>154.78548387096782</v>
      </c>
      <c r="AG338" s="12">
        <f>AVERAGE(All_India_Index_Upto_April23__1___14[[#This Row],[Miscellaneous]],All_India_Index_Upto_April23__1___14[[#This Row],[Personal care and effects]],All_India_Index_Upto_April23__1___14[[#This Row],[Education]],All_India_Index_Upto_April23__1___14[[#This Row],[Recreation and amusement]])</f>
        <v>170.27500000000001</v>
      </c>
      <c r="AH338" s="12">
        <f>SUM(All_India_Index_Upto_April23__1___14[[#This Row],[Cereals and products]:[Pan, tobacco and intoxicants]])</f>
        <v>2441.2000000000003</v>
      </c>
      <c r="AI338" s="12">
        <f>SUM(All_India_Index_Upto_April23__1___14[[#This Row],[Household goods and services]],All_India_Index_Upto_April23__1___14[[#This Row],[Housing]])</f>
        <v>309.57096774193565</v>
      </c>
      <c r="AJ338" s="12">
        <f>All_India_Index_Upto_April23__1___14[[#This Row],[Clothing]]+All_India_Index_Upto_April23__1___14[[#This Row],[Footwear]]</f>
        <v>359.4</v>
      </c>
      <c r="AK338" s="12">
        <f>All_India_Index_Upto_April23__1___14[[#This Row],[Miscellaneous]]+All_India_Index_Upto_April23__1___14[[#This Row],[Personal care and effects]]+All_India_Index_Upto_April23__1___14[[#This Row],[Education]]+All_India_Index_Upto_April23__1___14[[#This Row],[Recreation and amusement]]</f>
        <v>681.1</v>
      </c>
      <c r="AL33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4311.6709677419358</v>
      </c>
    </row>
    <row r="339" spans="1:38" hidden="1" x14ac:dyDescent="0.3">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s="12">
        <f>AVERAGE(All_India_Index_Upto_April23__1___14[[#This Row],[Cereals and products]:[Pan, tobacco and intoxicants]])</f>
        <v>177.55714285714288</v>
      </c>
      <c r="AF339" s="12">
        <f>AVERAGE(All_India_Index_Upto_April23__1___14[[#This Row],[Household goods and services]],All_India_Index_Upto_April23__1___14[[#This Row],[Housing]])</f>
        <v>164.45</v>
      </c>
      <c r="AG339" s="12">
        <f>AVERAGE(All_India_Index_Upto_April23__1___14[[#This Row],[Miscellaneous]],All_India_Index_Upto_April23__1___14[[#This Row],[Personal care and effects]],All_India_Index_Upto_April23__1___14[[#This Row],[Education]],All_India_Index_Upto_April23__1___14[[#This Row],[Recreation and amusement]])</f>
        <v>165.9</v>
      </c>
      <c r="AH339" s="12">
        <f>SUM(All_India_Index_Upto_April23__1___14[[#This Row],[Cereals and products]:[Pan, tobacco and intoxicants]])</f>
        <v>2485.8000000000002</v>
      </c>
      <c r="AI339" s="12">
        <f>SUM(All_India_Index_Upto_April23__1___14[[#This Row],[Household goods and services]],All_India_Index_Upto_April23__1___14[[#This Row],[Housing]])</f>
        <v>328.9</v>
      </c>
      <c r="AJ339" s="12">
        <f>All_India_Index_Upto_April23__1___14[[#This Row],[Clothing]]+All_India_Index_Upto_April23__1___14[[#This Row],[Footwear]]</f>
        <v>329</v>
      </c>
      <c r="AK339" s="12">
        <f>All_India_Index_Upto_April23__1___14[[#This Row],[Miscellaneous]]+All_India_Index_Upto_April23__1___14[[#This Row],[Personal care and effects]]+All_India_Index_Upto_April23__1___14[[#This Row],[Education]]+All_India_Index_Upto_April23__1___14[[#This Row],[Recreation and amusement]]</f>
        <v>663.6</v>
      </c>
      <c r="AL33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4310.2999999999993</v>
      </c>
    </row>
    <row r="340" spans="1:38" hidden="1" x14ac:dyDescent="0.3">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s="12">
        <f>AVERAGE(All_India_Index_Upto_April23__1___14[[#This Row],[Cereals and products]:[Pan, tobacco and intoxicants]])</f>
        <v>175.44285714285715</v>
      </c>
      <c r="AF340" s="12">
        <f>AVERAGE(All_India_Index_Upto_April23__1___14[[#This Row],[Household goods and services]],All_India_Index_Upto_April23__1___14[[#This Row],[Housing]])</f>
        <v>166.60000000000002</v>
      </c>
      <c r="AG340" s="12">
        <f>AVERAGE(All_India_Index_Upto_April23__1___14[[#This Row],[Miscellaneous]],All_India_Index_Upto_April23__1___14[[#This Row],[Personal care and effects]],All_India_Index_Upto_April23__1___14[[#This Row],[Education]],All_India_Index_Upto_April23__1___14[[#This Row],[Recreation and amusement]])</f>
        <v>167.92500000000001</v>
      </c>
      <c r="AH340" s="12">
        <f>SUM(All_India_Index_Upto_April23__1___14[[#This Row],[Cereals and products]:[Pan, tobacco and intoxicants]])</f>
        <v>2456.2000000000003</v>
      </c>
      <c r="AI340" s="12">
        <f>SUM(All_India_Index_Upto_April23__1___14[[#This Row],[Household goods and services]],All_India_Index_Upto_April23__1___14[[#This Row],[Housing]])</f>
        <v>333.20000000000005</v>
      </c>
      <c r="AJ340" s="12">
        <f>All_India_Index_Upto_April23__1___14[[#This Row],[Clothing]]+All_India_Index_Upto_April23__1___14[[#This Row],[Footwear]]</f>
        <v>347</v>
      </c>
      <c r="AK340" s="12">
        <f>All_India_Index_Upto_April23__1___14[[#This Row],[Miscellaneous]]+All_India_Index_Upto_April23__1___14[[#This Row],[Personal care and effects]]+All_India_Index_Upto_April23__1___14[[#This Row],[Education]]+All_India_Index_Upto_April23__1___14[[#This Row],[Recreation and amusement]]</f>
        <v>671.7</v>
      </c>
      <c r="AL34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4320.6000000000004</v>
      </c>
    </row>
    <row r="341" spans="1:38" hidden="1" x14ac:dyDescent="0.3">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s="12">
        <f>'Handle Missing Value Sheet only'!$F$5</f>
        <v>139.27096774193564</v>
      </c>
      <c r="V341">
        <v>179.6</v>
      </c>
      <c r="W341">
        <v>171.3</v>
      </c>
      <c r="X341">
        <v>178.8</v>
      </c>
      <c r="Y341">
        <v>166.3</v>
      </c>
      <c r="Z341">
        <v>168.6</v>
      </c>
      <c r="AA341">
        <v>174.7</v>
      </c>
      <c r="AB341">
        <v>169.7</v>
      </c>
      <c r="AC341">
        <v>171.8</v>
      </c>
      <c r="AD341">
        <v>174.3</v>
      </c>
      <c r="AE341" s="12">
        <f>AVERAGE(All_India_Index_Upto_April23__1___14[[#This Row],[Cereals and products]:[Pan, tobacco and intoxicants]])</f>
        <v>174.69285714285712</v>
      </c>
      <c r="AF341" s="12">
        <f>AVERAGE(All_India_Index_Upto_April23__1___14[[#This Row],[Household goods and services]],All_India_Index_Upto_April23__1___14[[#This Row],[Housing]])</f>
        <v>155.28548387096782</v>
      </c>
      <c r="AG341" s="12">
        <f>AVERAGE(All_India_Index_Upto_April23__1___14[[#This Row],[Miscellaneous]],All_India_Index_Upto_April23__1___14[[#This Row],[Personal care and effects]],All_India_Index_Upto_April23__1___14[[#This Row],[Education]],All_India_Index_Upto_April23__1___14[[#This Row],[Recreation and amusement]])</f>
        <v>171.20000000000002</v>
      </c>
      <c r="AH341" s="12">
        <f>SUM(All_India_Index_Upto_April23__1___14[[#This Row],[Cereals and products]:[Pan, tobacco and intoxicants]])</f>
        <v>2445.6999999999998</v>
      </c>
      <c r="AI341" s="12">
        <f>SUM(All_India_Index_Upto_April23__1___14[[#This Row],[Household goods and services]],All_India_Index_Upto_April23__1___14[[#This Row],[Housing]])</f>
        <v>310.57096774193565</v>
      </c>
      <c r="AJ341" s="12">
        <f>All_India_Index_Upto_April23__1___14[[#This Row],[Clothing]]+All_India_Index_Upto_April23__1___14[[#This Row],[Footwear]]</f>
        <v>362.3</v>
      </c>
      <c r="AK341" s="12">
        <f>All_India_Index_Upto_April23__1___14[[#This Row],[Miscellaneous]]+All_India_Index_Upto_April23__1___14[[#This Row],[Personal care and effects]]+All_India_Index_Upto_April23__1___14[[#This Row],[Education]]+All_India_Index_Upto_April23__1___14[[#This Row],[Recreation and amusement]]</f>
        <v>684.80000000000007</v>
      </c>
      <c r="AL34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4328.0709677419363</v>
      </c>
    </row>
    <row r="342" spans="1:38" hidden="1" x14ac:dyDescent="0.3">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s="12">
        <f>AVERAGE(All_India_Index_Upto_April23__1___14[[#This Row],[Cereals and products]:[Pan, tobacco and intoxicants]])</f>
        <v>177.87142857142857</v>
      </c>
      <c r="AF342" s="12">
        <f>AVERAGE(All_India_Index_Upto_April23__1___14[[#This Row],[Household goods and services]],All_India_Index_Upto_April23__1___14[[#This Row],[Housing]])</f>
        <v>165.45</v>
      </c>
      <c r="AG342" s="12">
        <f>AVERAGE(All_India_Index_Upto_April23__1___14[[#This Row],[Miscellaneous]],All_India_Index_Upto_April23__1___14[[#This Row],[Personal care and effects]],All_India_Index_Upto_April23__1___14[[#This Row],[Education]],All_India_Index_Upto_April23__1___14[[#This Row],[Recreation and amusement]])</f>
        <v>167.05</v>
      </c>
      <c r="AH342" s="12">
        <f>SUM(All_India_Index_Upto_April23__1___14[[#This Row],[Cereals and products]:[Pan, tobacco and intoxicants]])</f>
        <v>2490.1999999999998</v>
      </c>
      <c r="AI342" s="12">
        <f>SUM(All_India_Index_Upto_April23__1___14[[#This Row],[Household goods and services]],All_India_Index_Upto_April23__1___14[[#This Row],[Housing]])</f>
        <v>330.9</v>
      </c>
      <c r="AJ342" s="12">
        <f>All_India_Index_Upto_April23__1___14[[#This Row],[Clothing]]+All_India_Index_Upto_April23__1___14[[#This Row],[Footwear]]</f>
        <v>331.4</v>
      </c>
      <c r="AK342" s="12">
        <f>All_India_Index_Upto_April23__1___14[[#This Row],[Miscellaneous]]+All_India_Index_Upto_April23__1___14[[#This Row],[Personal care and effects]]+All_India_Index_Upto_April23__1___14[[#This Row],[Education]]+All_India_Index_Upto_April23__1___14[[#This Row],[Recreation and amusement]]</f>
        <v>668.2</v>
      </c>
      <c r="AL34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4329.3</v>
      </c>
    </row>
    <row r="343" spans="1:38" hidden="1" x14ac:dyDescent="0.3">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s="12">
        <f>AVERAGE(All_India_Index_Upto_April23__1___14[[#This Row],[Cereals and products]:[Pan, tobacco and intoxicants]])</f>
        <v>175.77857142857144</v>
      </c>
      <c r="AF343" s="12">
        <f>AVERAGE(All_India_Index_Upto_April23__1___14[[#This Row],[Household goods and services]],All_India_Index_Upto_April23__1___14[[#This Row],[Housing]])</f>
        <v>167.60000000000002</v>
      </c>
      <c r="AG343" s="12">
        <f>AVERAGE(All_India_Index_Upto_April23__1___14[[#This Row],[Miscellaneous]],All_India_Index_Upto_April23__1___14[[#This Row],[Personal care and effects]],All_India_Index_Upto_April23__1___14[[#This Row],[Education]],All_India_Index_Upto_April23__1___14[[#This Row],[Recreation and amusement]])</f>
        <v>168.95</v>
      </c>
      <c r="AH343" s="12">
        <f>SUM(All_India_Index_Upto_April23__1___14[[#This Row],[Cereals and products]:[Pan, tobacco and intoxicants]])</f>
        <v>2460.9</v>
      </c>
      <c r="AI343" s="12">
        <f>SUM(All_India_Index_Upto_April23__1___14[[#This Row],[Household goods and services]],All_India_Index_Upto_April23__1___14[[#This Row],[Housing]])</f>
        <v>335.20000000000005</v>
      </c>
      <c r="AJ343" s="12">
        <f>All_India_Index_Upto_April23__1___14[[#This Row],[Clothing]]+All_India_Index_Upto_April23__1___14[[#This Row],[Footwear]]</f>
        <v>349.6</v>
      </c>
      <c r="AK343" s="12">
        <f>All_India_Index_Upto_April23__1___14[[#This Row],[Miscellaneous]]+All_India_Index_Upto_April23__1___14[[#This Row],[Personal care and effects]]+All_India_Index_Upto_April23__1___14[[#This Row],[Education]]+All_India_Index_Upto_April23__1___14[[#This Row],[Recreation and amusement]]</f>
        <v>675.8</v>
      </c>
      <c r="AL34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4338.8</v>
      </c>
    </row>
    <row r="344" spans="1:38" hidden="1" x14ac:dyDescent="0.3">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s="12">
        <f>'Handle Missing Value Sheet only'!$F$5</f>
        <v>139.27096774193564</v>
      </c>
      <c r="V344">
        <v>179.1</v>
      </c>
      <c r="W344">
        <v>172.3</v>
      </c>
      <c r="X344">
        <v>179.4</v>
      </c>
      <c r="Y344">
        <v>166.6</v>
      </c>
      <c r="Z344">
        <v>169.3</v>
      </c>
      <c r="AA344">
        <v>175.7</v>
      </c>
      <c r="AB344">
        <v>171.1</v>
      </c>
      <c r="AC344">
        <v>172.6</v>
      </c>
      <c r="AD344">
        <v>175.3</v>
      </c>
      <c r="AE344" s="12">
        <f>AVERAGE(All_India_Index_Upto_April23__1___14[[#This Row],[Cereals and products]:[Pan, tobacco and intoxicants]])</f>
        <v>174.96428571428569</v>
      </c>
      <c r="AF344" s="12">
        <f>AVERAGE(All_India_Index_Upto_April23__1___14[[#This Row],[Household goods and services]],All_India_Index_Upto_April23__1___14[[#This Row],[Housing]])</f>
        <v>155.78548387096782</v>
      </c>
      <c r="AG344" s="12">
        <f>AVERAGE(All_India_Index_Upto_April23__1___14[[#This Row],[Miscellaneous]],All_India_Index_Upto_April23__1___14[[#This Row],[Personal care and effects]],All_India_Index_Upto_April23__1___14[[#This Row],[Education]],All_India_Index_Upto_April23__1___14[[#This Row],[Recreation and amusement]])</f>
        <v>172.17500000000001</v>
      </c>
      <c r="AH344" s="12">
        <f>SUM(All_India_Index_Upto_April23__1___14[[#This Row],[Cereals and products]:[Pan, tobacco and intoxicants]])</f>
        <v>2449.4999999999995</v>
      </c>
      <c r="AI344" s="12">
        <f>SUM(All_India_Index_Upto_April23__1___14[[#This Row],[Household goods and services]],All_India_Index_Upto_April23__1___14[[#This Row],[Housing]])</f>
        <v>311.57096774193565</v>
      </c>
      <c r="AJ344" s="12">
        <f>All_India_Index_Upto_April23__1___14[[#This Row],[Clothing]]+All_India_Index_Upto_April23__1___14[[#This Row],[Footwear]]</f>
        <v>364.9</v>
      </c>
      <c r="AK344" s="12">
        <f>All_India_Index_Upto_April23__1___14[[#This Row],[Miscellaneous]]+All_India_Index_Upto_April23__1___14[[#This Row],[Personal care and effects]]+All_India_Index_Upto_April23__1___14[[#This Row],[Education]]+All_India_Index_Upto_April23__1___14[[#This Row],[Recreation and amusement]]</f>
        <v>688.7</v>
      </c>
      <c r="AL34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4339.7709677419352</v>
      </c>
    </row>
    <row r="345" spans="1:38" hidden="1" x14ac:dyDescent="0.3">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s="12">
        <f>AVERAGE(All_India_Index_Upto_April23__1___14[[#This Row],[Cereals and products]:[Pan, tobacco and intoxicants]])</f>
        <v>178.02857142857141</v>
      </c>
      <c r="AF345" s="12">
        <f>AVERAGE(All_India_Index_Upto_April23__1___14[[#This Row],[Household goods and services]],All_India_Index_Upto_April23__1___14[[#This Row],[Housing]])</f>
        <v>166.6</v>
      </c>
      <c r="AG345" s="12">
        <f>AVERAGE(All_India_Index_Upto_April23__1___14[[#This Row],[Miscellaneous]],All_India_Index_Upto_April23__1___14[[#This Row],[Personal care and effects]],All_India_Index_Upto_April23__1___14[[#This Row],[Education]],All_India_Index_Upto_April23__1___14[[#This Row],[Recreation and amusement]])</f>
        <v>167.95000000000002</v>
      </c>
      <c r="AH345" s="12">
        <f>SUM(All_India_Index_Upto_April23__1___14[[#This Row],[Cereals and products]:[Pan, tobacco and intoxicants]])</f>
        <v>2492.3999999999996</v>
      </c>
      <c r="AI345" s="12">
        <f>SUM(All_India_Index_Upto_April23__1___14[[#This Row],[Household goods and services]],All_India_Index_Upto_April23__1___14[[#This Row],[Housing]])</f>
        <v>333.2</v>
      </c>
      <c r="AJ345" s="12">
        <f>All_India_Index_Upto_April23__1___14[[#This Row],[Clothing]]+All_India_Index_Upto_April23__1___14[[#This Row],[Footwear]]</f>
        <v>333.7</v>
      </c>
      <c r="AK345" s="12">
        <f>All_India_Index_Upto_April23__1___14[[#This Row],[Miscellaneous]]+All_India_Index_Upto_April23__1___14[[#This Row],[Personal care and effects]]+All_India_Index_Upto_April23__1___14[[#This Row],[Education]]+All_India_Index_Upto_April23__1___14[[#This Row],[Recreation and amusement]]</f>
        <v>671.80000000000007</v>
      </c>
      <c r="AL34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4339.7999999999993</v>
      </c>
    </row>
    <row r="346" spans="1:38" hidden="1" x14ac:dyDescent="0.3">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s="12">
        <f>AVERAGE(All_India_Index_Upto_April23__1___14[[#This Row],[Cereals and products]:[Pan, tobacco and intoxicants]])</f>
        <v>176.01428571428573</v>
      </c>
      <c r="AF346" s="12">
        <f>AVERAGE(All_India_Index_Upto_April23__1___14[[#This Row],[Household goods and services]],All_India_Index_Upto_April23__1___14[[#This Row],[Housing]])</f>
        <v>168.75</v>
      </c>
      <c r="AG346" s="12">
        <f>AVERAGE(All_India_Index_Upto_April23__1___14[[#This Row],[Miscellaneous]],All_India_Index_Upto_April23__1___14[[#This Row],[Personal care and effects]],All_India_Index_Upto_April23__1___14[[#This Row],[Education]],All_India_Index_Upto_April23__1___14[[#This Row],[Recreation and amusement]])</f>
        <v>169.87499999999997</v>
      </c>
      <c r="AH346" s="12">
        <f>SUM(All_India_Index_Upto_April23__1___14[[#This Row],[Cereals and products]:[Pan, tobacco and intoxicants]])</f>
        <v>2464.2000000000003</v>
      </c>
      <c r="AI346" s="12">
        <f>SUM(All_India_Index_Upto_April23__1___14[[#This Row],[Household goods and services]],All_India_Index_Upto_April23__1___14[[#This Row],[Housing]])</f>
        <v>337.5</v>
      </c>
      <c r="AJ346" s="12">
        <f>All_India_Index_Upto_April23__1___14[[#This Row],[Clothing]]+All_India_Index_Upto_April23__1___14[[#This Row],[Footwear]]</f>
        <v>352.2</v>
      </c>
      <c r="AK346" s="12">
        <f>All_India_Index_Upto_April23__1___14[[#This Row],[Miscellaneous]]+All_India_Index_Upto_April23__1___14[[#This Row],[Personal care and effects]]+All_India_Index_Upto_April23__1___14[[#This Row],[Education]]+All_India_Index_Upto_April23__1___14[[#This Row],[Recreation and amusement]]</f>
        <v>679.49999999999989</v>
      </c>
      <c r="AL34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4350.9000000000005</v>
      </c>
    </row>
    <row r="347" spans="1:38" hidden="1" x14ac:dyDescent="0.3">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s="12">
        <f>'Handle Missing Value Sheet only'!$F$5</f>
        <v>139.27096774193564</v>
      </c>
      <c r="V347">
        <v>179.7</v>
      </c>
      <c r="W347">
        <v>173.6</v>
      </c>
      <c r="X347">
        <v>180.2</v>
      </c>
      <c r="Y347">
        <v>166.9</v>
      </c>
      <c r="Z347">
        <v>170</v>
      </c>
      <c r="AA347">
        <v>176.2</v>
      </c>
      <c r="AB347">
        <v>170.8</v>
      </c>
      <c r="AC347">
        <v>173.1</v>
      </c>
      <c r="AD347">
        <v>176.4</v>
      </c>
      <c r="AE347" s="12">
        <f>AVERAGE(All_India_Index_Upto_April23__1___14[[#This Row],[Cereals and products]:[Pan, tobacco and intoxicants]])</f>
        <v>175.87857142857143</v>
      </c>
      <c r="AF347" s="12">
        <f>AVERAGE(All_India_Index_Upto_April23__1___14[[#This Row],[Household goods and services]],All_India_Index_Upto_April23__1___14[[#This Row],[Housing]])</f>
        <v>156.4354838709678</v>
      </c>
      <c r="AG347" s="12">
        <f>AVERAGE(All_India_Index_Upto_April23__1___14[[#This Row],[Miscellaneous]],All_India_Index_Upto_April23__1___14[[#This Row],[Personal care and effects]],All_India_Index_Upto_April23__1___14[[#This Row],[Education]],All_India_Index_Upto_April23__1___14[[#This Row],[Recreation and amusement]])</f>
        <v>172.52499999999998</v>
      </c>
      <c r="AH347" s="12">
        <f>SUM(All_India_Index_Upto_April23__1___14[[#This Row],[Cereals and products]:[Pan, tobacco and intoxicants]])</f>
        <v>2462.3000000000002</v>
      </c>
      <c r="AI347" s="12">
        <f>SUM(All_India_Index_Upto_April23__1___14[[#This Row],[Household goods and services]],All_India_Index_Upto_April23__1___14[[#This Row],[Housing]])</f>
        <v>312.8709677419356</v>
      </c>
      <c r="AJ347" s="12">
        <f>All_India_Index_Upto_April23__1___14[[#This Row],[Clothing]]+All_India_Index_Upto_April23__1___14[[#This Row],[Footwear]]</f>
        <v>368</v>
      </c>
      <c r="AK347" s="12">
        <f>All_India_Index_Upto_April23__1___14[[#This Row],[Miscellaneous]]+All_India_Index_Upto_April23__1___14[[#This Row],[Personal care and effects]]+All_India_Index_Upto_April23__1___14[[#This Row],[Education]]+All_India_Index_Upto_April23__1___14[[#This Row],[Recreation and amusement]]</f>
        <v>690.09999999999991</v>
      </c>
      <c r="AL34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4360.0709677419354</v>
      </c>
    </row>
    <row r="348" spans="1:38" hidden="1" x14ac:dyDescent="0.3">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s="12">
        <f>AVERAGE(All_India_Index_Upto_April23__1___14[[#This Row],[Cereals and products]:[Pan, tobacco and intoxicants]])</f>
        <v>179.00714285714284</v>
      </c>
      <c r="AF348" s="12">
        <f>AVERAGE(All_India_Index_Upto_April23__1___14[[#This Row],[Household goods and services]],All_India_Index_Upto_April23__1___14[[#This Row],[Housing]])</f>
        <v>167.25</v>
      </c>
      <c r="AG348" s="12">
        <f>AVERAGE(All_India_Index_Upto_April23__1___14[[#This Row],[Miscellaneous]],All_India_Index_Upto_April23__1___14[[#This Row],[Personal care and effects]],All_India_Index_Upto_April23__1___14[[#This Row],[Education]],All_India_Index_Upto_April23__1___14[[#This Row],[Recreation and amusement]])</f>
        <v>168.47500000000002</v>
      </c>
      <c r="AH348" s="12">
        <f>SUM(All_India_Index_Upto_April23__1___14[[#This Row],[Cereals and products]:[Pan, tobacco and intoxicants]])</f>
        <v>2506.1</v>
      </c>
      <c r="AI348" s="12">
        <f>SUM(All_India_Index_Upto_April23__1___14[[#This Row],[Household goods and services]],All_India_Index_Upto_April23__1___14[[#This Row],[Housing]])</f>
        <v>334.5</v>
      </c>
      <c r="AJ348" s="12">
        <f>All_India_Index_Upto_April23__1___14[[#This Row],[Clothing]]+All_India_Index_Upto_April23__1___14[[#This Row],[Footwear]]</f>
        <v>336.7</v>
      </c>
      <c r="AK348" s="12">
        <f>All_India_Index_Upto_April23__1___14[[#This Row],[Miscellaneous]]+All_India_Index_Upto_April23__1___14[[#This Row],[Personal care and effects]]+All_India_Index_Upto_April23__1___14[[#This Row],[Education]]+All_India_Index_Upto_April23__1___14[[#This Row],[Recreation and amusement]]</f>
        <v>673.90000000000009</v>
      </c>
      <c r="AL34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4362.3999999999996</v>
      </c>
    </row>
    <row r="349" spans="1:38" hidden="1" x14ac:dyDescent="0.3">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s="12">
        <f>AVERAGE(All_India_Index_Upto_April23__1___14[[#This Row],[Cereals and products]:[Pan, tobacco and intoxicants]])</f>
        <v>176.91428571428574</v>
      </c>
      <c r="AF349" s="12">
        <f>AVERAGE(All_India_Index_Upto_April23__1___14[[#This Row],[Household goods and services]],All_India_Index_Upto_April23__1___14[[#This Row],[Housing]])</f>
        <v>169.5</v>
      </c>
      <c r="AG349" s="12">
        <f>AVERAGE(All_India_Index_Upto_April23__1___14[[#This Row],[Miscellaneous]],All_India_Index_Upto_April23__1___14[[#This Row],[Personal care and effects]],All_India_Index_Upto_April23__1___14[[#This Row],[Education]],All_India_Index_Upto_April23__1___14[[#This Row],[Recreation and amusement]])</f>
        <v>170.32500000000002</v>
      </c>
      <c r="AH349" s="12">
        <f>SUM(All_India_Index_Upto_April23__1___14[[#This Row],[Cereals and products]:[Pan, tobacco and intoxicants]])</f>
        <v>2476.8000000000002</v>
      </c>
      <c r="AI349" s="12">
        <f>SUM(All_India_Index_Upto_April23__1___14[[#This Row],[Household goods and services]],All_India_Index_Upto_April23__1___14[[#This Row],[Housing]])</f>
        <v>339</v>
      </c>
      <c r="AJ349" s="12">
        <f>All_India_Index_Upto_April23__1___14[[#This Row],[Clothing]]+All_India_Index_Upto_April23__1___14[[#This Row],[Footwear]]</f>
        <v>355.20000000000005</v>
      </c>
      <c r="AK349" s="12">
        <f>All_India_Index_Upto_April23__1___14[[#This Row],[Miscellaneous]]+All_India_Index_Upto_April23__1___14[[#This Row],[Personal care and effects]]+All_India_Index_Upto_April23__1___14[[#This Row],[Education]]+All_India_Index_Upto_April23__1___14[[#This Row],[Recreation and amusement]]</f>
        <v>681.30000000000007</v>
      </c>
      <c r="AL34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4371.9000000000005</v>
      </c>
    </row>
    <row r="350" spans="1:38" hidden="1" x14ac:dyDescent="0.3">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s="12">
        <f>'Handle Missing Value Sheet only'!$F$5</f>
        <v>139.27096774193564</v>
      </c>
      <c r="V350">
        <v>180.8</v>
      </c>
      <c r="W350">
        <v>174.4</v>
      </c>
      <c r="X350">
        <v>181.2</v>
      </c>
      <c r="Y350">
        <v>167.4</v>
      </c>
      <c r="Z350">
        <v>170.6</v>
      </c>
      <c r="AA350">
        <v>176.5</v>
      </c>
      <c r="AB350">
        <v>172</v>
      </c>
      <c r="AC350">
        <v>173.9</v>
      </c>
      <c r="AD350">
        <v>177.9</v>
      </c>
      <c r="AE350" s="12">
        <f>AVERAGE(All_India_Index_Upto_April23__1___14[[#This Row],[Cereals and products]:[Pan, tobacco and intoxicants]])</f>
        <v>177.1</v>
      </c>
      <c r="AF350" s="12">
        <f>AVERAGE(All_India_Index_Upto_April23__1___14[[#This Row],[Household goods and services]],All_India_Index_Upto_April23__1___14[[#This Row],[Housing]])</f>
        <v>156.83548387096783</v>
      </c>
      <c r="AG350" s="12">
        <f>AVERAGE(All_India_Index_Upto_April23__1___14[[#This Row],[Miscellaneous]],All_India_Index_Upto_April23__1___14[[#This Row],[Personal care and effects]],All_India_Index_Upto_April23__1___14[[#This Row],[Education]],All_India_Index_Upto_April23__1___14[[#This Row],[Recreation and amusement]])</f>
        <v>173.25</v>
      </c>
      <c r="AH350" s="12">
        <f>SUM(All_India_Index_Upto_April23__1___14[[#This Row],[Cereals and products]:[Pan, tobacco and intoxicants]])</f>
        <v>2479.4</v>
      </c>
      <c r="AI350" s="12">
        <f>SUM(All_India_Index_Upto_April23__1___14[[#This Row],[Household goods and services]],All_India_Index_Upto_April23__1___14[[#This Row],[Housing]])</f>
        <v>313.67096774193567</v>
      </c>
      <c r="AJ350" s="12">
        <f>All_India_Index_Upto_April23__1___14[[#This Row],[Clothing]]+All_India_Index_Upto_April23__1___14[[#This Row],[Footwear]]</f>
        <v>370.5</v>
      </c>
      <c r="AK350" s="12">
        <f>All_India_Index_Upto_April23__1___14[[#This Row],[Miscellaneous]]+All_India_Index_Upto_April23__1___14[[#This Row],[Personal care and effects]]+All_India_Index_Upto_April23__1___14[[#This Row],[Education]]+All_India_Index_Upto_April23__1___14[[#This Row],[Recreation and amusement]]</f>
        <v>693</v>
      </c>
      <c r="AL35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4385.970967741936</v>
      </c>
    </row>
    <row r="351" spans="1:38" hidden="1" x14ac:dyDescent="0.3">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s="12">
        <f>AVERAGE(All_India_Index_Upto_April23__1___14[[#This Row],[Cereals and products]:[Pan, tobacco and intoxicants]])</f>
        <v>180.17142857142858</v>
      </c>
      <c r="AF351" s="12">
        <f>AVERAGE(All_India_Index_Upto_April23__1___14[[#This Row],[Household goods and services]],All_India_Index_Upto_April23__1___14[[#This Row],[Housing]])</f>
        <v>168.6</v>
      </c>
      <c r="AG351" s="12">
        <f>AVERAGE(All_India_Index_Upto_April23__1___14[[#This Row],[Miscellaneous]],All_India_Index_Upto_April23__1___14[[#This Row],[Personal care and effects]],All_India_Index_Upto_April23__1___14[[#This Row],[Education]],All_India_Index_Upto_April23__1___14[[#This Row],[Recreation and amusement]])</f>
        <v>169.15</v>
      </c>
      <c r="AH351" s="12">
        <f>SUM(All_India_Index_Upto_April23__1___14[[#This Row],[Cereals and products]:[Pan, tobacco and intoxicants]])</f>
        <v>2522.4</v>
      </c>
      <c r="AI351" s="12">
        <f>SUM(All_India_Index_Upto_April23__1___14[[#This Row],[Household goods and services]],All_India_Index_Upto_April23__1___14[[#This Row],[Housing]])</f>
        <v>337.2</v>
      </c>
      <c r="AJ351" s="12">
        <f>All_India_Index_Upto_April23__1___14[[#This Row],[Clothing]]+All_India_Index_Upto_April23__1___14[[#This Row],[Footwear]]</f>
        <v>338.1</v>
      </c>
      <c r="AK351" s="12">
        <f>All_India_Index_Upto_April23__1___14[[#This Row],[Miscellaneous]]+All_India_Index_Upto_April23__1___14[[#This Row],[Personal care and effects]]+All_India_Index_Upto_April23__1___14[[#This Row],[Education]]+All_India_Index_Upto_April23__1___14[[#This Row],[Recreation and amusement]]</f>
        <v>676.6</v>
      </c>
      <c r="AL35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4387.8</v>
      </c>
    </row>
    <row r="352" spans="1:38" hidden="1" x14ac:dyDescent="0.3">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s="12">
        <f>AVERAGE(All_India_Index_Upto_April23__1___14[[#This Row],[Cereals and products]:[Pan, tobacco and intoxicants]])</f>
        <v>178.11428571428573</v>
      </c>
      <c r="AF352" s="12">
        <f>AVERAGE(All_India_Index_Upto_April23__1___14[[#This Row],[Household goods and services]],All_India_Index_Upto_April23__1___14[[#This Row],[Housing]])</f>
        <v>170.8</v>
      </c>
      <c r="AG352" s="12">
        <f>AVERAGE(All_India_Index_Upto_April23__1___14[[#This Row],[Miscellaneous]],All_India_Index_Upto_April23__1___14[[#This Row],[Personal care and effects]],All_India_Index_Upto_April23__1___14[[#This Row],[Education]],All_India_Index_Upto_April23__1___14[[#This Row],[Recreation and amusement]])</f>
        <v>171.05</v>
      </c>
      <c r="AH352" s="12">
        <f>SUM(All_India_Index_Upto_April23__1___14[[#This Row],[Cereals and products]:[Pan, tobacco and intoxicants]])</f>
        <v>2493.6000000000004</v>
      </c>
      <c r="AI352" s="12">
        <f>SUM(All_India_Index_Upto_April23__1___14[[#This Row],[Household goods and services]],All_India_Index_Upto_April23__1___14[[#This Row],[Housing]])</f>
        <v>341.6</v>
      </c>
      <c r="AJ352" s="12">
        <f>All_India_Index_Upto_April23__1___14[[#This Row],[Clothing]]+All_India_Index_Upto_April23__1___14[[#This Row],[Footwear]]</f>
        <v>357.20000000000005</v>
      </c>
      <c r="AK352" s="12">
        <f>All_India_Index_Upto_April23__1___14[[#This Row],[Miscellaneous]]+All_India_Index_Upto_April23__1___14[[#This Row],[Personal care and effects]]+All_India_Index_Upto_April23__1___14[[#This Row],[Education]]+All_India_Index_Upto_April23__1___14[[#This Row],[Recreation and amusement]]</f>
        <v>684.2</v>
      </c>
      <c r="AL35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4398.7000000000007</v>
      </c>
    </row>
    <row r="353" spans="1:38" hidden="1"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s="12">
        <f>'Handle Missing Value Sheet only'!$F$5</f>
        <v>139.27096774193564</v>
      </c>
      <c r="V353">
        <v>181.9</v>
      </c>
      <c r="W353">
        <v>175.5</v>
      </c>
      <c r="X353">
        <v>182.3</v>
      </c>
      <c r="Y353">
        <v>167.5</v>
      </c>
      <c r="Z353">
        <v>170.8</v>
      </c>
      <c r="AA353">
        <v>176.9</v>
      </c>
      <c r="AB353">
        <v>173.4</v>
      </c>
      <c r="AC353">
        <v>174.6</v>
      </c>
      <c r="AD353">
        <v>177.8</v>
      </c>
      <c r="AE353" s="12">
        <f>AVERAGE(All_India_Index_Upto_April23__1___14[[#This Row],[Cereals and products]:[Pan, tobacco and intoxicants]])</f>
        <v>177.37142857142857</v>
      </c>
      <c r="AF353" s="12">
        <f>AVERAGE(All_India_Index_Upto_April23__1___14[[#This Row],[Household goods and services]],All_India_Index_Upto_April23__1___14[[#This Row],[Housing]])</f>
        <v>157.38548387096782</v>
      </c>
      <c r="AG353" s="12">
        <f>AVERAGE(All_India_Index_Upto_April23__1___14[[#This Row],[Miscellaneous]],All_India_Index_Upto_April23__1___14[[#This Row],[Personal care and effects]],All_India_Index_Upto_April23__1___14[[#This Row],[Education]],All_India_Index_Upto_April23__1___14[[#This Row],[Recreation and amusement]])</f>
        <v>173.92500000000001</v>
      </c>
      <c r="AH353" s="12">
        <f>SUM(All_India_Index_Upto_April23__1___14[[#This Row],[Cereals and products]:[Pan, tobacco and intoxicants]])</f>
        <v>2483.1999999999998</v>
      </c>
      <c r="AI353" s="12">
        <f>SUM(All_India_Index_Upto_April23__1___14[[#This Row],[Household goods and services]],All_India_Index_Upto_April23__1___14[[#This Row],[Housing]])</f>
        <v>314.77096774193564</v>
      </c>
      <c r="AJ353" s="12">
        <f>All_India_Index_Upto_April23__1___14[[#This Row],[Clothing]]+All_India_Index_Upto_April23__1___14[[#This Row],[Footwear]]</f>
        <v>372.4</v>
      </c>
      <c r="AK353" s="12">
        <f>All_India_Index_Upto_April23__1___14[[#This Row],[Miscellaneous]]+All_India_Index_Upto_April23__1___14[[#This Row],[Personal care and effects]]+All_India_Index_Upto_April23__1___14[[#This Row],[Education]]+All_India_Index_Upto_April23__1___14[[#This Row],[Recreation and amusement]]</f>
        <v>695.7</v>
      </c>
      <c r="AL35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4397.7709677419352</v>
      </c>
    </row>
    <row r="354" spans="1:38" hidden="1" x14ac:dyDescent="0.3">
      <c r="A354" t="s">
        <v>32</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s="12">
        <f>AVERAGE(All_India_Index_Upto_April23__1___14[[#This Row],[Cereals and products]:[Pan, tobacco and intoxicants]])</f>
        <v>179.64285714285714</v>
      </c>
      <c r="AF354" s="12">
        <f>AVERAGE(All_India_Index_Upto_April23__1___14[[#This Row],[Household goods and services]],All_India_Index_Upto_April23__1___14[[#This Row],[Housing]])</f>
        <v>169.35000000000002</v>
      </c>
      <c r="AG354" s="12">
        <f>AVERAGE(All_India_Index_Upto_April23__1___14[[#This Row],[Miscellaneous]],All_India_Index_Upto_April23__1___14[[#This Row],[Personal care and effects]],All_India_Index_Upto_April23__1___14[[#This Row],[Education]],All_India_Index_Upto_April23__1___14[[#This Row],[Recreation and amusement]])</f>
        <v>169.85000000000002</v>
      </c>
      <c r="AH354" s="12">
        <f>SUM(All_India_Index_Upto_April23__1___14[[#This Row],[Cereals and products]:[Pan, tobacco and intoxicants]])</f>
        <v>2515</v>
      </c>
      <c r="AI354" s="12">
        <f>SUM(All_India_Index_Upto_April23__1___14[[#This Row],[Household goods and services]],All_India_Index_Upto_April23__1___14[[#This Row],[Housing]])</f>
        <v>338.70000000000005</v>
      </c>
      <c r="AJ354" s="12">
        <f>All_India_Index_Upto_April23__1___14[[#This Row],[Clothing]]+All_India_Index_Upto_April23__1___14[[#This Row],[Footwear]]</f>
        <v>340.2</v>
      </c>
      <c r="AK354" s="12">
        <f>All_India_Index_Upto_April23__1___14[[#This Row],[Miscellaneous]]+All_India_Index_Upto_April23__1___14[[#This Row],[Personal care and effects]]+All_India_Index_Upto_April23__1___14[[#This Row],[Education]]+All_India_Index_Upto_April23__1___14[[#This Row],[Recreation and amusement]]</f>
        <v>679.40000000000009</v>
      </c>
      <c r="AL35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4388.3</v>
      </c>
    </row>
    <row r="355" spans="1:38" hidden="1" x14ac:dyDescent="0.3">
      <c r="A355" t="s">
        <v>33</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s="12">
        <f>AVERAGE(All_India_Index_Upto_April23__1___14[[#This Row],[Cereals and products]:[Pan, tobacco and intoxicants]])</f>
        <v>178.12142857142859</v>
      </c>
      <c r="AF355" s="12">
        <f>AVERAGE(All_India_Index_Upto_April23__1___14[[#This Row],[Household goods and services]],All_India_Index_Upto_April23__1___14[[#This Row],[Housing]])</f>
        <v>171.60000000000002</v>
      </c>
      <c r="AG355" s="12">
        <f>AVERAGE(All_India_Index_Upto_April23__1___14[[#This Row],[Miscellaneous]],All_India_Index_Upto_April23__1___14[[#This Row],[Personal care and effects]],All_India_Index_Upto_April23__1___14[[#This Row],[Education]],All_India_Index_Upto_April23__1___14[[#This Row],[Recreation and amusement]])</f>
        <v>171.72499999999999</v>
      </c>
      <c r="AH355" s="12">
        <f>SUM(All_India_Index_Upto_April23__1___14[[#This Row],[Cereals and products]:[Pan, tobacco and intoxicants]])</f>
        <v>2493.7000000000003</v>
      </c>
      <c r="AI355" s="12">
        <f>SUM(All_India_Index_Upto_April23__1___14[[#This Row],[Household goods and services]],All_India_Index_Upto_April23__1___14[[#This Row],[Housing]])</f>
        <v>343.20000000000005</v>
      </c>
      <c r="AJ355" s="12">
        <f>All_India_Index_Upto_April23__1___14[[#This Row],[Clothing]]+All_India_Index_Upto_April23__1___14[[#This Row],[Footwear]]</f>
        <v>359.29999999999995</v>
      </c>
      <c r="AK355" s="12">
        <f>All_India_Index_Upto_April23__1___14[[#This Row],[Miscellaneous]]+All_India_Index_Upto_April23__1___14[[#This Row],[Personal care and effects]]+All_India_Index_Upto_April23__1___14[[#This Row],[Education]]+All_India_Index_Upto_April23__1___14[[#This Row],[Recreation and amusement]]</f>
        <v>686.9</v>
      </c>
      <c r="AL35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4407.2000000000007</v>
      </c>
    </row>
    <row r="356" spans="1:38" hidden="1"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s="12">
        <f>'Handle Missing Value Sheet only'!$F$5</f>
        <v>139.27096774193564</v>
      </c>
      <c r="V356">
        <v>182.8</v>
      </c>
      <c r="W356">
        <v>176.4</v>
      </c>
      <c r="X356">
        <v>183.5</v>
      </c>
      <c r="Y356">
        <v>167.8</v>
      </c>
      <c r="Z356">
        <v>171.2</v>
      </c>
      <c r="AA356">
        <v>177.3</v>
      </c>
      <c r="AB356">
        <v>175.7</v>
      </c>
      <c r="AC356">
        <v>175.5</v>
      </c>
      <c r="AD356">
        <v>177.1</v>
      </c>
      <c r="AE356" s="12">
        <f>AVERAGE(All_India_Index_Upto_April23__1___14[[#This Row],[Cereals and products]:[Pan, tobacco and intoxicants]])</f>
        <v>176.64285714285714</v>
      </c>
      <c r="AF356" s="12">
        <f>AVERAGE(All_India_Index_Upto_April23__1___14[[#This Row],[Household goods and services]],All_India_Index_Upto_April23__1___14[[#This Row],[Housing]])</f>
        <v>157.83548387096783</v>
      </c>
      <c r="AG356" s="12">
        <f>AVERAGE(All_India_Index_Upto_April23__1___14[[#This Row],[Miscellaneous]],All_India_Index_Upto_April23__1___14[[#This Row],[Personal care and effects]],All_India_Index_Upto_April23__1___14[[#This Row],[Education]],All_India_Index_Upto_April23__1___14[[#This Row],[Recreation and amusement]])</f>
        <v>174.92500000000001</v>
      </c>
      <c r="AH356" s="12">
        <f>SUM(All_India_Index_Upto_April23__1___14[[#This Row],[Cereals and products]:[Pan, tobacco and intoxicants]])</f>
        <v>2473</v>
      </c>
      <c r="AI356" s="12">
        <f>SUM(All_India_Index_Upto_April23__1___14[[#This Row],[Household goods and services]],All_India_Index_Upto_April23__1___14[[#This Row],[Housing]])</f>
        <v>315.67096774193567</v>
      </c>
      <c r="AJ356" s="12">
        <f>All_India_Index_Upto_April23__1___14[[#This Row],[Clothing]]+All_India_Index_Upto_April23__1___14[[#This Row],[Footwear]]</f>
        <v>374</v>
      </c>
      <c r="AK356" s="12">
        <f>All_India_Index_Upto_April23__1___14[[#This Row],[Miscellaneous]]+All_India_Index_Upto_April23__1___14[[#This Row],[Personal care and effects]]+All_India_Index_Upto_April23__1___14[[#This Row],[Education]]+All_India_Index_Upto_April23__1___14[[#This Row],[Recreation and amusement]]</f>
        <v>699.7</v>
      </c>
      <c r="AL35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4396.470967741936</v>
      </c>
    </row>
    <row r="357" spans="1:38" hidden="1" x14ac:dyDescent="0.3">
      <c r="A357" t="s">
        <v>32</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s="12">
        <f>AVERAGE(All_India_Index_Upto_April23__1___14[[#This Row],[Cereals and products]:[Pan, tobacco and intoxicants]])</f>
        <v>178.34999999999997</v>
      </c>
      <c r="AF357" s="12">
        <f>AVERAGE(All_India_Index_Upto_April23__1___14[[#This Row],[Household goods and services]],All_India_Index_Upto_April23__1___14[[#This Row],[Housing]])</f>
        <v>169</v>
      </c>
      <c r="AG357" s="12">
        <f>AVERAGE(All_India_Index_Upto_April23__1___14[[#This Row],[Miscellaneous]],All_India_Index_Upto_April23__1___14[[#This Row],[Personal care and effects]],All_India_Index_Upto_April23__1___14[[#This Row],[Education]],All_India_Index_Upto_April23__1___14[[#This Row],[Recreation and amusement]])</f>
        <v>170.77500000000001</v>
      </c>
      <c r="AH357" s="12">
        <f>SUM(All_India_Index_Upto_April23__1___14[[#This Row],[Cereals and products]:[Pan, tobacco and intoxicants]])</f>
        <v>2496.8999999999996</v>
      </c>
      <c r="AI357" s="12">
        <f>SUM(All_India_Index_Upto_April23__1___14[[#This Row],[Household goods and services]],All_India_Index_Upto_April23__1___14[[#This Row],[Housing]])</f>
        <v>338</v>
      </c>
      <c r="AJ357" s="12">
        <f>All_India_Index_Upto_April23__1___14[[#This Row],[Clothing]]+All_India_Index_Upto_April23__1___14[[#This Row],[Footwear]]</f>
        <v>342.2</v>
      </c>
      <c r="AK357" s="12">
        <f>All_India_Index_Upto_April23__1___14[[#This Row],[Miscellaneous]]+All_India_Index_Upto_April23__1___14[[#This Row],[Personal care and effects]]+All_India_Index_Upto_April23__1___14[[#This Row],[Education]]+All_India_Index_Upto_April23__1___14[[#This Row],[Recreation and amusement]]</f>
        <v>683.1</v>
      </c>
      <c r="AL35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4377.4000000000005</v>
      </c>
    </row>
    <row r="358" spans="1:38" hidden="1" x14ac:dyDescent="0.3">
      <c r="A358" t="s">
        <v>33</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s="12">
        <f>AVERAGE(All_India_Index_Upto_April23__1___14[[#This Row],[Cereals and products]:[Pan, tobacco and intoxicants]])</f>
        <v>177.19285714285715</v>
      </c>
      <c r="AF358" s="12">
        <f>AVERAGE(All_India_Index_Upto_April23__1___14[[#This Row],[Household goods and services]],All_India_Index_Upto_April23__1___14[[#This Row],[Housing]])</f>
        <v>171.39999999999998</v>
      </c>
      <c r="AG358" s="12">
        <f>AVERAGE(All_India_Index_Upto_April23__1___14[[#This Row],[Miscellaneous]],All_India_Index_Upto_April23__1___14[[#This Row],[Personal care and effects]],All_India_Index_Upto_April23__1___14[[#This Row],[Education]],All_India_Index_Upto_April23__1___14[[#This Row],[Recreation and amusement]])</f>
        <v>172.7</v>
      </c>
      <c r="AH358" s="12">
        <f>SUM(All_India_Index_Upto_April23__1___14[[#This Row],[Cereals and products]:[Pan, tobacco and intoxicants]])</f>
        <v>2480.7000000000003</v>
      </c>
      <c r="AI358" s="12">
        <f>SUM(All_India_Index_Upto_April23__1___14[[#This Row],[Household goods and services]],All_India_Index_Upto_April23__1___14[[#This Row],[Housing]])</f>
        <v>342.79999999999995</v>
      </c>
      <c r="AJ358" s="12">
        <f>All_India_Index_Upto_April23__1___14[[#This Row],[Clothing]]+All_India_Index_Upto_April23__1___14[[#This Row],[Footwear]]</f>
        <v>361</v>
      </c>
      <c r="AK358" s="12">
        <f>All_India_Index_Upto_April23__1___14[[#This Row],[Miscellaneous]]+All_India_Index_Upto_April23__1___14[[#This Row],[Personal care and effects]]+All_India_Index_Upto_April23__1___14[[#This Row],[Education]]+All_India_Index_Upto_April23__1___14[[#This Row],[Recreation and amusement]]</f>
        <v>690.8</v>
      </c>
      <c r="AL35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4401.8</v>
      </c>
    </row>
    <row r="359" spans="1:38" hidden="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s="12">
        <f>'Handle Missing Value Sheet only'!$F$5</f>
        <v>139.27096774193564</v>
      </c>
      <c r="V359">
        <v>183.2</v>
      </c>
      <c r="W359">
        <v>177.2</v>
      </c>
      <c r="X359">
        <v>184.7</v>
      </c>
      <c r="Y359">
        <v>168.2</v>
      </c>
      <c r="Z359">
        <v>171.8</v>
      </c>
      <c r="AA359">
        <v>177.8</v>
      </c>
      <c r="AB359">
        <v>178.4</v>
      </c>
      <c r="AC359">
        <v>176.5</v>
      </c>
      <c r="AD359">
        <v>177.8</v>
      </c>
      <c r="AE359" s="12">
        <f>AVERAGE(All_India_Index_Upto_April23__1___14[[#This Row],[Cereals and products]:[Pan, tobacco and intoxicants]])</f>
        <v>177.15000000000003</v>
      </c>
      <c r="AF359" s="12">
        <f>AVERAGE(All_India_Index_Upto_April23__1___14[[#This Row],[Household goods and services]],All_India_Index_Upto_April23__1___14[[#This Row],[Housing]])</f>
        <v>158.23548387096781</v>
      </c>
      <c r="AG359" s="12">
        <f>AVERAGE(All_India_Index_Upto_April23__1___14[[#This Row],[Miscellaneous]],All_India_Index_Upto_April23__1___14[[#This Row],[Personal care and effects]],All_India_Index_Upto_April23__1___14[[#This Row],[Education]],All_India_Index_Upto_April23__1___14[[#This Row],[Recreation and amusement]])</f>
        <v>176.125</v>
      </c>
      <c r="AH359" s="12">
        <f>SUM(All_India_Index_Upto_April23__1___14[[#This Row],[Cereals and products]:[Pan, tobacco and intoxicants]])</f>
        <v>2480.1000000000004</v>
      </c>
      <c r="AI359" s="12">
        <f>SUM(All_India_Index_Upto_April23__1___14[[#This Row],[Household goods and services]],All_India_Index_Upto_April23__1___14[[#This Row],[Housing]])</f>
        <v>316.47096774193562</v>
      </c>
      <c r="AJ359" s="12">
        <f>All_India_Index_Upto_April23__1___14[[#This Row],[Clothing]]+All_India_Index_Upto_April23__1___14[[#This Row],[Footwear]]</f>
        <v>375.3</v>
      </c>
      <c r="AK359" s="12">
        <f>All_India_Index_Upto_April23__1___14[[#This Row],[Miscellaneous]]+All_India_Index_Upto_April23__1___14[[#This Row],[Personal care and effects]]+All_India_Index_Upto_April23__1___14[[#This Row],[Education]]+All_India_Index_Upto_April23__1___14[[#This Row],[Recreation and amusement]]</f>
        <v>704.5</v>
      </c>
      <c r="AL35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4412.470967741936</v>
      </c>
    </row>
    <row r="360" spans="1:38" hidden="1" x14ac:dyDescent="0.3">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s="12">
        <f>AVERAGE(All_India_Index_Upto_April23__1___14[[#This Row],[Cereals and products]:[Pan, tobacco and intoxicants]])</f>
        <v>179.41428571428574</v>
      </c>
      <c r="AF360" s="12">
        <f>AVERAGE(All_India_Index_Upto_April23__1___14[[#This Row],[Household goods and services]],All_India_Index_Upto_April23__1___14[[#This Row],[Housing]])</f>
        <v>170.05</v>
      </c>
      <c r="AG360" s="12">
        <f>AVERAGE(All_India_Index_Upto_April23__1___14[[#This Row],[Miscellaneous]],All_India_Index_Upto_April23__1___14[[#This Row],[Personal care and effects]],All_India_Index_Upto_April23__1___14[[#This Row],[Education]],All_India_Index_Upto_April23__1___14[[#This Row],[Recreation and amusement]])</f>
        <v>171.82499999999999</v>
      </c>
      <c r="AH360" s="12">
        <f>SUM(All_India_Index_Upto_April23__1___14[[#This Row],[Cereals and products]:[Pan, tobacco and intoxicants]])</f>
        <v>2511.8000000000002</v>
      </c>
      <c r="AI360" s="12">
        <f>SUM(All_India_Index_Upto_April23__1___14[[#This Row],[Household goods and services]],All_India_Index_Upto_April23__1___14[[#This Row],[Housing]])</f>
        <v>340.1</v>
      </c>
      <c r="AJ360" s="12">
        <f>All_India_Index_Upto_April23__1___14[[#This Row],[Clothing]]+All_India_Index_Upto_April23__1___14[[#This Row],[Footwear]]</f>
        <v>344</v>
      </c>
      <c r="AK360" s="12">
        <f>All_India_Index_Upto_April23__1___14[[#This Row],[Miscellaneous]]+All_India_Index_Upto_April23__1___14[[#This Row],[Personal care and effects]]+All_India_Index_Upto_April23__1___14[[#This Row],[Education]]+All_India_Index_Upto_April23__1___14[[#This Row],[Recreation and amusement]]</f>
        <v>687.3</v>
      </c>
      <c r="AL36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4401.3000000000011</v>
      </c>
    </row>
    <row r="361" spans="1:38" hidden="1" x14ac:dyDescent="0.3">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s="12">
        <f>AVERAGE(All_India_Index_Upto_April23__1___14[[#This Row],[Cereals and products]:[Pan, tobacco and intoxicants]])</f>
        <v>177.92142857142855</v>
      </c>
      <c r="AF361" s="12">
        <f>AVERAGE(All_India_Index_Upto_April23__1___14[[#This Row],[Household goods and services]],All_India_Index_Upto_April23__1___14[[#This Row],[Housing]])</f>
        <v>172.5</v>
      </c>
      <c r="AG361" s="12">
        <f>AVERAGE(All_India_Index_Upto_April23__1___14[[#This Row],[Miscellaneous]],All_India_Index_Upto_April23__1___14[[#This Row],[Personal care and effects]],All_India_Index_Upto_April23__1___14[[#This Row],[Education]],All_India_Index_Upto_April23__1___14[[#This Row],[Recreation and amusement]])</f>
        <v>173.8</v>
      </c>
      <c r="AH361" s="12">
        <f>SUM(All_India_Index_Upto_April23__1___14[[#This Row],[Cereals and products]:[Pan, tobacco and intoxicants]])</f>
        <v>2490.8999999999996</v>
      </c>
      <c r="AI361" s="12">
        <f>SUM(All_India_Index_Upto_April23__1___14[[#This Row],[Household goods and services]],All_India_Index_Upto_April23__1___14[[#This Row],[Housing]])</f>
        <v>345</v>
      </c>
      <c r="AJ361" s="12">
        <f>All_India_Index_Upto_April23__1___14[[#This Row],[Clothing]]+All_India_Index_Upto_April23__1___14[[#This Row],[Footwear]]</f>
        <v>362.5</v>
      </c>
      <c r="AK361" s="12">
        <f>All_India_Index_Upto_April23__1___14[[#This Row],[Miscellaneous]]+All_India_Index_Upto_April23__1___14[[#This Row],[Personal care and effects]]+All_India_Index_Upto_April23__1___14[[#This Row],[Education]]+All_India_Index_Upto_April23__1___14[[#This Row],[Recreation and amusement]]</f>
        <v>695.2</v>
      </c>
      <c r="AL36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4421.4999999999991</v>
      </c>
    </row>
    <row r="362" spans="1:38" hidden="1" x14ac:dyDescent="0.3">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s="12">
        <f>'Handle Missing Value Sheet only'!$F$5</f>
        <v>139.27096774193564</v>
      </c>
      <c r="V362">
        <v>181.6</v>
      </c>
      <c r="W362">
        <v>178.6</v>
      </c>
      <c r="X362">
        <v>186.6</v>
      </c>
      <c r="Y362">
        <v>169</v>
      </c>
      <c r="Z362">
        <v>172.8</v>
      </c>
      <c r="AA362">
        <v>178.5</v>
      </c>
      <c r="AB362">
        <v>180.7</v>
      </c>
      <c r="AC362">
        <v>177.9</v>
      </c>
      <c r="AD362">
        <v>178</v>
      </c>
      <c r="AE362" s="12">
        <f>AVERAGE(All_India_Index_Upto_April23__1___14[[#This Row],[Cereals and products]:[Pan, tobacco and intoxicants]])</f>
        <v>176</v>
      </c>
      <c r="AF362" s="12">
        <f>AVERAGE(All_India_Index_Upto_April23__1___14[[#This Row],[Household goods and services]],All_India_Index_Upto_April23__1___14[[#This Row],[Housing]])</f>
        <v>158.9354838709678</v>
      </c>
      <c r="AG362" s="12">
        <f>AVERAGE(All_India_Index_Upto_April23__1___14[[#This Row],[Miscellaneous]],All_India_Index_Upto_April23__1___14[[#This Row],[Personal care and effects]],All_India_Index_Upto_April23__1___14[[#This Row],[Education]],All_India_Index_Upto_April23__1___14[[#This Row],[Recreation and amusement]])</f>
        <v>177.47500000000002</v>
      </c>
      <c r="AH362" s="12">
        <f>SUM(All_India_Index_Upto_April23__1___14[[#This Row],[Cereals and products]:[Pan, tobacco and intoxicants]])</f>
        <v>2464</v>
      </c>
      <c r="AI362" s="12">
        <f>SUM(All_India_Index_Upto_April23__1___14[[#This Row],[Household goods and services]],All_India_Index_Upto_April23__1___14[[#This Row],[Housing]])</f>
        <v>317.8709677419356</v>
      </c>
      <c r="AJ362" s="12">
        <f>All_India_Index_Upto_April23__1___14[[#This Row],[Clothing]]+All_India_Index_Upto_April23__1___14[[#This Row],[Footwear]]</f>
        <v>377</v>
      </c>
      <c r="AK362" s="12">
        <f>All_India_Index_Upto_April23__1___14[[#This Row],[Miscellaneous]]+All_India_Index_Upto_April23__1___14[[#This Row],[Personal care and effects]]+All_India_Index_Upto_April23__1___14[[#This Row],[Education]]+All_India_Index_Upto_April23__1___14[[#This Row],[Recreation and amusement]]</f>
        <v>709.90000000000009</v>
      </c>
      <c r="AL36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4405.970967741936</v>
      </c>
    </row>
    <row r="363" spans="1:38" hidden="1" x14ac:dyDescent="0.3">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s="12">
        <f>AVERAGE(All_India_Index_Upto_April23__1___14[[#This Row],[Cereals and products]:[Pan, tobacco and intoxicants]])</f>
        <v>178.9928571428571</v>
      </c>
      <c r="AF363" s="12">
        <f>AVERAGE(All_India_Index_Upto_April23__1___14[[#This Row],[Household goods and services]],All_India_Index_Upto_April23__1___14[[#This Row],[Housing]])</f>
        <v>171.35</v>
      </c>
      <c r="AG363" s="12">
        <f>AVERAGE(All_India_Index_Upto_April23__1___14[[#This Row],[Miscellaneous]],All_India_Index_Upto_April23__1___14[[#This Row],[Personal care and effects]],All_India_Index_Upto_April23__1___14[[#This Row],[Education]],All_India_Index_Upto_April23__1___14[[#This Row],[Recreation and amusement]])</f>
        <v>173.07499999999999</v>
      </c>
      <c r="AH363" s="12">
        <f>SUM(All_India_Index_Upto_April23__1___14[[#This Row],[Cereals and products]:[Pan, tobacco and intoxicants]])</f>
        <v>2505.8999999999996</v>
      </c>
      <c r="AI363" s="12">
        <f>SUM(All_India_Index_Upto_April23__1___14[[#This Row],[Household goods and services]],All_India_Index_Upto_April23__1___14[[#This Row],[Housing]])</f>
        <v>342.7</v>
      </c>
      <c r="AJ363" s="12">
        <f>All_India_Index_Upto_April23__1___14[[#This Row],[Clothing]]+All_India_Index_Upto_April23__1___14[[#This Row],[Footwear]]</f>
        <v>347.3</v>
      </c>
      <c r="AK363" s="12">
        <f>All_India_Index_Upto_April23__1___14[[#This Row],[Miscellaneous]]+All_India_Index_Upto_April23__1___14[[#This Row],[Personal care and effects]]+All_India_Index_Upto_April23__1___14[[#This Row],[Education]]+All_India_Index_Upto_April23__1___14[[#This Row],[Recreation and amusement]]</f>
        <v>692.3</v>
      </c>
      <c r="AL36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4411.6000000000004</v>
      </c>
    </row>
    <row r="364" spans="1:38" hidden="1" x14ac:dyDescent="0.3">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s="12">
        <f>AVERAGE(All_India_Index_Upto_April23__1___14[[#This Row],[Cereals and products]:[Pan, tobacco and intoxicants]])</f>
        <v>177.04285714285714</v>
      </c>
      <c r="AF364" s="12">
        <f>AVERAGE(All_India_Index_Upto_April23__1___14[[#This Row],[Household goods and services]],All_India_Index_Upto_April23__1___14[[#This Row],[Housing]])</f>
        <v>173.85</v>
      </c>
      <c r="AG364" s="12">
        <f>AVERAGE(All_India_Index_Upto_April23__1___14[[#This Row],[Miscellaneous]],All_India_Index_Upto_April23__1___14[[#This Row],[Personal care and effects]],All_India_Index_Upto_April23__1___14[[#This Row],[Education]],All_India_Index_Upto_April23__1___14[[#This Row],[Recreation and amusement]])</f>
        <v>175.10000000000002</v>
      </c>
      <c r="AH364" s="12">
        <f>SUM(All_India_Index_Upto_April23__1___14[[#This Row],[Cereals and products]:[Pan, tobacco and intoxicants]])</f>
        <v>2478.6</v>
      </c>
      <c r="AI364" s="12">
        <f>SUM(All_India_Index_Upto_April23__1___14[[#This Row],[Household goods and services]],All_India_Index_Upto_April23__1___14[[#This Row],[Housing]])</f>
        <v>347.7</v>
      </c>
      <c r="AJ364" s="12">
        <f>All_India_Index_Upto_April23__1___14[[#This Row],[Clothing]]+All_India_Index_Upto_April23__1___14[[#This Row],[Footwear]]</f>
        <v>364.9</v>
      </c>
      <c r="AK364" s="12">
        <f>All_India_Index_Upto_April23__1___14[[#This Row],[Miscellaneous]]+All_India_Index_Upto_April23__1___14[[#This Row],[Personal care and effects]]+All_India_Index_Upto_April23__1___14[[#This Row],[Education]]+All_India_Index_Upto_April23__1___14[[#This Row],[Recreation and amusement]]</f>
        <v>700.40000000000009</v>
      </c>
      <c r="AL364"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4422.3</v>
      </c>
    </row>
    <row r="365" spans="1:38" hidden="1" x14ac:dyDescent="0.3">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s="12">
        <f>'Handle Missing Value Sheet only'!$F$5</f>
        <v>139.27096774193564</v>
      </c>
      <c r="V365">
        <v>181.4</v>
      </c>
      <c r="W365">
        <v>178.6</v>
      </c>
      <c r="X365">
        <v>186.6</v>
      </c>
      <c r="Y365">
        <v>169</v>
      </c>
      <c r="Z365">
        <v>172.8</v>
      </c>
      <c r="AA365">
        <v>178.5</v>
      </c>
      <c r="AB365">
        <v>180.7</v>
      </c>
      <c r="AC365">
        <v>177.9</v>
      </c>
      <c r="AD365">
        <v>178</v>
      </c>
      <c r="AE365" s="12">
        <f>AVERAGE(All_India_Index_Upto_April23__1___14[[#This Row],[Cereals and products]:[Pan, tobacco and intoxicants]])</f>
        <v>176.01428571428573</v>
      </c>
      <c r="AF365" s="12">
        <f>AVERAGE(All_India_Index_Upto_April23__1___14[[#This Row],[Household goods and services]],All_India_Index_Upto_April23__1___14[[#This Row],[Housing]])</f>
        <v>158.9354838709678</v>
      </c>
      <c r="AG365" s="12">
        <f>AVERAGE(All_India_Index_Upto_April23__1___14[[#This Row],[Miscellaneous]],All_India_Index_Upto_April23__1___14[[#This Row],[Personal care and effects]],All_India_Index_Upto_April23__1___14[[#This Row],[Education]],All_India_Index_Upto_April23__1___14[[#This Row],[Recreation and amusement]])</f>
        <v>177.47500000000002</v>
      </c>
      <c r="AH365" s="12">
        <f>SUM(All_India_Index_Upto_April23__1___14[[#This Row],[Cereals and products]:[Pan, tobacco and intoxicants]])</f>
        <v>2464.2000000000003</v>
      </c>
      <c r="AI365" s="12">
        <f>SUM(All_India_Index_Upto_April23__1___14[[#This Row],[Household goods and services]],All_India_Index_Upto_April23__1___14[[#This Row],[Housing]])</f>
        <v>317.8709677419356</v>
      </c>
      <c r="AJ365" s="12">
        <f>All_India_Index_Upto_April23__1___14[[#This Row],[Clothing]]+All_India_Index_Upto_April23__1___14[[#This Row],[Footwear]]</f>
        <v>377</v>
      </c>
      <c r="AK365" s="12">
        <f>All_India_Index_Upto_April23__1___14[[#This Row],[Miscellaneous]]+All_India_Index_Upto_April23__1___14[[#This Row],[Personal care and effects]]+All_India_Index_Upto_April23__1___14[[#This Row],[Education]]+All_India_Index_Upto_April23__1___14[[#This Row],[Recreation and amusement]]</f>
        <v>709.90000000000009</v>
      </c>
      <c r="AL365"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4405.970967741936</v>
      </c>
    </row>
    <row r="366" spans="1:38" hidden="1" x14ac:dyDescent="0.3">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s="12">
        <f>AVERAGE(All_India_Index_Upto_April23__1___14[[#This Row],[Cereals and products]:[Pan, tobacco and intoxicants]])</f>
        <v>179.00714285714284</v>
      </c>
      <c r="AF366" s="12">
        <f>AVERAGE(All_India_Index_Upto_April23__1___14[[#This Row],[Household goods and services]],All_India_Index_Upto_April23__1___14[[#This Row],[Housing]])</f>
        <v>171.35</v>
      </c>
      <c r="AG366" s="12">
        <f>AVERAGE(All_India_Index_Upto_April23__1___14[[#This Row],[Miscellaneous]],All_India_Index_Upto_April23__1___14[[#This Row],[Personal care and effects]],All_India_Index_Upto_April23__1___14[[#This Row],[Education]],All_India_Index_Upto_April23__1___14[[#This Row],[Recreation and amusement]])</f>
        <v>173.1</v>
      </c>
      <c r="AH366" s="12">
        <f>SUM(All_India_Index_Upto_April23__1___14[[#This Row],[Cereals and products]:[Pan, tobacco and intoxicants]])</f>
        <v>2506.1</v>
      </c>
      <c r="AI366" s="12">
        <f>SUM(All_India_Index_Upto_April23__1___14[[#This Row],[Household goods and services]],All_India_Index_Upto_April23__1___14[[#This Row],[Housing]])</f>
        <v>342.7</v>
      </c>
      <c r="AJ366" s="12">
        <f>All_India_Index_Upto_April23__1___14[[#This Row],[Clothing]]+All_India_Index_Upto_April23__1___14[[#This Row],[Footwear]]</f>
        <v>347.2</v>
      </c>
      <c r="AK366" s="12">
        <f>All_India_Index_Upto_April23__1___14[[#This Row],[Miscellaneous]]+All_India_Index_Upto_April23__1___14[[#This Row],[Personal care and effects]]+All_India_Index_Upto_April23__1___14[[#This Row],[Education]]+All_India_Index_Upto_April23__1___14[[#This Row],[Recreation and amusement]]</f>
        <v>692.4</v>
      </c>
      <c r="AL366"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4411.6000000000004</v>
      </c>
    </row>
    <row r="367" spans="1:38" hidden="1" x14ac:dyDescent="0.3">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s="12">
        <f>AVERAGE(All_India_Index_Upto_April23__1___14[[#This Row],[Cereals and products]:[Pan, tobacco and intoxicants]])</f>
        <v>177.04999999999998</v>
      </c>
      <c r="AF367" s="12">
        <f>AVERAGE(All_India_Index_Upto_April23__1___14[[#This Row],[Household goods and services]],All_India_Index_Upto_April23__1___14[[#This Row],[Housing]])</f>
        <v>173.85</v>
      </c>
      <c r="AG367" s="12">
        <f>AVERAGE(All_India_Index_Upto_April23__1___14[[#This Row],[Miscellaneous]],All_India_Index_Upto_April23__1___14[[#This Row],[Personal care and effects]],All_India_Index_Upto_April23__1___14[[#This Row],[Education]],All_India_Index_Upto_April23__1___14[[#This Row],[Recreation and amusement]])</f>
        <v>175.10000000000002</v>
      </c>
      <c r="AH367" s="12">
        <f>SUM(All_India_Index_Upto_April23__1___14[[#This Row],[Cereals and products]:[Pan, tobacco and intoxicants]])</f>
        <v>2478.6999999999998</v>
      </c>
      <c r="AI367" s="12">
        <f>SUM(All_India_Index_Upto_April23__1___14[[#This Row],[Household goods and services]],All_India_Index_Upto_April23__1___14[[#This Row],[Housing]])</f>
        <v>347.7</v>
      </c>
      <c r="AJ367" s="12">
        <f>All_India_Index_Upto_April23__1___14[[#This Row],[Clothing]]+All_India_Index_Upto_April23__1___14[[#This Row],[Footwear]]</f>
        <v>364.79999999999995</v>
      </c>
      <c r="AK367" s="12">
        <f>All_India_Index_Upto_April23__1___14[[#This Row],[Miscellaneous]]+All_India_Index_Upto_April23__1___14[[#This Row],[Personal care and effects]]+All_India_Index_Upto_April23__1___14[[#This Row],[Education]]+All_India_Index_Upto_April23__1___14[[#This Row],[Recreation and amusement]]</f>
        <v>700.40000000000009</v>
      </c>
      <c r="AL367"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4422.0999999999995</v>
      </c>
    </row>
    <row r="368" spans="1:38" hidden="1" x14ac:dyDescent="0.3">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s="12">
        <f>'Handle Missing Value Sheet only'!$F$5</f>
        <v>139.27096774193564</v>
      </c>
      <c r="V368">
        <v>181.5</v>
      </c>
      <c r="W368">
        <v>179.1</v>
      </c>
      <c r="X368">
        <v>187.2</v>
      </c>
      <c r="Y368">
        <v>169.4</v>
      </c>
      <c r="Z368">
        <v>173.2</v>
      </c>
      <c r="AA368">
        <v>179.4</v>
      </c>
      <c r="AB368">
        <v>183.8</v>
      </c>
      <c r="AC368">
        <v>178.9</v>
      </c>
      <c r="AD368">
        <v>178.8</v>
      </c>
      <c r="AE368" s="12">
        <f>AVERAGE(All_India_Index_Upto_April23__1___14[[#This Row],[Cereals and products]:[Pan, tobacco and intoxicants]])</f>
        <v>176.69285714285712</v>
      </c>
      <c r="AF368" s="12">
        <f>AVERAGE(All_India_Index_Upto_April23__1___14[[#This Row],[Household goods and services]],All_India_Index_Upto_April23__1___14[[#This Row],[Housing]])</f>
        <v>159.1854838709678</v>
      </c>
      <c r="AG368" s="12">
        <f>AVERAGE(All_India_Index_Upto_April23__1___14[[#This Row],[Miscellaneous]],All_India_Index_Upto_April23__1___14[[#This Row],[Personal care and effects]],All_India_Index_Upto_April23__1___14[[#This Row],[Education]],All_India_Index_Upto_April23__1___14[[#This Row],[Recreation and amusement]])</f>
        <v>178.82499999999999</v>
      </c>
      <c r="AH368" s="12">
        <f>SUM(All_India_Index_Upto_April23__1___14[[#This Row],[Cereals and products]:[Pan, tobacco and intoxicants]])</f>
        <v>2473.6999999999998</v>
      </c>
      <c r="AI368" s="12">
        <f>SUM(All_India_Index_Upto_April23__1___14[[#This Row],[Household goods and services]],All_India_Index_Upto_April23__1___14[[#This Row],[Housing]])</f>
        <v>318.3709677419356</v>
      </c>
      <c r="AJ368" s="12">
        <f>All_India_Index_Upto_April23__1___14[[#This Row],[Clothing]]+All_India_Index_Upto_April23__1___14[[#This Row],[Footwear]]</f>
        <v>378</v>
      </c>
      <c r="AK368" s="12">
        <f>All_India_Index_Upto_April23__1___14[[#This Row],[Miscellaneous]]+All_India_Index_Upto_April23__1___14[[#This Row],[Personal care and effects]]+All_India_Index_Upto_April23__1___14[[#This Row],[Education]]+All_India_Index_Upto_April23__1___14[[#This Row],[Recreation and amusement]]</f>
        <v>715.3</v>
      </c>
      <c r="AL368"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4423.470967741936</v>
      </c>
    </row>
    <row r="369" spans="1:38" hidden="1" x14ac:dyDescent="0.3">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s="12">
        <f>AVERAGE(All_India_Index_Upto_April23__1___14[[#This Row],[Cereals and products]:[Pan, tobacco and intoxicants]])</f>
        <v>180.08571428571432</v>
      </c>
      <c r="AF369" s="12">
        <f>AVERAGE(All_India_Index_Upto_April23__1___14[[#This Row],[Household goods and services]],All_India_Index_Upto_April23__1___14[[#This Row],[Housing]])</f>
        <v>172.39999999999998</v>
      </c>
      <c r="AG369" s="12">
        <f>AVERAGE(All_India_Index_Upto_April23__1___14[[#This Row],[Miscellaneous]],All_India_Index_Upto_April23__1___14[[#This Row],[Personal care and effects]],All_India_Index_Upto_April23__1___14[[#This Row],[Education]],All_India_Index_Upto_April23__1___14[[#This Row],[Recreation and amusement]])</f>
        <v>174.57499999999999</v>
      </c>
      <c r="AH369" s="12">
        <f>SUM(All_India_Index_Upto_April23__1___14[[#This Row],[Cereals and products]:[Pan, tobacco and intoxicants]])</f>
        <v>2521.2000000000003</v>
      </c>
      <c r="AI369" s="12">
        <f>SUM(All_India_Index_Upto_April23__1___14[[#This Row],[Household goods and services]],All_India_Index_Upto_April23__1___14[[#This Row],[Housing]])</f>
        <v>344.79999999999995</v>
      </c>
      <c r="AJ369" s="12">
        <f>All_India_Index_Upto_April23__1___14[[#This Row],[Clothing]]+All_India_Index_Upto_April23__1___14[[#This Row],[Footwear]]</f>
        <v>348.7</v>
      </c>
      <c r="AK369" s="12">
        <f>All_India_Index_Upto_April23__1___14[[#This Row],[Miscellaneous]]+All_India_Index_Upto_April23__1___14[[#This Row],[Personal care and effects]]+All_India_Index_Upto_April23__1___14[[#This Row],[Education]]+All_India_Index_Upto_April23__1___14[[#This Row],[Recreation and amusement]]</f>
        <v>698.3</v>
      </c>
      <c r="AL369"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4436.7000000000007</v>
      </c>
    </row>
    <row r="370" spans="1:38" hidden="1" x14ac:dyDescent="0.3">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s="12">
        <f>AVERAGE(All_India_Index_Upto_April23__1___14[[#This Row],[Cereals and products]:[Pan, tobacco and intoxicants]])</f>
        <v>177.87142857142859</v>
      </c>
      <c r="AF370" s="12">
        <f>AVERAGE(All_India_Index_Upto_April23__1___14[[#This Row],[Household goods and services]],All_India_Index_Upto_April23__1___14[[#This Row],[Housing]])</f>
        <v>174.89999999999998</v>
      </c>
      <c r="AG370" s="12">
        <f>AVERAGE(All_India_Index_Upto_April23__1___14[[#This Row],[Miscellaneous]],All_India_Index_Upto_April23__1___14[[#This Row],[Personal care and effects]],All_India_Index_Upto_April23__1___14[[#This Row],[Education]],All_India_Index_Upto_April23__1___14[[#This Row],[Recreation and amusement]])</f>
        <v>176.52499999999998</v>
      </c>
      <c r="AH370" s="12">
        <f>SUM(All_India_Index_Upto_April23__1___14[[#This Row],[Cereals and products]:[Pan, tobacco and intoxicants]])</f>
        <v>2490.2000000000003</v>
      </c>
      <c r="AI370" s="12">
        <f>SUM(All_India_Index_Upto_April23__1___14[[#This Row],[Household goods and services]],All_India_Index_Upto_April23__1___14[[#This Row],[Housing]])</f>
        <v>349.79999999999995</v>
      </c>
      <c r="AJ370" s="12">
        <f>All_India_Index_Upto_April23__1___14[[#This Row],[Clothing]]+All_India_Index_Upto_April23__1___14[[#This Row],[Footwear]]</f>
        <v>366.1</v>
      </c>
      <c r="AK370" s="12">
        <f>All_India_Index_Upto_April23__1___14[[#This Row],[Miscellaneous]]+All_India_Index_Upto_April23__1___14[[#This Row],[Personal care and effects]]+All_India_Index_Upto_April23__1___14[[#This Row],[Education]]+All_India_Index_Upto_April23__1___14[[#This Row],[Recreation and amusement]]</f>
        <v>706.09999999999991</v>
      </c>
      <c r="AL370"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4443.3999999999996</v>
      </c>
    </row>
    <row r="371" spans="1:38" x14ac:dyDescent="0.3">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s="12">
        <f>'Handle Missing Value Sheet only'!$F$5</f>
        <v>139.27096774193564</v>
      </c>
      <c r="V371">
        <v>182.5</v>
      </c>
      <c r="W371">
        <v>179.8</v>
      </c>
      <c r="X371">
        <v>187.8</v>
      </c>
      <c r="Y371">
        <v>169.7</v>
      </c>
      <c r="Z371">
        <v>173.8</v>
      </c>
      <c r="AA371">
        <v>180.3</v>
      </c>
      <c r="AB371">
        <v>184.9</v>
      </c>
      <c r="AC371">
        <v>179.5</v>
      </c>
      <c r="AD371">
        <v>179.8</v>
      </c>
      <c r="AE371" s="12">
        <f>AVERAGE(All_India_Index_Upto_April23__1___14[[#This Row],[Cereals and products]:[Pan, tobacco and intoxicants]])</f>
        <v>177.90000000000006</v>
      </c>
      <c r="AF371" s="12">
        <f>AVERAGE(All_India_Index_Upto_April23__1___14[[#This Row],[Household goods and services]],All_India_Index_Upto_April23__1___14[[#This Row],[Housing]])</f>
        <v>159.53548387096782</v>
      </c>
      <c r="AG371" s="12">
        <f>AVERAGE(All_India_Index_Upto_April23__1___14[[#This Row],[Miscellaneous]],All_India_Index_Upto_April23__1___14[[#This Row],[Personal care and effects]],All_India_Index_Upto_April23__1___14[[#This Row],[Education]],All_India_Index_Upto_April23__1___14[[#This Row],[Recreation and amusement]])</f>
        <v>179.625</v>
      </c>
      <c r="AH371" s="12">
        <f>SUM(All_India_Index_Upto_April23__1___14[[#This Row],[Cereals and products]:[Pan, tobacco and intoxicants]])</f>
        <v>2490.6000000000008</v>
      </c>
      <c r="AI371" s="12">
        <f>SUM(All_India_Index_Upto_April23__1___14[[#This Row],[Household goods and services]],All_India_Index_Upto_April23__1___14[[#This Row],[Housing]])</f>
        <v>319.07096774193565</v>
      </c>
      <c r="AJ371" s="12">
        <f>All_India_Index_Upto_April23__1___14[[#This Row],[Clothing]]+All_India_Index_Upto_April23__1___14[[#This Row],[Footwear]]</f>
        <v>379.1</v>
      </c>
      <c r="AK371" s="12">
        <f>All_India_Index_Upto_April23__1___14[[#This Row],[Miscellaneous]]+All_India_Index_Upto_April23__1___14[[#This Row],[Personal care and effects]]+All_India_Index_Upto_April23__1___14[[#This Row],[Education]]+All_India_Index_Upto_April23__1___14[[#This Row],[Recreation and amusement]]</f>
        <v>718.5</v>
      </c>
      <c r="AL371"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4447.2709677419361</v>
      </c>
    </row>
    <row r="372" spans="1:38" x14ac:dyDescent="0.3">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s="12">
        <f>AVERAGE(All_India_Index_Upto_April23__1___14[[#This Row],[Cereals and products]:[Pan, tobacco and intoxicants]])</f>
        <v>181.37857142857141</v>
      </c>
      <c r="AF372" s="12">
        <f>AVERAGE(All_India_Index_Upto_April23__1___14[[#This Row],[Household goods and services]],All_India_Index_Upto_April23__1___14[[#This Row],[Housing]])</f>
        <v>172.85</v>
      </c>
      <c r="AG372" s="12">
        <f>AVERAGE(All_India_Index_Upto_April23__1___14[[#This Row],[Miscellaneous]],All_India_Index_Upto_April23__1___14[[#This Row],[Personal care and effects]],All_India_Index_Upto_April23__1___14[[#This Row],[Education]],All_India_Index_Upto_April23__1___14[[#This Row],[Recreation and amusement]])</f>
        <v>175.3</v>
      </c>
      <c r="AH372" s="12">
        <f>SUM(All_India_Index_Upto_April23__1___14[[#This Row],[Cereals and products]:[Pan, tobacco and intoxicants]])</f>
        <v>2539.2999999999997</v>
      </c>
      <c r="AI372" s="12">
        <f>SUM(All_India_Index_Upto_April23__1___14[[#This Row],[Household goods and services]],All_India_Index_Upto_April23__1___14[[#This Row],[Housing]])</f>
        <v>345.7</v>
      </c>
      <c r="AJ372" s="12">
        <f>All_India_Index_Upto_April23__1___14[[#This Row],[Clothing]]+All_India_Index_Upto_April23__1___14[[#This Row],[Footwear]]</f>
        <v>349.4</v>
      </c>
      <c r="AK372" s="12">
        <f>All_India_Index_Upto_April23__1___14[[#This Row],[Miscellaneous]]+All_India_Index_Upto_April23__1___14[[#This Row],[Personal care and effects]]+All_India_Index_Upto_April23__1___14[[#This Row],[Education]]+All_India_Index_Upto_April23__1___14[[#This Row],[Recreation and amusement]]</f>
        <v>701.2</v>
      </c>
      <c r="AL372"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4461.5999999999995</v>
      </c>
    </row>
    <row r="373" spans="1:38" x14ac:dyDescent="0.3">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s="12">
        <f>AVERAGE(All_India_Index_Upto_April23__1___14[[#This Row],[Cereals and products]:[Pan, tobacco and intoxicants]])</f>
        <v>179.1357142857143</v>
      </c>
      <c r="AF373" s="12">
        <f>AVERAGE(All_India_Index_Upto_April23__1___14[[#This Row],[Household goods and services]],All_India_Index_Upto_April23__1___14[[#This Row],[Housing]])</f>
        <v>175.39999999999998</v>
      </c>
      <c r="AG373" s="12">
        <f>AVERAGE(All_India_Index_Upto_April23__1___14[[#This Row],[Miscellaneous]],All_India_Index_Upto_April23__1___14[[#This Row],[Personal care and effects]],All_India_Index_Upto_April23__1___14[[#This Row],[Education]],All_India_Index_Upto_April23__1___14[[#This Row],[Recreation and amusement]])</f>
        <v>177.3</v>
      </c>
      <c r="AH373" s="12">
        <f>SUM(All_India_Index_Upto_April23__1___14[[#This Row],[Cereals and products]:[Pan, tobacco and intoxicants]])</f>
        <v>2507.9</v>
      </c>
      <c r="AI373" s="12">
        <f>SUM(All_India_Index_Upto_April23__1___14[[#This Row],[Household goods and services]],All_India_Index_Upto_April23__1___14[[#This Row],[Housing]])</f>
        <v>350.79999999999995</v>
      </c>
      <c r="AJ373" s="12">
        <f>All_India_Index_Upto_April23__1___14[[#This Row],[Clothing]]+All_India_Index_Upto_April23__1___14[[#This Row],[Footwear]]</f>
        <v>367</v>
      </c>
      <c r="AK373" s="12">
        <f>All_India_Index_Upto_April23__1___14[[#This Row],[Miscellaneous]]+All_India_Index_Upto_April23__1___14[[#This Row],[Personal care and effects]]+All_India_Index_Upto_April23__1___14[[#This Row],[Education]]+All_India_Index_Upto_April23__1___14[[#This Row],[Recreation and amusement]]</f>
        <v>709.2</v>
      </c>
      <c r="AL373" s="12">
        <f>SUM(All_India_Index_Upto_April23__1___14[[#This Row],[Sum of others]],All_India_Index_Upto_April23__1___14[[#This Row],[Sum of clothing]],All_India_Index_Upto_April23__1___14[[#This Row],[Sum of Housing Exp]],All_India_Index_Upto_April23__1___14[[#This Row],[Sum of food expenses]],All_India_Index_Upto_April23__1___14[[#This Row],[Transport and communication]],All_India_Index_Upto_April23__1___14[[#This Row],[Health]],All_India_Index_Upto_April23__1___14[[#This Row],[Fuel and light]])</f>
        <v>4468.2</v>
      </c>
    </row>
    <row r="376" spans="1:38" x14ac:dyDescent="0.3">
      <c r="Z376" s="12">
        <f>SUM(AK371,AJ371,AI371,AH371,Y371,X371,V371)</f>
        <v>4447.2709677419361</v>
      </c>
    </row>
    <row r="384" spans="1:38" x14ac:dyDescent="0.3">
      <c r="X384" t="s">
        <v>89</v>
      </c>
      <c r="Y384" t="s">
        <v>88</v>
      </c>
      <c r="Z384" t="s">
        <v>84</v>
      </c>
      <c r="AA384" t="s">
        <v>83</v>
      </c>
      <c r="AB384" t="s">
        <v>85</v>
      </c>
      <c r="AC384" t="s">
        <v>83</v>
      </c>
      <c r="AD384" t="s">
        <v>32</v>
      </c>
      <c r="AE384" t="s">
        <v>86</v>
      </c>
    </row>
    <row r="385" spans="24:31" x14ac:dyDescent="0.3">
      <c r="X385" t="s">
        <v>90</v>
      </c>
      <c r="Y385" s="1" t="s">
        <v>79</v>
      </c>
      <c r="Z385" s="18">
        <v>2507.9</v>
      </c>
      <c r="AA385" s="13">
        <f>Z385/$Z$392</f>
        <v>0.56125234983439265</v>
      </c>
      <c r="AB385" s="12">
        <f>AH371</f>
        <v>2490.6000000000008</v>
      </c>
      <c r="AC385" s="13">
        <f>AB385/$AB$392</f>
        <v>0.56002883972338247</v>
      </c>
      <c r="AD385" s="12">
        <f>AH372</f>
        <v>2539.2999999999997</v>
      </c>
      <c r="AE385" s="13">
        <f>AD385/$AD$392</f>
        <v>0.56914559799175202</v>
      </c>
    </row>
    <row r="386" spans="24:31" x14ac:dyDescent="0.3">
      <c r="X386" t="s">
        <v>20</v>
      </c>
      <c r="Y386" s="1" t="s">
        <v>81</v>
      </c>
      <c r="Z386" s="18">
        <f>AI373</f>
        <v>350.79999999999995</v>
      </c>
      <c r="AA386" s="13">
        <f t="shared" ref="AA386:AA392" si="0">Z386/$Z$392</f>
        <v>7.8506848088801359E-2</v>
      </c>
      <c r="AB386" s="12">
        <f>AI371</f>
        <v>319.07096774193565</v>
      </c>
      <c r="AC386" s="13">
        <f t="shared" ref="AC386:AC392" si="1">AB386/$AB$392</f>
        <v>7.1745340020048565E-2</v>
      </c>
      <c r="AD386" s="12">
        <f>AI372</f>
        <v>345.7</v>
      </c>
      <c r="AE386" s="13">
        <f t="shared" ref="AE386:AE392" si="2">AD386/$AD$392</f>
        <v>7.7483414021875585E-2</v>
      </c>
    </row>
    <row r="387" spans="24:31" x14ac:dyDescent="0.3">
      <c r="X387" t="s">
        <v>17</v>
      </c>
      <c r="Y387" s="1" t="s">
        <v>80</v>
      </c>
      <c r="Z387" s="18">
        <f>AJ373</f>
        <v>367</v>
      </c>
      <c r="AA387" s="13">
        <f t="shared" si="0"/>
        <v>8.2132306865992308E-2</v>
      </c>
      <c r="AB387" s="12">
        <f>AJ371</f>
        <v>379.1</v>
      </c>
      <c r="AC387" s="13">
        <f t="shared" si="1"/>
        <v>8.5243288018603647E-2</v>
      </c>
      <c r="AD387" s="12">
        <f>'Solution 1'!AJ372</f>
        <v>349.4</v>
      </c>
      <c r="AE387" s="13">
        <f t="shared" si="2"/>
        <v>7.8312712928097564E-2</v>
      </c>
    </row>
    <row r="388" spans="24:31" x14ac:dyDescent="0.3">
      <c r="X388" t="s">
        <v>91</v>
      </c>
      <c r="Y388" s="1" t="s">
        <v>82</v>
      </c>
      <c r="Z388" s="18">
        <f>AK373</f>
        <v>709.2</v>
      </c>
      <c r="AA388" s="13">
        <f t="shared" si="0"/>
        <v>0.15871452869035899</v>
      </c>
      <c r="AB388" s="12">
        <f>AK371</f>
        <v>718.5</v>
      </c>
      <c r="AC388" s="13">
        <f t="shared" si="1"/>
        <v>0.16155975320856428</v>
      </c>
      <c r="AD388" s="12">
        <f>AK372</f>
        <v>701.2</v>
      </c>
      <c r="AE388" s="13">
        <f t="shared" si="2"/>
        <v>0.15716334947104185</v>
      </c>
    </row>
    <row r="389" spans="24:31" x14ac:dyDescent="0.3">
      <c r="X389" t="s">
        <v>21</v>
      </c>
      <c r="Y389" s="1" t="s">
        <v>21</v>
      </c>
      <c r="Z389" s="2">
        <v>182.8</v>
      </c>
      <c r="AA389" s="13">
        <f t="shared" si="0"/>
        <v>4.0909497806821238E-2</v>
      </c>
      <c r="AB389">
        <f>V371</f>
        <v>182.5</v>
      </c>
      <c r="AC389" s="13">
        <f t="shared" si="1"/>
        <v>4.1036402171973525E-2</v>
      </c>
      <c r="AD389">
        <f>V372</f>
        <v>183.4</v>
      </c>
      <c r="AE389" s="13">
        <f t="shared" si="2"/>
        <v>4.1106329567868041E-2</v>
      </c>
    </row>
    <row r="390" spans="24:31" x14ac:dyDescent="0.3">
      <c r="X390" t="s">
        <v>23</v>
      </c>
      <c r="Y390" s="1" t="s">
        <v>23</v>
      </c>
      <c r="Z390">
        <f>X373</f>
        <v>185.7</v>
      </c>
      <c r="AA390" s="13">
        <f t="shared" si="0"/>
        <v>4.1558499686688746E-2</v>
      </c>
      <c r="AB390">
        <f>X371</f>
        <v>187.8</v>
      </c>
      <c r="AC390" s="13">
        <f t="shared" si="1"/>
        <v>4.2228144262447281E-2</v>
      </c>
      <c r="AD390">
        <f>'Solution 1'!X372</f>
        <v>182.2</v>
      </c>
      <c r="AE390" s="13">
        <f t="shared" si="2"/>
        <v>4.0837367760444693E-2</v>
      </c>
    </row>
    <row r="391" spans="24:31" x14ac:dyDescent="0.3">
      <c r="X391" t="s">
        <v>24</v>
      </c>
      <c r="Y391" s="1" t="s">
        <v>24</v>
      </c>
      <c r="Z391">
        <f>Y373</f>
        <v>164.8</v>
      </c>
      <c r="AA391" s="13">
        <f t="shared" si="0"/>
        <v>3.688121027660908E-2</v>
      </c>
      <c r="AB391">
        <f>Y371</f>
        <v>169.7</v>
      </c>
      <c r="AC391" s="13">
        <f t="shared" si="1"/>
        <v>3.8158232594980315E-2</v>
      </c>
      <c r="AD391">
        <f>Y372</f>
        <v>160.4</v>
      </c>
      <c r="AE391" s="13">
        <f t="shared" si="2"/>
        <v>3.5951228258920581E-2</v>
      </c>
    </row>
    <row r="392" spans="24:31" x14ac:dyDescent="0.3">
      <c r="Y392" s="3" t="s">
        <v>75</v>
      </c>
      <c r="Z392">
        <v>4468.3999999999996</v>
      </c>
      <c r="AA392" s="13">
        <f t="shared" si="0"/>
        <v>1</v>
      </c>
      <c r="AB392" s="12">
        <f>SUM(AB385:AB391)</f>
        <v>4447.2709677419361</v>
      </c>
      <c r="AC392" s="13">
        <f t="shared" si="1"/>
        <v>1</v>
      </c>
      <c r="AD392" s="12">
        <f>SUM(AD385:AD391)</f>
        <v>4461.5999999999985</v>
      </c>
      <c r="AE392" s="13">
        <f t="shared" si="2"/>
        <v>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89CC-69B9-4D23-9FEF-9EBDDB6E4345}">
  <dimension ref="A1:Y258"/>
  <sheetViews>
    <sheetView tabSelected="1" topLeftCell="A31" zoomScale="66" zoomScaleNormal="66" workbookViewId="0">
      <selection sqref="A1:Y258"/>
    </sheetView>
  </sheetViews>
  <sheetFormatPr defaultRowHeight="14.4" x14ac:dyDescent="0.3"/>
  <sheetData>
    <row r="1" spans="1:25" x14ac:dyDescent="0.3">
      <c r="A1" s="38"/>
      <c r="B1" s="38"/>
      <c r="C1" s="38"/>
      <c r="D1" s="38"/>
      <c r="E1" s="38"/>
      <c r="F1" s="38"/>
      <c r="G1" s="38"/>
      <c r="H1" s="38"/>
      <c r="I1" s="38"/>
      <c r="J1" s="38"/>
      <c r="K1" s="38"/>
      <c r="L1" s="38"/>
      <c r="M1" s="38"/>
      <c r="N1" s="38"/>
      <c r="O1" s="38"/>
      <c r="P1" s="38"/>
      <c r="Q1" s="38"/>
      <c r="R1" s="38"/>
      <c r="S1" s="38"/>
      <c r="T1" s="38"/>
      <c r="U1" s="38"/>
      <c r="V1" s="38"/>
      <c r="W1" s="38"/>
      <c r="X1" s="38"/>
      <c r="Y1" s="38"/>
    </row>
    <row r="2" spans="1:25" x14ac:dyDescent="0.3">
      <c r="A2" s="38"/>
      <c r="B2" s="38"/>
      <c r="C2" s="38"/>
      <c r="D2" s="38"/>
      <c r="E2" s="38"/>
      <c r="F2" s="38"/>
      <c r="G2" s="38"/>
      <c r="H2" s="38"/>
      <c r="I2" s="38"/>
      <c r="J2" s="38"/>
      <c r="K2" s="38"/>
      <c r="L2" s="38"/>
      <c r="M2" s="38"/>
      <c r="N2" s="38"/>
      <c r="O2" s="38"/>
      <c r="P2" s="38"/>
      <c r="Q2" s="38"/>
      <c r="R2" s="38"/>
      <c r="S2" s="38"/>
      <c r="T2" s="38"/>
      <c r="U2" s="38"/>
      <c r="V2" s="38"/>
      <c r="W2" s="38"/>
      <c r="X2" s="38"/>
      <c r="Y2" s="38"/>
    </row>
    <row r="3" spans="1:25" x14ac:dyDescent="0.3">
      <c r="A3" s="38"/>
      <c r="B3" s="38"/>
      <c r="C3" s="38"/>
      <c r="D3" s="38"/>
      <c r="E3" s="38"/>
      <c r="F3" s="38"/>
      <c r="G3" s="38"/>
      <c r="H3" s="38"/>
      <c r="I3" s="38"/>
      <c r="J3" s="38"/>
      <c r="K3" s="38"/>
      <c r="L3" s="38"/>
      <c r="M3" s="38"/>
      <c r="N3" s="38"/>
      <c r="O3" s="38"/>
      <c r="P3" s="38"/>
      <c r="Q3" s="38"/>
      <c r="R3" s="38"/>
      <c r="S3" s="38"/>
      <c r="T3" s="38"/>
      <c r="U3" s="38"/>
      <c r="V3" s="38"/>
      <c r="W3" s="38"/>
      <c r="X3" s="38"/>
      <c r="Y3" s="38"/>
    </row>
    <row r="4" spans="1:25" x14ac:dyDescent="0.3">
      <c r="A4" s="38"/>
      <c r="B4" s="38"/>
      <c r="C4" s="38"/>
      <c r="D4" s="38"/>
      <c r="E4" s="38"/>
      <c r="F4" s="38"/>
      <c r="G4" s="38"/>
      <c r="H4" s="38"/>
      <c r="I4" s="38"/>
      <c r="J4" s="38"/>
      <c r="K4" s="38"/>
      <c r="L4" s="38"/>
      <c r="M4" s="38"/>
      <c r="N4" s="38"/>
      <c r="O4" s="38"/>
      <c r="P4" s="38"/>
      <c r="Q4" s="38"/>
      <c r="R4" s="38"/>
      <c r="S4" s="38"/>
      <c r="T4" s="38"/>
      <c r="U4" s="38"/>
      <c r="V4" s="38"/>
      <c r="W4" s="38"/>
      <c r="X4" s="38"/>
      <c r="Y4" s="38"/>
    </row>
    <row r="5" spans="1:25" x14ac:dyDescent="0.3">
      <c r="A5" s="38"/>
      <c r="B5" s="38"/>
      <c r="C5" s="38"/>
      <c r="D5" s="38"/>
      <c r="E5" s="38"/>
      <c r="F5" s="38"/>
      <c r="G5" s="38"/>
      <c r="H5" s="38"/>
      <c r="I5" s="38"/>
      <c r="J5" s="38"/>
      <c r="K5" s="38"/>
      <c r="L5" s="38"/>
      <c r="M5" s="38"/>
      <c r="N5" s="38"/>
      <c r="O5" s="38"/>
      <c r="P5" s="38"/>
      <c r="Q5" s="38"/>
      <c r="R5" s="38"/>
      <c r="S5" s="38"/>
      <c r="T5" s="38"/>
      <c r="U5" s="38"/>
      <c r="V5" s="38"/>
      <c r="W5" s="38"/>
      <c r="X5" s="38"/>
      <c r="Y5" s="38"/>
    </row>
    <row r="6" spans="1:25" x14ac:dyDescent="0.3">
      <c r="A6" s="38"/>
      <c r="B6" s="38"/>
      <c r="C6" s="38"/>
      <c r="D6" s="38"/>
      <c r="E6" s="38"/>
      <c r="F6" s="38"/>
      <c r="G6" s="38"/>
      <c r="H6" s="38"/>
      <c r="I6" s="38"/>
      <c r="J6" s="38"/>
      <c r="K6" s="38"/>
      <c r="L6" s="38"/>
      <c r="M6" s="38"/>
      <c r="N6" s="38"/>
      <c r="O6" s="38"/>
      <c r="P6" s="38"/>
      <c r="Q6" s="38"/>
      <c r="R6" s="38"/>
      <c r="S6" s="38"/>
      <c r="T6" s="38"/>
      <c r="U6" s="38"/>
      <c r="V6" s="38"/>
      <c r="W6" s="38"/>
      <c r="X6" s="38"/>
      <c r="Y6" s="38"/>
    </row>
    <row r="7" spans="1:25" x14ac:dyDescent="0.3">
      <c r="A7" s="38"/>
      <c r="B7" s="38"/>
      <c r="C7" s="38"/>
      <c r="D7" s="38"/>
      <c r="E7" s="38"/>
      <c r="F7" s="38"/>
      <c r="G7" s="38"/>
      <c r="H7" s="38"/>
      <c r="I7" s="38"/>
      <c r="J7" s="38"/>
      <c r="K7" s="38"/>
      <c r="L7" s="38"/>
      <c r="M7" s="38"/>
      <c r="N7" s="38"/>
      <c r="O7" s="38"/>
      <c r="P7" s="38"/>
      <c r="Q7" s="38"/>
      <c r="R7" s="38"/>
      <c r="S7" s="38"/>
      <c r="T7" s="38"/>
      <c r="U7" s="38"/>
      <c r="V7" s="38"/>
      <c r="W7" s="38"/>
      <c r="X7" s="38"/>
      <c r="Y7" s="38"/>
    </row>
    <row r="8" spans="1:25" x14ac:dyDescent="0.3">
      <c r="A8" s="38"/>
      <c r="B8" s="38"/>
      <c r="C8" s="38"/>
      <c r="D8" s="38"/>
      <c r="E8" s="38"/>
      <c r="F8" s="38"/>
      <c r="G8" s="38"/>
      <c r="H8" s="38"/>
      <c r="I8" s="38"/>
      <c r="J8" s="38"/>
      <c r="K8" s="38"/>
      <c r="L8" s="38"/>
      <c r="M8" s="38"/>
      <c r="N8" s="38"/>
      <c r="O8" s="38"/>
      <c r="P8" s="38"/>
      <c r="Q8" s="38"/>
      <c r="R8" s="38"/>
      <c r="S8" s="38"/>
      <c r="T8" s="38"/>
      <c r="U8" s="38"/>
      <c r="V8" s="38"/>
      <c r="W8" s="38"/>
      <c r="X8" s="38"/>
      <c r="Y8" s="38"/>
    </row>
    <row r="9" spans="1:25" x14ac:dyDescent="0.3">
      <c r="A9" s="38"/>
      <c r="B9" s="38"/>
      <c r="C9" s="38"/>
      <c r="D9" s="38"/>
      <c r="E9" s="38"/>
      <c r="F9" s="38"/>
      <c r="G9" s="38"/>
      <c r="H9" s="38"/>
      <c r="I9" s="38"/>
      <c r="J9" s="38"/>
      <c r="K9" s="38"/>
      <c r="L9" s="38"/>
      <c r="M9" s="38"/>
      <c r="N9" s="38"/>
      <c r="O9" s="38"/>
      <c r="P9" s="38"/>
      <c r="Q9" s="38"/>
      <c r="R9" s="38"/>
      <c r="S9" s="38"/>
      <c r="T9" s="38"/>
      <c r="U9" s="38"/>
      <c r="V9" s="38"/>
      <c r="W9" s="38"/>
      <c r="X9" s="38"/>
      <c r="Y9" s="38"/>
    </row>
    <row r="10" spans="1:25"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c r="Y10" s="38"/>
    </row>
    <row r="11" spans="1:25"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c r="Y11" s="38"/>
    </row>
    <row r="12" spans="1:25"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c r="Y12" s="38"/>
    </row>
    <row r="13" spans="1:25"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c r="Y13" s="38"/>
    </row>
    <row r="14" spans="1:25"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c r="Y14" s="38"/>
    </row>
    <row r="15" spans="1:25"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c r="Y15" s="38"/>
    </row>
    <row r="16" spans="1:25"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c r="Y16" s="38"/>
    </row>
    <row r="17" spans="1:25"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c r="Y17" s="38"/>
    </row>
    <row r="18" spans="1:25"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c r="Y18" s="38"/>
    </row>
    <row r="19" spans="1:25"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row>
    <row r="20" spans="1:25"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row>
    <row r="21" spans="1:25"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row>
    <row r="22" spans="1:25"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row>
    <row r="23" spans="1:25"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row>
    <row r="24" spans="1:25"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row>
    <row r="25" spans="1:25"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row>
    <row r="26" spans="1:25"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row>
    <row r="27" spans="1:25"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row>
    <row r="28" spans="1:25"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row>
    <row r="29" spans="1:25"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row>
    <row r="30" spans="1:25"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row>
    <row r="31" spans="1:25"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row>
    <row r="32" spans="1:25"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row>
    <row r="33" spans="1:25"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row>
    <row r="34" spans="1:25"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row>
    <row r="35" spans="1:25"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row>
    <row r="36" spans="1:25"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row>
    <row r="37" spans="1:25"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row>
    <row r="38" spans="1:25"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row>
    <row r="39" spans="1:25"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row>
    <row r="40" spans="1:25"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row>
    <row r="41" spans="1:25"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row>
    <row r="42" spans="1:25"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row>
    <row r="43" spans="1:25"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row>
    <row r="44" spans="1:25"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row>
    <row r="45" spans="1:25"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row>
    <row r="46" spans="1:25"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row>
    <row r="47" spans="1:25"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row>
    <row r="48" spans="1:25"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row>
    <row r="49" spans="1:25"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row>
    <row r="50" spans="1:25"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row>
    <row r="51" spans="1:25"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row>
    <row r="52" spans="1:25"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row>
    <row r="53" spans="1:25"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row>
    <row r="54" spans="1:25"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row>
    <row r="55" spans="1:25"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row>
    <row r="56" spans="1:25"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row>
    <row r="57" spans="1:25"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row>
    <row r="58" spans="1:25"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row>
    <row r="59" spans="1:25"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row>
    <row r="60" spans="1:25"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row>
    <row r="61" spans="1:25"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row>
    <row r="62" spans="1:25"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row>
    <row r="63" spans="1:25"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row>
    <row r="64" spans="1:25"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row>
    <row r="65" spans="1:25"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row>
    <row r="66" spans="1:25"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row>
    <row r="67" spans="1:25"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row>
    <row r="68" spans="1:25"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row>
    <row r="69" spans="1:25"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row>
    <row r="70" spans="1:25"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row>
    <row r="71" spans="1:25"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row>
    <row r="72" spans="1:25"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row>
    <row r="73" spans="1:25"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row>
    <row r="74" spans="1:25"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row>
    <row r="75" spans="1:25"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row>
    <row r="76" spans="1:25"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row>
    <row r="77" spans="1:25"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row>
    <row r="78" spans="1:25"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row>
    <row r="79" spans="1:25"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row>
    <row r="80" spans="1:25"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row>
    <row r="81" spans="1:25"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row>
    <row r="82" spans="1:25"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row>
    <row r="83" spans="1:25"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row>
    <row r="84" spans="1:25"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row>
    <row r="85" spans="1:25"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row>
    <row r="86" spans="1:25"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row>
    <row r="87" spans="1:25"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row>
    <row r="88" spans="1:25"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row>
    <row r="89" spans="1:25"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row>
    <row r="90" spans="1:25"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row>
    <row r="91" spans="1:25"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row>
    <row r="92" spans="1:25"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row>
    <row r="93" spans="1:25"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row>
    <row r="94" spans="1:25"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row>
    <row r="95" spans="1:25"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row>
    <row r="96" spans="1:25"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row>
    <row r="97" spans="1:25"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row>
    <row r="98" spans="1:25"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row>
    <row r="99" spans="1:25"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row>
    <row r="100" spans="1:25"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row>
    <row r="101" spans="1:25"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row>
    <row r="102" spans="1:25"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row>
    <row r="103" spans="1:25"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row>
    <row r="104" spans="1:25"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row>
    <row r="105" spans="1:25"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row>
    <row r="106" spans="1:25"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row>
    <row r="107" spans="1:25"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row>
    <row r="108" spans="1:25"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row>
    <row r="109" spans="1:25"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row>
    <row r="110" spans="1:25"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row>
    <row r="111" spans="1:25"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row>
    <row r="112" spans="1:25"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row>
    <row r="113" spans="1:25"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row>
    <row r="114" spans="1:25"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row>
    <row r="115" spans="1:25"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row>
    <row r="116" spans="1:25"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row>
    <row r="117" spans="1:25"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row>
    <row r="118" spans="1:25"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row>
    <row r="119" spans="1:25"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row>
    <row r="120" spans="1:25"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row>
    <row r="121" spans="1:25"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row>
    <row r="122" spans="1:25"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row>
    <row r="123" spans="1:25"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row>
    <row r="124" spans="1:25"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row>
    <row r="125" spans="1:25"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row>
    <row r="126" spans="1:25"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row>
    <row r="127" spans="1:25"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row>
    <row r="128" spans="1:25"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row>
    <row r="129" spans="1:25"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row>
    <row r="130" spans="1:25"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row>
    <row r="131" spans="1:25"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row>
    <row r="132" spans="1:25"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row>
    <row r="133" spans="1:25"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row>
    <row r="134" spans="1:25"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row>
    <row r="135" spans="1:25"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row>
    <row r="136" spans="1:25"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row>
    <row r="137" spans="1:25"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row>
    <row r="138" spans="1:25"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row>
    <row r="139" spans="1:25"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row>
    <row r="140" spans="1:25"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row>
    <row r="141" spans="1:25"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row>
    <row r="142" spans="1:25"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row>
    <row r="143" spans="1:25"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row>
    <row r="144" spans="1:25"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row>
    <row r="145" spans="1:25"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row>
    <row r="146" spans="1:25"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row>
    <row r="147" spans="1:25"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row>
    <row r="148" spans="1:25"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row>
    <row r="149" spans="1:25"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row>
    <row r="150" spans="1:25"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row>
    <row r="151" spans="1:25"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row>
    <row r="152" spans="1:25"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row>
    <row r="153" spans="1:25"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row>
    <row r="154" spans="1:25"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row>
    <row r="155" spans="1:25"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row>
    <row r="156" spans="1:25"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row>
    <row r="157" spans="1:25"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row>
    <row r="158" spans="1:25"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row>
    <row r="159" spans="1:25"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row>
    <row r="160" spans="1:25"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row>
    <row r="161" spans="1:25"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row>
    <row r="162" spans="1:25"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row>
    <row r="163" spans="1:25"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row>
    <row r="164" spans="1:25"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row>
    <row r="165" spans="1:25"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row>
    <row r="166" spans="1:25"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row>
    <row r="167" spans="1:25"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row>
    <row r="168" spans="1:25"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row>
    <row r="169" spans="1:25"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row>
    <row r="170" spans="1:25"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row>
    <row r="171" spans="1:25"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row>
    <row r="172" spans="1:25"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row>
    <row r="173" spans="1:25"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row>
    <row r="174" spans="1:25"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row>
    <row r="175" spans="1:25"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row>
    <row r="176" spans="1:25"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row>
    <row r="177" spans="1:25"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row>
    <row r="178" spans="1:25"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row>
    <row r="179" spans="1:25"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row>
    <row r="180" spans="1:25"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row>
    <row r="181" spans="1:25"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row>
    <row r="182" spans="1:25"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row>
    <row r="183" spans="1:25"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row>
    <row r="184" spans="1:25"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row>
    <row r="185" spans="1:25"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row>
    <row r="186" spans="1:25"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row>
    <row r="187" spans="1:25"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row>
    <row r="188" spans="1:25"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row>
    <row r="189" spans="1:25"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row>
    <row r="190" spans="1:25"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row>
    <row r="191" spans="1:25"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row>
    <row r="192" spans="1:25"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row>
    <row r="193" spans="1:25"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row>
    <row r="194" spans="1:25"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row>
    <row r="195" spans="1:25"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row>
    <row r="196" spans="1:25"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row>
    <row r="197" spans="1:25"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row>
    <row r="198" spans="1:25"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row>
    <row r="199" spans="1:25"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row>
    <row r="200" spans="1:25"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row>
    <row r="201" spans="1:25"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row>
    <row r="202" spans="1:25"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row>
    <row r="203" spans="1:25"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row>
    <row r="204" spans="1:25"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row>
    <row r="205" spans="1:25"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row>
    <row r="206" spans="1:25"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row>
    <row r="207" spans="1:25"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row>
    <row r="208" spans="1:25"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row>
    <row r="209" spans="1:25"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row>
    <row r="210" spans="1:25"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row>
    <row r="211" spans="1:25"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row>
    <row r="212" spans="1:25"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row>
    <row r="213" spans="1:25"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row>
    <row r="214" spans="1:25"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row>
    <row r="215" spans="1:25"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row>
    <row r="216" spans="1:25"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row>
    <row r="217" spans="1:25"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row>
    <row r="218" spans="1:25"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row>
    <row r="219" spans="1:25"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row>
    <row r="220" spans="1:25"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row>
    <row r="221" spans="1:25"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row>
    <row r="222" spans="1:25"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row>
    <row r="223" spans="1:25"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row>
    <row r="224" spans="1:25"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row>
    <row r="225" spans="1:25"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row>
    <row r="226" spans="1:25"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row>
    <row r="227" spans="1:25"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row>
    <row r="228" spans="1:25"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row>
    <row r="229" spans="1:25"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row>
    <row r="230" spans="1:25"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row>
    <row r="231" spans="1:25"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row>
    <row r="232" spans="1:25"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row>
    <row r="233" spans="1:25"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row>
    <row r="234" spans="1:25"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row>
    <row r="235" spans="1:25"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row>
    <row r="236" spans="1:25"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row>
    <row r="237" spans="1:25"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row>
    <row r="238" spans="1:25"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row>
    <row r="239" spans="1:25"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row>
    <row r="240" spans="1:25"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row>
    <row r="241" spans="1:25"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row>
    <row r="242" spans="1:25"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row>
    <row r="243" spans="1:25"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row>
    <row r="244" spans="1:25"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row>
    <row r="245" spans="1:25"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row>
    <row r="246" spans="1:25"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row>
    <row r="247" spans="1:25"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row>
    <row r="248" spans="1:25"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row>
    <row r="249" spans="1:25"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row>
    <row r="250" spans="1:25"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row>
    <row r="251" spans="1:25"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row>
    <row r="252" spans="1:25"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row>
    <row r="253" spans="1:25"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row>
    <row r="254" spans="1:25"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row>
    <row r="255" spans="1:25"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row>
    <row r="256" spans="1:25"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row>
    <row r="257" spans="1:25"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row>
    <row r="258" spans="1:25"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row>
  </sheetData>
  <mergeCells count="1">
    <mergeCell ref="A1:Y2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6C0FF-41C2-45E7-A796-90EDF815C610}">
  <dimension ref="A1:AN66"/>
  <sheetViews>
    <sheetView topLeftCell="E1" zoomScaleNormal="100" workbookViewId="0">
      <pane ySplit="1" topLeftCell="A34" activePane="bottomLeft" state="frozen"/>
      <selection pane="bottomLeft" activeCell="N64" sqref="N64"/>
    </sheetView>
  </sheetViews>
  <sheetFormatPr defaultRowHeight="14.4" x14ac:dyDescent="0.3"/>
  <cols>
    <col min="1" max="1" width="11.21875" bestFit="1" customWidth="1"/>
    <col min="2" max="2" width="6.88671875" bestFit="1" customWidth="1"/>
    <col min="3" max="3" width="9.77734375" bestFit="1" customWidth="1"/>
    <col min="4" max="4" width="12.109375" bestFit="1" customWidth="1"/>
    <col min="5" max="5" width="10.6640625" bestFit="1" customWidth="1"/>
    <col min="6" max="6" width="21.109375" bestFit="1" customWidth="1"/>
    <col min="7" max="7" width="14.88671875" bestFit="1" customWidth="1"/>
    <col min="8" max="8" width="11.21875" bestFit="1" customWidth="1"/>
    <col min="9" max="9" width="18.6640625" bestFit="1" customWidth="1"/>
    <col min="10" max="10" width="13.5546875" bestFit="1" customWidth="1"/>
    <col min="11" max="11" width="11.21875" bestFit="1" customWidth="1"/>
    <col min="12" max="12" width="12.5546875" bestFit="1" customWidth="1"/>
    <col min="13" max="13" width="20.33203125" bestFit="1" customWidth="1"/>
    <col min="14" max="14" width="24.44140625" bestFit="1" customWidth="1"/>
    <col min="15" max="15" width="11.21875" bestFit="1" customWidth="1"/>
    <col min="16" max="16" width="24.33203125" bestFit="1" customWidth="1"/>
    <col min="17" max="17" width="33.6640625" bestFit="1" customWidth="1"/>
    <col min="18" max="18" width="20.44140625" bestFit="1" customWidth="1"/>
    <col min="19" max="19" width="28" bestFit="1" customWidth="1"/>
    <col min="20" max="21" width="11.21875" bestFit="1" customWidth="1"/>
    <col min="22" max="22" width="22.33203125" bestFit="1" customWidth="1"/>
    <col min="23" max="23" width="11.21875" bestFit="1" customWidth="1"/>
    <col min="24" max="24" width="14.5546875" bestFit="1" customWidth="1"/>
    <col min="25" max="25" width="29" bestFit="1" customWidth="1"/>
    <col min="26" max="26" width="11.21875" bestFit="1" customWidth="1"/>
    <col min="27" max="27" width="29.21875" bestFit="1" customWidth="1"/>
    <col min="28" max="28" width="26.77734375" bestFit="1" customWidth="1"/>
    <col min="29" max="29" width="11.77734375" bestFit="1" customWidth="1"/>
    <col min="30" max="30" width="24.6640625" bestFit="1" customWidth="1"/>
    <col min="31" max="31" width="15.21875" bestFit="1" customWidth="1"/>
    <col min="32" max="32" width="14.77734375" bestFit="1" customWidth="1"/>
    <col min="33" max="33" width="22.21875" bestFit="1" customWidth="1"/>
    <col min="34" max="34" width="25.109375" bestFit="1" customWidth="1"/>
    <col min="35" max="35" width="23.88671875" bestFit="1" customWidth="1"/>
    <col min="36" max="36" width="22.109375" bestFit="1" customWidth="1"/>
    <col min="37" max="37" width="20.21875" bestFit="1" customWidth="1"/>
    <col min="38" max="38" width="16.6640625" bestFit="1" customWidth="1"/>
    <col min="39" max="39" width="15.109375" bestFit="1" customWidth="1"/>
    <col min="40" max="40" width="16.109375" bestFit="1" customWidth="1"/>
  </cols>
  <sheetData>
    <row r="1" spans="1:40" x14ac:dyDescent="0.3">
      <c r="A1" s="22" t="s">
        <v>0</v>
      </c>
      <c r="B1" s="1" t="s">
        <v>1</v>
      </c>
      <c r="C1" s="1" t="s">
        <v>2</v>
      </c>
      <c r="D1" s="1" t="s">
        <v>116</v>
      </c>
      <c r="E1" s="1" t="s">
        <v>147</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76</v>
      </c>
      <c r="AH1" s="1" t="s">
        <v>77</v>
      </c>
      <c r="AI1" s="1" t="s">
        <v>78</v>
      </c>
      <c r="AJ1" s="1" t="s">
        <v>79</v>
      </c>
      <c r="AK1" s="1" t="s">
        <v>81</v>
      </c>
      <c r="AL1" s="1" t="s">
        <v>80</v>
      </c>
      <c r="AM1" s="1" t="s">
        <v>82</v>
      </c>
      <c r="AN1" s="3" t="s">
        <v>75</v>
      </c>
    </row>
    <row r="2" spans="1:40" x14ac:dyDescent="0.3">
      <c r="A2" s="20" t="s">
        <v>33</v>
      </c>
      <c r="B2" s="2">
        <v>2021</v>
      </c>
      <c r="C2" s="2" t="s">
        <v>31</v>
      </c>
      <c r="D2" s="2" t="s">
        <v>123</v>
      </c>
      <c r="E2" s="36">
        <v>86692.515382787504</v>
      </c>
      <c r="F2" s="2">
        <v>144.9</v>
      </c>
      <c r="G2" s="2">
        <v>190.1</v>
      </c>
      <c r="H2" s="2">
        <v>175.3</v>
      </c>
      <c r="I2" s="2">
        <v>154.1</v>
      </c>
      <c r="J2" s="2">
        <v>150.9</v>
      </c>
      <c r="K2" s="2">
        <v>149.6</v>
      </c>
      <c r="L2" s="2">
        <v>194.2</v>
      </c>
      <c r="M2" s="2">
        <v>160.4</v>
      </c>
      <c r="N2" s="2">
        <v>114.6</v>
      </c>
      <c r="O2" s="2">
        <v>164</v>
      </c>
      <c r="P2" s="2">
        <v>151.80000000000001</v>
      </c>
      <c r="Q2" s="2">
        <v>165.6</v>
      </c>
      <c r="R2" s="2">
        <v>161</v>
      </c>
      <c r="S2" s="2">
        <v>186.5</v>
      </c>
      <c r="T2" s="2">
        <v>155.5</v>
      </c>
      <c r="U2" s="2">
        <v>146.1</v>
      </c>
      <c r="V2" s="2">
        <v>154.19999999999999</v>
      </c>
      <c r="W2" s="2">
        <v>157.69999999999999</v>
      </c>
      <c r="X2" s="2">
        <v>147.9</v>
      </c>
      <c r="Y2" s="2">
        <v>150</v>
      </c>
      <c r="Z2" s="2">
        <v>159.30000000000001</v>
      </c>
      <c r="AA2" s="2">
        <v>141.9</v>
      </c>
      <c r="AB2" s="2">
        <v>149.6</v>
      </c>
      <c r="AC2" s="2">
        <v>159.19999999999999</v>
      </c>
      <c r="AD2" s="2">
        <v>156.80000000000001</v>
      </c>
      <c r="AE2" s="2">
        <v>151.9</v>
      </c>
      <c r="AF2" s="2">
        <v>157.30000000000001</v>
      </c>
      <c r="AG2" s="18">
        <v>161.64285714285714</v>
      </c>
      <c r="AH2" s="18">
        <v>153.85</v>
      </c>
      <c r="AI2" s="18">
        <v>154.375</v>
      </c>
      <c r="AJ2" s="18">
        <v>2263</v>
      </c>
      <c r="AK2" s="18">
        <v>307.7</v>
      </c>
      <c r="AL2" s="18">
        <v>301.60000000000002</v>
      </c>
      <c r="AM2" s="18">
        <v>617.5</v>
      </c>
      <c r="AN2" s="25">
        <v>3938.9000000000005</v>
      </c>
    </row>
    <row r="3" spans="1:40" x14ac:dyDescent="0.3">
      <c r="A3" s="21" t="s">
        <v>33</v>
      </c>
      <c r="B3" s="10">
        <v>2021</v>
      </c>
      <c r="C3" s="10" t="s">
        <v>34</v>
      </c>
      <c r="D3" s="10" t="s">
        <v>133</v>
      </c>
      <c r="E3" s="36">
        <v>87441.416368947481</v>
      </c>
      <c r="F3" s="10">
        <v>144.30000000000001</v>
      </c>
      <c r="G3" s="10">
        <v>186.5</v>
      </c>
      <c r="H3" s="10">
        <v>168.7</v>
      </c>
      <c r="I3" s="10">
        <v>154.69999999999999</v>
      </c>
      <c r="J3" s="10">
        <v>158.69999999999999</v>
      </c>
      <c r="K3" s="10">
        <v>150.69999999999999</v>
      </c>
      <c r="L3" s="10">
        <v>160</v>
      </c>
      <c r="M3" s="10">
        <v>158.80000000000001</v>
      </c>
      <c r="N3" s="10">
        <v>112.8</v>
      </c>
      <c r="O3" s="10">
        <v>164.2</v>
      </c>
      <c r="P3" s="10">
        <v>155.5</v>
      </c>
      <c r="Q3" s="10">
        <v>167.5</v>
      </c>
      <c r="R3" s="10">
        <v>156.9</v>
      </c>
      <c r="S3" s="10">
        <v>188.3</v>
      </c>
      <c r="T3" s="10">
        <v>157.19999999999999</v>
      </c>
      <c r="U3" s="10">
        <v>147.4</v>
      </c>
      <c r="V3" s="10">
        <v>155.80000000000001</v>
      </c>
      <c r="W3" s="10">
        <v>159.80000000000001</v>
      </c>
      <c r="X3" s="10">
        <v>152.4</v>
      </c>
      <c r="Y3" s="10">
        <v>150.9</v>
      </c>
      <c r="Z3" s="10">
        <v>161.30000000000001</v>
      </c>
      <c r="AA3" s="10">
        <v>145.1</v>
      </c>
      <c r="AB3" s="10">
        <v>151.5</v>
      </c>
      <c r="AC3" s="10">
        <v>159.5</v>
      </c>
      <c r="AD3" s="10">
        <v>155.80000000000001</v>
      </c>
      <c r="AE3" s="10">
        <v>153.4</v>
      </c>
      <c r="AF3" s="10">
        <v>156.6</v>
      </c>
      <c r="AG3" s="23">
        <v>159.11428571428573</v>
      </c>
      <c r="AH3" s="23">
        <v>155.35000000000002</v>
      </c>
      <c r="AI3" s="23">
        <v>155.05000000000001</v>
      </c>
      <c r="AJ3" s="23">
        <v>2227.6000000000004</v>
      </c>
      <c r="AK3" s="23">
        <v>310.70000000000005</v>
      </c>
      <c r="AL3" s="23">
        <v>304.60000000000002</v>
      </c>
      <c r="AM3" s="23">
        <v>620.20000000000005</v>
      </c>
      <c r="AN3" s="24">
        <v>3921.9000000000005</v>
      </c>
    </row>
    <row r="4" spans="1:40" x14ac:dyDescent="0.3">
      <c r="A4" s="20" t="s">
        <v>33</v>
      </c>
      <c r="B4" s="2">
        <v>2021</v>
      </c>
      <c r="C4" s="2" t="s">
        <v>35</v>
      </c>
      <c r="D4" s="2" t="s">
        <v>134</v>
      </c>
      <c r="E4" s="36">
        <v>113228.86524779514</v>
      </c>
      <c r="F4" s="2">
        <v>144.1</v>
      </c>
      <c r="G4" s="2">
        <v>192.2</v>
      </c>
      <c r="H4" s="2">
        <v>163.80000000000001</v>
      </c>
      <c r="I4" s="2">
        <v>154.9</v>
      </c>
      <c r="J4" s="2">
        <v>163.9</v>
      </c>
      <c r="K4" s="2">
        <v>153.69999999999999</v>
      </c>
      <c r="L4" s="2">
        <v>149.5</v>
      </c>
      <c r="M4" s="2">
        <v>159.80000000000001</v>
      </c>
      <c r="N4" s="2">
        <v>112.6</v>
      </c>
      <c r="O4" s="2">
        <v>163.5</v>
      </c>
      <c r="P4" s="2">
        <v>156.5</v>
      </c>
      <c r="Q4" s="2">
        <v>168.2</v>
      </c>
      <c r="R4" s="2">
        <v>156.69999999999999</v>
      </c>
      <c r="S4" s="2">
        <v>188.1</v>
      </c>
      <c r="T4" s="2">
        <v>157.80000000000001</v>
      </c>
      <c r="U4" s="2">
        <v>147.9</v>
      </c>
      <c r="V4" s="2">
        <v>156.4</v>
      </c>
      <c r="W4" s="2">
        <v>159.9</v>
      </c>
      <c r="X4" s="2">
        <v>155.5</v>
      </c>
      <c r="Y4" s="2">
        <v>151.19999999999999</v>
      </c>
      <c r="Z4" s="2">
        <v>161.69999999999999</v>
      </c>
      <c r="AA4" s="2">
        <v>146.19999999999999</v>
      </c>
      <c r="AB4" s="2">
        <v>152.6</v>
      </c>
      <c r="AC4" s="2">
        <v>160.19999999999999</v>
      </c>
      <c r="AD4" s="2">
        <v>153.80000000000001</v>
      </c>
      <c r="AE4" s="2">
        <v>153.80000000000001</v>
      </c>
      <c r="AF4" s="2">
        <v>156.80000000000001</v>
      </c>
      <c r="AG4" s="18">
        <v>159.10714285714286</v>
      </c>
      <c r="AH4" s="18">
        <v>155.55000000000001</v>
      </c>
      <c r="AI4" s="18">
        <v>155.1</v>
      </c>
      <c r="AJ4" s="18">
        <v>2227.5</v>
      </c>
      <c r="AK4" s="18">
        <v>311.10000000000002</v>
      </c>
      <c r="AL4" s="18">
        <v>305.70000000000005</v>
      </c>
      <c r="AM4" s="18">
        <v>620.4</v>
      </c>
      <c r="AN4" s="25">
        <v>3928.0999999999995</v>
      </c>
    </row>
    <row r="5" spans="1:40" x14ac:dyDescent="0.3">
      <c r="A5" s="21" t="s">
        <v>33</v>
      </c>
      <c r="B5" s="10">
        <v>2021</v>
      </c>
      <c r="C5" s="10" t="s">
        <v>36</v>
      </c>
      <c r="D5" s="10" t="s">
        <v>135</v>
      </c>
      <c r="E5" s="36">
        <v>63309.498622749867</v>
      </c>
      <c r="F5" s="10">
        <v>144.30000000000001</v>
      </c>
      <c r="G5" s="10">
        <v>198</v>
      </c>
      <c r="H5" s="10">
        <v>164.6</v>
      </c>
      <c r="I5" s="10">
        <v>155.4</v>
      </c>
      <c r="J5" s="10">
        <v>170.1</v>
      </c>
      <c r="K5" s="10">
        <v>164.4</v>
      </c>
      <c r="L5" s="10">
        <v>144.1</v>
      </c>
      <c r="M5" s="10">
        <v>161.69999999999999</v>
      </c>
      <c r="N5" s="10">
        <v>113.1</v>
      </c>
      <c r="O5" s="10">
        <v>163.9</v>
      </c>
      <c r="P5" s="10">
        <v>157.6</v>
      </c>
      <c r="Q5" s="10">
        <v>168.9</v>
      </c>
      <c r="R5" s="10">
        <v>158</v>
      </c>
      <c r="S5" s="10">
        <v>188.8</v>
      </c>
      <c r="T5" s="10">
        <v>158.80000000000001</v>
      </c>
      <c r="U5" s="10">
        <v>148.5</v>
      </c>
      <c r="V5" s="10">
        <v>157.30000000000001</v>
      </c>
      <c r="W5" s="10">
        <v>161.4</v>
      </c>
      <c r="X5" s="10">
        <v>155.6</v>
      </c>
      <c r="Y5" s="10">
        <v>151.80000000000001</v>
      </c>
      <c r="Z5" s="10">
        <v>162.30000000000001</v>
      </c>
      <c r="AA5" s="10">
        <v>146.6</v>
      </c>
      <c r="AB5" s="10">
        <v>153.19999999999999</v>
      </c>
      <c r="AC5" s="10">
        <v>160.30000000000001</v>
      </c>
      <c r="AD5" s="10">
        <v>155.4</v>
      </c>
      <c r="AE5" s="10">
        <v>154.4</v>
      </c>
      <c r="AF5" s="10">
        <v>157.80000000000001</v>
      </c>
      <c r="AG5" s="23">
        <v>160.92142857142858</v>
      </c>
      <c r="AH5" s="23">
        <v>156.60000000000002</v>
      </c>
      <c r="AI5" s="23">
        <v>155.82499999999999</v>
      </c>
      <c r="AJ5" s="23">
        <v>2252.9</v>
      </c>
      <c r="AK5" s="23">
        <v>313.20000000000005</v>
      </c>
      <c r="AL5" s="23">
        <v>307.3</v>
      </c>
      <c r="AM5" s="23">
        <v>623.29999999999995</v>
      </c>
      <c r="AN5" s="24">
        <v>3961.2</v>
      </c>
    </row>
    <row r="6" spans="1:40" x14ac:dyDescent="0.3">
      <c r="A6" s="20" t="s">
        <v>33</v>
      </c>
      <c r="B6" s="2">
        <v>2021</v>
      </c>
      <c r="C6" s="2" t="s">
        <v>37</v>
      </c>
      <c r="D6" s="2" t="s">
        <v>136</v>
      </c>
      <c r="E6" s="36">
        <v>60800.383481587211</v>
      </c>
      <c r="F6" s="2">
        <v>146.30000000000001</v>
      </c>
      <c r="G6" s="2">
        <v>200.5</v>
      </c>
      <c r="H6" s="2">
        <v>170.3</v>
      </c>
      <c r="I6" s="2">
        <v>156.1</v>
      </c>
      <c r="J6" s="2">
        <v>178.7</v>
      </c>
      <c r="K6" s="2">
        <v>167.1</v>
      </c>
      <c r="L6" s="2">
        <v>147.9</v>
      </c>
      <c r="M6" s="2">
        <v>165.4</v>
      </c>
      <c r="N6" s="2">
        <v>114.8</v>
      </c>
      <c r="O6" s="2">
        <v>168.2</v>
      </c>
      <c r="P6" s="2">
        <v>159.30000000000001</v>
      </c>
      <c r="Q6" s="2">
        <v>170.4</v>
      </c>
      <c r="R6" s="2">
        <v>160.69999999999999</v>
      </c>
      <c r="S6" s="2">
        <v>191.9</v>
      </c>
      <c r="T6" s="2">
        <v>161.80000000000001</v>
      </c>
      <c r="U6" s="2">
        <v>152.1</v>
      </c>
      <c r="V6" s="2">
        <v>160.4</v>
      </c>
      <c r="W6" s="2">
        <v>161.6</v>
      </c>
      <c r="X6" s="2">
        <v>159.4</v>
      </c>
      <c r="Y6" s="2">
        <v>154.69999999999999</v>
      </c>
      <c r="Z6" s="2">
        <v>165.8</v>
      </c>
      <c r="AA6" s="2">
        <v>148.9</v>
      </c>
      <c r="AB6" s="2">
        <v>155.80000000000001</v>
      </c>
      <c r="AC6" s="2">
        <v>161.19999999999999</v>
      </c>
      <c r="AD6" s="2">
        <v>158.6</v>
      </c>
      <c r="AE6" s="2">
        <v>156.80000000000001</v>
      </c>
      <c r="AF6" s="2">
        <v>160.4</v>
      </c>
      <c r="AG6" s="18">
        <v>164.11428571428573</v>
      </c>
      <c r="AH6" s="18">
        <v>158.14999999999998</v>
      </c>
      <c r="AI6" s="18">
        <v>158.1</v>
      </c>
      <c r="AJ6" s="18">
        <v>2297.6000000000004</v>
      </c>
      <c r="AK6" s="18">
        <v>316.29999999999995</v>
      </c>
      <c r="AL6" s="18">
        <v>313.89999999999998</v>
      </c>
      <c r="AM6" s="18">
        <v>632.4</v>
      </c>
      <c r="AN6" s="25">
        <v>4034.3000000000006</v>
      </c>
    </row>
    <row r="7" spans="1:40" x14ac:dyDescent="0.3">
      <c r="A7" s="21" t="s">
        <v>33</v>
      </c>
      <c r="B7" s="10">
        <v>2021</v>
      </c>
      <c r="C7" s="10" t="s">
        <v>38</v>
      </c>
      <c r="D7" s="10" t="s">
        <v>137</v>
      </c>
      <c r="E7" s="36">
        <v>61073.298999169296</v>
      </c>
      <c r="F7" s="10">
        <v>146.69999999999999</v>
      </c>
      <c r="G7" s="10">
        <v>202</v>
      </c>
      <c r="H7" s="10">
        <v>180.7</v>
      </c>
      <c r="I7" s="10">
        <v>156.19999999999999</v>
      </c>
      <c r="J7" s="10">
        <v>183.7</v>
      </c>
      <c r="K7" s="10">
        <v>164.6</v>
      </c>
      <c r="L7" s="10">
        <v>155.4</v>
      </c>
      <c r="M7" s="10">
        <v>166</v>
      </c>
      <c r="N7" s="10">
        <v>115.1</v>
      </c>
      <c r="O7" s="10">
        <v>168.5</v>
      </c>
      <c r="P7" s="10">
        <v>160</v>
      </c>
      <c r="Q7" s="10">
        <v>172.4</v>
      </c>
      <c r="R7" s="10">
        <v>162.6</v>
      </c>
      <c r="S7" s="10">
        <v>190.8</v>
      </c>
      <c r="T7" s="10">
        <v>162.19999999999999</v>
      </c>
      <c r="U7" s="10">
        <v>151.80000000000001</v>
      </c>
      <c r="V7" s="10">
        <v>160.69999999999999</v>
      </c>
      <c r="W7" s="10">
        <v>160.5</v>
      </c>
      <c r="X7" s="10">
        <v>159.80000000000001</v>
      </c>
      <c r="Y7" s="10">
        <v>154.80000000000001</v>
      </c>
      <c r="Z7" s="10">
        <v>166.3</v>
      </c>
      <c r="AA7" s="10">
        <v>150.69999999999999</v>
      </c>
      <c r="AB7" s="10">
        <v>154.9</v>
      </c>
      <c r="AC7" s="10">
        <v>161.69999999999999</v>
      </c>
      <c r="AD7" s="10">
        <v>158.80000000000001</v>
      </c>
      <c r="AE7" s="10">
        <v>157.6</v>
      </c>
      <c r="AF7" s="10">
        <v>161.30000000000001</v>
      </c>
      <c r="AG7" s="23">
        <v>166.05</v>
      </c>
      <c r="AH7" s="23">
        <v>157.65</v>
      </c>
      <c r="AI7" s="23">
        <v>158.25</v>
      </c>
      <c r="AJ7" s="23">
        <v>2324.7000000000003</v>
      </c>
      <c r="AK7" s="23">
        <v>315.3</v>
      </c>
      <c r="AL7" s="23">
        <v>314</v>
      </c>
      <c r="AM7" s="23">
        <v>633</v>
      </c>
      <c r="AN7" s="24">
        <v>4063.8</v>
      </c>
    </row>
    <row r="8" spans="1:40" x14ac:dyDescent="0.3">
      <c r="A8" s="20" t="s">
        <v>33</v>
      </c>
      <c r="B8" s="2">
        <v>2021</v>
      </c>
      <c r="C8" s="2" t="s">
        <v>39</v>
      </c>
      <c r="D8" s="2" t="s">
        <v>138</v>
      </c>
      <c r="E8" s="36">
        <v>59460.950438057756</v>
      </c>
      <c r="F8" s="2">
        <v>146.4</v>
      </c>
      <c r="G8" s="2">
        <v>206.8</v>
      </c>
      <c r="H8" s="2">
        <v>182.2</v>
      </c>
      <c r="I8" s="2">
        <v>157.5</v>
      </c>
      <c r="J8" s="2">
        <v>182.1</v>
      </c>
      <c r="K8" s="2">
        <v>163.9</v>
      </c>
      <c r="L8" s="2">
        <v>164.2</v>
      </c>
      <c r="M8" s="2">
        <v>164</v>
      </c>
      <c r="N8" s="2">
        <v>114.5</v>
      </c>
      <c r="O8" s="2">
        <v>168.3</v>
      </c>
      <c r="P8" s="2">
        <v>160.9</v>
      </c>
      <c r="Q8" s="2">
        <v>172.2</v>
      </c>
      <c r="R8" s="2">
        <v>164</v>
      </c>
      <c r="S8" s="2">
        <v>191.2</v>
      </c>
      <c r="T8" s="2">
        <v>162.80000000000001</v>
      </c>
      <c r="U8" s="2">
        <v>153.1</v>
      </c>
      <c r="V8" s="2">
        <v>161.4</v>
      </c>
      <c r="W8" s="2">
        <v>161.5</v>
      </c>
      <c r="X8" s="2">
        <v>160.69999999999999</v>
      </c>
      <c r="Y8" s="2">
        <v>155.80000000000001</v>
      </c>
      <c r="Z8" s="2">
        <v>167</v>
      </c>
      <c r="AA8" s="2">
        <v>153.1</v>
      </c>
      <c r="AB8" s="2">
        <v>155.30000000000001</v>
      </c>
      <c r="AC8" s="2">
        <v>163.19999999999999</v>
      </c>
      <c r="AD8" s="2">
        <v>160.1</v>
      </c>
      <c r="AE8" s="2">
        <v>159</v>
      </c>
      <c r="AF8" s="2">
        <v>162.5</v>
      </c>
      <c r="AG8" s="18">
        <v>167.01428571428571</v>
      </c>
      <c r="AH8" s="18">
        <v>158.65</v>
      </c>
      <c r="AI8" s="18">
        <v>159.4</v>
      </c>
      <c r="AJ8" s="18">
        <v>2338.1999999999998</v>
      </c>
      <c r="AK8" s="18">
        <v>317.3</v>
      </c>
      <c r="AL8" s="18">
        <v>315.89999999999998</v>
      </c>
      <c r="AM8" s="18">
        <v>637.6</v>
      </c>
      <c r="AN8" s="25">
        <v>4089.7999999999997</v>
      </c>
    </row>
    <row r="9" spans="1:40" x14ac:dyDescent="0.3">
      <c r="A9" s="21" t="s">
        <v>33</v>
      </c>
      <c r="B9" s="10">
        <v>2021</v>
      </c>
      <c r="C9" s="10" t="s">
        <v>40</v>
      </c>
      <c r="D9" s="10" t="s">
        <v>139</v>
      </c>
      <c r="E9" s="36">
        <v>67310.659830633638</v>
      </c>
      <c r="F9" s="10">
        <v>146.6</v>
      </c>
      <c r="G9" s="10">
        <v>204</v>
      </c>
      <c r="H9" s="10">
        <v>172.8</v>
      </c>
      <c r="I9" s="10">
        <v>158.4</v>
      </c>
      <c r="J9" s="10">
        <v>188</v>
      </c>
      <c r="K9" s="10">
        <v>156.80000000000001</v>
      </c>
      <c r="L9" s="10">
        <v>162.19999999999999</v>
      </c>
      <c r="M9" s="10">
        <v>164.1</v>
      </c>
      <c r="N9" s="10">
        <v>119.7</v>
      </c>
      <c r="O9" s="10">
        <v>168.8</v>
      </c>
      <c r="P9" s="10">
        <v>162.69999999999999</v>
      </c>
      <c r="Q9" s="10">
        <v>173.9</v>
      </c>
      <c r="R9" s="10">
        <v>164</v>
      </c>
      <c r="S9" s="10">
        <v>192.1</v>
      </c>
      <c r="T9" s="10">
        <v>164.5</v>
      </c>
      <c r="U9" s="10">
        <v>155.30000000000001</v>
      </c>
      <c r="V9" s="10">
        <v>163.19999999999999</v>
      </c>
      <c r="W9" s="10">
        <v>162.1</v>
      </c>
      <c r="X9" s="10">
        <v>162.6</v>
      </c>
      <c r="Y9" s="10">
        <v>157.5</v>
      </c>
      <c r="Z9" s="10">
        <v>168.4</v>
      </c>
      <c r="AA9" s="10">
        <v>154</v>
      </c>
      <c r="AB9" s="10">
        <v>157.6</v>
      </c>
      <c r="AC9" s="10">
        <v>163.80000000000001</v>
      </c>
      <c r="AD9" s="10">
        <v>160</v>
      </c>
      <c r="AE9" s="10">
        <v>160</v>
      </c>
      <c r="AF9" s="10">
        <v>163.19999999999999</v>
      </c>
      <c r="AG9" s="23">
        <v>166.72142857142856</v>
      </c>
      <c r="AH9" s="23">
        <v>159.80000000000001</v>
      </c>
      <c r="AI9" s="23">
        <v>160.35</v>
      </c>
      <c r="AJ9" s="23">
        <v>2334.1</v>
      </c>
      <c r="AK9" s="23">
        <v>319.60000000000002</v>
      </c>
      <c r="AL9" s="23">
        <v>319.8</v>
      </c>
      <c r="AM9" s="23">
        <v>641.4</v>
      </c>
      <c r="AN9" s="24">
        <v>4099.9000000000005</v>
      </c>
    </row>
    <row r="10" spans="1:40" x14ac:dyDescent="0.3">
      <c r="A10" s="20" t="s">
        <v>33</v>
      </c>
      <c r="B10" s="2">
        <v>2021</v>
      </c>
      <c r="C10" s="2" t="s">
        <v>41</v>
      </c>
      <c r="D10" s="2" t="s">
        <v>140</v>
      </c>
      <c r="E10" s="36">
        <v>69109.876194440018</v>
      </c>
      <c r="F10" s="2">
        <v>146.6</v>
      </c>
      <c r="G10" s="2">
        <v>204</v>
      </c>
      <c r="H10" s="2">
        <v>172.8</v>
      </c>
      <c r="I10" s="2">
        <v>158.4</v>
      </c>
      <c r="J10" s="2">
        <v>188</v>
      </c>
      <c r="K10" s="2">
        <v>156.69999999999999</v>
      </c>
      <c r="L10" s="2">
        <v>162.30000000000001</v>
      </c>
      <c r="M10" s="2">
        <v>164.1</v>
      </c>
      <c r="N10" s="2">
        <v>119.7</v>
      </c>
      <c r="O10" s="2">
        <v>168.8</v>
      </c>
      <c r="P10" s="2">
        <v>162.69999999999999</v>
      </c>
      <c r="Q10" s="2">
        <v>173.9</v>
      </c>
      <c r="R10" s="2">
        <v>164</v>
      </c>
      <c r="S10" s="2">
        <v>192.1</v>
      </c>
      <c r="T10" s="2">
        <v>164.6</v>
      </c>
      <c r="U10" s="2">
        <v>155.30000000000001</v>
      </c>
      <c r="V10" s="2">
        <v>163.30000000000001</v>
      </c>
      <c r="W10" s="2">
        <v>162.1</v>
      </c>
      <c r="X10" s="2">
        <v>162.6</v>
      </c>
      <c r="Y10" s="2">
        <v>157.5</v>
      </c>
      <c r="Z10" s="2">
        <v>168.4</v>
      </c>
      <c r="AA10" s="2">
        <v>154</v>
      </c>
      <c r="AB10" s="2">
        <v>157.69999999999999</v>
      </c>
      <c r="AC10" s="2">
        <v>163.69999999999999</v>
      </c>
      <c r="AD10" s="2">
        <v>160</v>
      </c>
      <c r="AE10" s="2">
        <v>160</v>
      </c>
      <c r="AF10" s="2">
        <v>163.19999999999999</v>
      </c>
      <c r="AG10" s="18">
        <v>166.72142857142856</v>
      </c>
      <c r="AH10" s="18">
        <v>159.80000000000001</v>
      </c>
      <c r="AI10" s="18">
        <v>160.35</v>
      </c>
      <c r="AJ10" s="18">
        <v>2334.1</v>
      </c>
      <c r="AK10" s="18">
        <v>319.60000000000002</v>
      </c>
      <c r="AL10" s="18">
        <v>319.89999999999998</v>
      </c>
      <c r="AM10" s="18">
        <v>641.4</v>
      </c>
      <c r="AN10" s="25">
        <v>4100</v>
      </c>
    </row>
    <row r="11" spans="1:40" x14ac:dyDescent="0.3">
      <c r="A11" s="21" t="s">
        <v>33</v>
      </c>
      <c r="B11" s="10">
        <v>2021</v>
      </c>
      <c r="C11" s="10" t="s">
        <v>42</v>
      </c>
      <c r="D11" s="10" t="s">
        <v>141</v>
      </c>
      <c r="E11" s="36">
        <v>72054.19693085934</v>
      </c>
      <c r="F11" s="10">
        <v>147.4</v>
      </c>
      <c r="G11" s="10">
        <v>204.6</v>
      </c>
      <c r="H11" s="10">
        <v>171.2</v>
      </c>
      <c r="I11" s="10">
        <v>158.69999999999999</v>
      </c>
      <c r="J11" s="10">
        <v>190.6</v>
      </c>
      <c r="K11" s="10">
        <v>155.69999999999999</v>
      </c>
      <c r="L11" s="10">
        <v>185.3</v>
      </c>
      <c r="M11" s="10">
        <v>165.2</v>
      </c>
      <c r="N11" s="10">
        <v>121.9</v>
      </c>
      <c r="O11" s="10">
        <v>169.3</v>
      </c>
      <c r="P11" s="10">
        <v>163.19999999999999</v>
      </c>
      <c r="Q11" s="10">
        <v>174.7</v>
      </c>
      <c r="R11" s="10">
        <v>167.7</v>
      </c>
      <c r="S11" s="10">
        <v>192.7</v>
      </c>
      <c r="T11" s="10">
        <v>165.7</v>
      </c>
      <c r="U11" s="10">
        <v>156.30000000000001</v>
      </c>
      <c r="V11" s="10">
        <v>164.3</v>
      </c>
      <c r="W11" s="10">
        <v>163.6</v>
      </c>
      <c r="X11" s="10">
        <v>164.2</v>
      </c>
      <c r="Y11" s="10">
        <v>158.4</v>
      </c>
      <c r="Z11" s="10">
        <v>169.1</v>
      </c>
      <c r="AA11" s="10">
        <v>155.69999999999999</v>
      </c>
      <c r="AB11" s="10">
        <v>158.6</v>
      </c>
      <c r="AC11" s="10">
        <v>163.9</v>
      </c>
      <c r="AD11" s="10">
        <v>160.80000000000001</v>
      </c>
      <c r="AE11" s="10">
        <v>161</v>
      </c>
      <c r="AF11" s="10">
        <v>165.5</v>
      </c>
      <c r="AG11" s="23">
        <v>169.15714285714284</v>
      </c>
      <c r="AH11" s="23">
        <v>161</v>
      </c>
      <c r="AI11" s="23">
        <v>161.07500000000002</v>
      </c>
      <c r="AJ11" s="23">
        <v>2368.1999999999998</v>
      </c>
      <c r="AK11" s="23">
        <v>322</v>
      </c>
      <c r="AL11" s="23">
        <v>322</v>
      </c>
      <c r="AM11" s="23">
        <v>644.30000000000007</v>
      </c>
      <c r="AN11" s="24">
        <v>4145.5</v>
      </c>
    </row>
    <row r="12" spans="1:40" x14ac:dyDescent="0.3">
      <c r="A12" s="20" t="s">
        <v>33</v>
      </c>
      <c r="B12" s="2">
        <v>2021</v>
      </c>
      <c r="C12" s="2" t="s">
        <v>44</v>
      </c>
      <c r="D12" s="2" t="s">
        <v>142</v>
      </c>
      <c r="E12" s="36">
        <v>79009.388695268004</v>
      </c>
      <c r="F12" s="2">
        <v>148.19999999999999</v>
      </c>
      <c r="G12" s="2">
        <v>201.6</v>
      </c>
      <c r="H12" s="2">
        <v>173</v>
      </c>
      <c r="I12" s="2">
        <v>159.30000000000001</v>
      </c>
      <c r="J12" s="2">
        <v>190.1</v>
      </c>
      <c r="K12" s="2">
        <v>156.5</v>
      </c>
      <c r="L12" s="2">
        <v>199.2</v>
      </c>
      <c r="M12" s="2">
        <v>165.3</v>
      </c>
      <c r="N12" s="2">
        <v>122.4</v>
      </c>
      <c r="O12" s="2">
        <v>169.6</v>
      </c>
      <c r="P12" s="2">
        <v>163.69999999999999</v>
      </c>
      <c r="Q12" s="2">
        <v>175.5</v>
      </c>
      <c r="R12" s="2">
        <v>169.7</v>
      </c>
      <c r="S12" s="2">
        <v>192.9</v>
      </c>
      <c r="T12" s="2">
        <v>167.2</v>
      </c>
      <c r="U12" s="2">
        <v>157.4</v>
      </c>
      <c r="V12" s="2">
        <v>165.8</v>
      </c>
      <c r="W12" s="2">
        <v>164.2</v>
      </c>
      <c r="X12" s="2">
        <v>163.9</v>
      </c>
      <c r="Y12" s="2">
        <v>159.30000000000001</v>
      </c>
      <c r="Z12" s="2">
        <v>169.9</v>
      </c>
      <c r="AA12" s="2">
        <v>154.80000000000001</v>
      </c>
      <c r="AB12" s="2">
        <v>159.80000000000001</v>
      </c>
      <c r="AC12" s="2">
        <v>164.3</v>
      </c>
      <c r="AD12" s="2">
        <v>162.19999999999999</v>
      </c>
      <c r="AE12" s="2">
        <v>161.4</v>
      </c>
      <c r="AF12" s="2">
        <v>166.7</v>
      </c>
      <c r="AG12" s="18">
        <v>170.5</v>
      </c>
      <c r="AH12" s="18">
        <v>161.75</v>
      </c>
      <c r="AI12" s="18">
        <v>161.92500000000001</v>
      </c>
      <c r="AJ12" s="18">
        <v>2387</v>
      </c>
      <c r="AK12" s="18">
        <v>323.5</v>
      </c>
      <c r="AL12" s="18">
        <v>324.60000000000002</v>
      </c>
      <c r="AM12" s="18">
        <v>647.70000000000005</v>
      </c>
      <c r="AN12" s="25">
        <v>4171.4000000000005</v>
      </c>
    </row>
    <row r="13" spans="1:40" x14ac:dyDescent="0.3">
      <c r="A13" s="21" t="s">
        <v>33</v>
      </c>
      <c r="B13" s="10">
        <v>2021</v>
      </c>
      <c r="C13" s="10" t="s">
        <v>45</v>
      </c>
      <c r="D13" s="10" t="s">
        <v>124</v>
      </c>
      <c r="E13" s="36">
        <v>81771.141778992853</v>
      </c>
      <c r="F13" s="10">
        <v>148.69999999999999</v>
      </c>
      <c r="G13" s="10">
        <v>198.8</v>
      </c>
      <c r="H13" s="10">
        <v>177.9</v>
      </c>
      <c r="I13" s="10">
        <v>159.9</v>
      </c>
      <c r="J13" s="10">
        <v>187.6</v>
      </c>
      <c r="K13" s="10">
        <v>154.9</v>
      </c>
      <c r="L13" s="10">
        <v>188.3</v>
      </c>
      <c r="M13" s="10">
        <v>164.4</v>
      </c>
      <c r="N13" s="10">
        <v>121</v>
      </c>
      <c r="O13" s="10">
        <v>170.5</v>
      </c>
      <c r="P13" s="10">
        <v>164.2</v>
      </c>
      <c r="Q13" s="10">
        <v>176.5</v>
      </c>
      <c r="R13" s="10">
        <v>168.2</v>
      </c>
      <c r="S13" s="10">
        <v>192.4</v>
      </c>
      <c r="T13" s="10">
        <v>168.5</v>
      </c>
      <c r="U13" s="10">
        <v>158.69999999999999</v>
      </c>
      <c r="V13" s="10">
        <v>167</v>
      </c>
      <c r="W13" s="10">
        <v>163.4</v>
      </c>
      <c r="X13" s="10">
        <v>164.1</v>
      </c>
      <c r="Y13" s="10">
        <v>160.19999999999999</v>
      </c>
      <c r="Z13" s="10">
        <v>170.6</v>
      </c>
      <c r="AA13" s="10">
        <v>155.69999999999999</v>
      </c>
      <c r="AB13" s="10">
        <v>160.6</v>
      </c>
      <c r="AC13" s="10">
        <v>164.4</v>
      </c>
      <c r="AD13" s="10">
        <v>162.6</v>
      </c>
      <c r="AE13" s="10">
        <v>162</v>
      </c>
      <c r="AF13" s="10">
        <v>166.2</v>
      </c>
      <c r="AG13" s="23">
        <v>169.52142857142857</v>
      </c>
      <c r="AH13" s="23">
        <v>161.80000000000001</v>
      </c>
      <c r="AI13" s="23">
        <v>162.4</v>
      </c>
      <c r="AJ13" s="23">
        <v>2373.3000000000002</v>
      </c>
      <c r="AK13" s="23">
        <v>323.60000000000002</v>
      </c>
      <c r="AL13" s="23">
        <v>327.2</v>
      </c>
      <c r="AM13" s="23">
        <v>649.6</v>
      </c>
      <c r="AN13" s="24">
        <v>4164.1000000000004</v>
      </c>
    </row>
    <row r="14" spans="1:40" x14ac:dyDescent="0.3">
      <c r="A14" s="20" t="s">
        <v>33</v>
      </c>
      <c r="B14" s="2">
        <v>2022</v>
      </c>
      <c r="C14" s="2" t="s">
        <v>31</v>
      </c>
      <c r="D14" s="2" t="s">
        <v>125</v>
      </c>
      <c r="E14" s="35">
        <v>92441.854830099124</v>
      </c>
      <c r="F14" s="2">
        <v>149.5</v>
      </c>
      <c r="G14" s="2">
        <v>198.7</v>
      </c>
      <c r="H14" s="2">
        <v>178.8</v>
      </c>
      <c r="I14" s="2">
        <v>160.5</v>
      </c>
      <c r="J14" s="2">
        <v>184.7</v>
      </c>
      <c r="K14" s="2">
        <v>153.69999999999999</v>
      </c>
      <c r="L14" s="2">
        <v>174.3</v>
      </c>
      <c r="M14" s="2">
        <v>163.9</v>
      </c>
      <c r="N14" s="2">
        <v>120</v>
      </c>
      <c r="O14" s="2">
        <v>172.1</v>
      </c>
      <c r="P14" s="2">
        <v>164.3</v>
      </c>
      <c r="Q14" s="2">
        <v>177.3</v>
      </c>
      <c r="R14" s="2">
        <v>166.4</v>
      </c>
      <c r="S14" s="2">
        <v>192.2</v>
      </c>
      <c r="T14" s="2">
        <v>169.9</v>
      </c>
      <c r="U14" s="2">
        <v>160.69999999999999</v>
      </c>
      <c r="V14" s="2">
        <v>168.5</v>
      </c>
      <c r="W14" s="2">
        <v>164.5</v>
      </c>
      <c r="X14" s="2">
        <v>164.2</v>
      </c>
      <c r="Y14" s="2">
        <v>161.1</v>
      </c>
      <c r="Z14" s="2">
        <v>171.4</v>
      </c>
      <c r="AA14" s="2">
        <v>156.5</v>
      </c>
      <c r="AB14" s="2">
        <v>161.19999999999999</v>
      </c>
      <c r="AC14" s="2">
        <v>164.7</v>
      </c>
      <c r="AD14" s="2">
        <v>163</v>
      </c>
      <c r="AE14" s="2">
        <v>162.69999999999999</v>
      </c>
      <c r="AF14" s="2">
        <v>165.7</v>
      </c>
      <c r="AG14" s="18">
        <v>168.31428571428569</v>
      </c>
      <c r="AH14" s="18">
        <v>162.80000000000001</v>
      </c>
      <c r="AI14" s="18">
        <v>162.89999999999998</v>
      </c>
      <c r="AJ14" s="18">
        <v>2356.3999999999996</v>
      </c>
      <c r="AK14" s="18">
        <v>325.60000000000002</v>
      </c>
      <c r="AL14" s="18">
        <v>330.6</v>
      </c>
      <c r="AM14" s="18">
        <v>651.59999999999991</v>
      </c>
      <c r="AN14" s="25">
        <v>4156.3</v>
      </c>
    </row>
    <row r="15" spans="1:40" x14ac:dyDescent="0.3">
      <c r="A15" s="21" t="s">
        <v>33</v>
      </c>
      <c r="B15" s="10">
        <v>2022</v>
      </c>
      <c r="C15" s="10" t="s">
        <v>34</v>
      </c>
      <c r="D15" s="10" t="s">
        <v>143</v>
      </c>
      <c r="E15" s="35">
        <v>85798.258921224522</v>
      </c>
      <c r="F15" s="10">
        <v>150</v>
      </c>
      <c r="G15" s="10">
        <v>200.6</v>
      </c>
      <c r="H15" s="10">
        <v>175.8</v>
      </c>
      <c r="I15" s="10">
        <v>160.69999999999999</v>
      </c>
      <c r="J15" s="10">
        <v>184.9</v>
      </c>
      <c r="K15" s="10">
        <v>153.69999999999999</v>
      </c>
      <c r="L15" s="10">
        <v>169.7</v>
      </c>
      <c r="M15" s="10">
        <v>163.69999999999999</v>
      </c>
      <c r="N15" s="10">
        <v>118.9</v>
      </c>
      <c r="O15" s="10">
        <v>174.3</v>
      </c>
      <c r="P15" s="10">
        <v>164.7</v>
      </c>
      <c r="Q15" s="10">
        <v>178</v>
      </c>
      <c r="R15" s="10">
        <v>166.2</v>
      </c>
      <c r="S15" s="10">
        <v>192.8</v>
      </c>
      <c r="T15" s="10">
        <v>170.8</v>
      </c>
      <c r="U15" s="10">
        <v>162.4</v>
      </c>
      <c r="V15" s="10">
        <v>169.6</v>
      </c>
      <c r="W15" s="10">
        <v>165.5</v>
      </c>
      <c r="X15" s="10">
        <v>165.7</v>
      </c>
      <c r="Y15" s="10">
        <v>161.80000000000001</v>
      </c>
      <c r="Z15" s="10">
        <v>172.2</v>
      </c>
      <c r="AA15" s="10">
        <v>156.9</v>
      </c>
      <c r="AB15" s="10">
        <v>162.1</v>
      </c>
      <c r="AC15" s="10">
        <v>165.4</v>
      </c>
      <c r="AD15" s="10">
        <v>164.4</v>
      </c>
      <c r="AE15" s="10">
        <v>163.5</v>
      </c>
      <c r="AF15" s="10">
        <v>166.1</v>
      </c>
      <c r="AG15" s="23">
        <v>168.14285714285717</v>
      </c>
      <c r="AH15" s="23">
        <v>163.65</v>
      </c>
      <c r="AI15" s="23">
        <v>163.85</v>
      </c>
      <c r="AJ15" s="23">
        <v>2354.0000000000005</v>
      </c>
      <c r="AK15" s="23">
        <v>327.3</v>
      </c>
      <c r="AL15" s="23">
        <v>333.20000000000005</v>
      </c>
      <c r="AM15" s="23">
        <v>655.4</v>
      </c>
      <c r="AN15" s="24">
        <v>4164.7000000000007</v>
      </c>
    </row>
    <row r="16" spans="1:40" x14ac:dyDescent="0.3">
      <c r="A16" s="20" t="s">
        <v>33</v>
      </c>
      <c r="B16" s="2">
        <v>2022</v>
      </c>
      <c r="C16" s="2" t="s">
        <v>35</v>
      </c>
      <c r="D16" s="2" t="s">
        <v>144</v>
      </c>
      <c r="E16" s="35">
        <v>89613.478577777831</v>
      </c>
      <c r="F16" s="2">
        <v>151.30000000000001</v>
      </c>
      <c r="G16" s="2">
        <v>210.7</v>
      </c>
      <c r="H16" s="2">
        <v>167.8</v>
      </c>
      <c r="I16" s="2">
        <v>162.19999999999999</v>
      </c>
      <c r="J16" s="2">
        <v>194.6</v>
      </c>
      <c r="K16" s="2">
        <v>157.6</v>
      </c>
      <c r="L16" s="2">
        <v>166.9</v>
      </c>
      <c r="M16" s="2">
        <v>163.9</v>
      </c>
      <c r="N16" s="2">
        <v>118.8</v>
      </c>
      <c r="O16" s="2">
        <v>177.4</v>
      </c>
      <c r="P16" s="2">
        <v>165.3</v>
      </c>
      <c r="Q16" s="2">
        <v>179.3</v>
      </c>
      <c r="R16" s="2">
        <v>168.4</v>
      </c>
      <c r="S16" s="2">
        <v>193.7</v>
      </c>
      <c r="T16" s="2">
        <v>172.1</v>
      </c>
      <c r="U16" s="2">
        <v>164.6</v>
      </c>
      <c r="V16" s="2">
        <v>171.1</v>
      </c>
      <c r="W16" s="2">
        <v>165.3</v>
      </c>
      <c r="X16" s="2">
        <v>167.2</v>
      </c>
      <c r="Y16" s="2">
        <v>162.80000000000001</v>
      </c>
      <c r="Z16" s="2">
        <v>173</v>
      </c>
      <c r="AA16" s="2">
        <v>157.9</v>
      </c>
      <c r="AB16" s="2">
        <v>163.30000000000001</v>
      </c>
      <c r="AC16" s="2">
        <v>166</v>
      </c>
      <c r="AD16" s="2">
        <v>167.2</v>
      </c>
      <c r="AE16" s="2">
        <v>164.6</v>
      </c>
      <c r="AF16" s="2">
        <v>167.7</v>
      </c>
      <c r="AG16" s="18">
        <v>169.85</v>
      </c>
      <c r="AH16" s="18">
        <v>164.05</v>
      </c>
      <c r="AI16" s="18">
        <v>165.27499999999998</v>
      </c>
      <c r="AJ16" s="18">
        <v>2377.9</v>
      </c>
      <c r="AK16" s="18">
        <v>328.1</v>
      </c>
      <c r="AL16" s="18">
        <v>336.7</v>
      </c>
      <c r="AM16" s="18">
        <v>661.09999999999991</v>
      </c>
      <c r="AN16" s="25">
        <v>4201.9000000000005</v>
      </c>
    </row>
    <row r="17" spans="1:40" x14ac:dyDescent="0.3">
      <c r="A17" s="21" t="s">
        <v>33</v>
      </c>
      <c r="B17" s="10">
        <v>2022</v>
      </c>
      <c r="C17" s="10" t="s">
        <v>36</v>
      </c>
      <c r="D17" s="10" t="s">
        <v>145</v>
      </c>
      <c r="E17" s="35">
        <v>128800.06584155018</v>
      </c>
      <c r="F17" s="10">
        <v>152.9</v>
      </c>
      <c r="G17" s="10">
        <v>211.8</v>
      </c>
      <c r="H17" s="10">
        <v>164.5</v>
      </c>
      <c r="I17" s="10">
        <v>163.9</v>
      </c>
      <c r="J17" s="10">
        <v>199.5</v>
      </c>
      <c r="K17" s="10">
        <v>172.6</v>
      </c>
      <c r="L17" s="10">
        <v>166.2</v>
      </c>
      <c r="M17" s="10">
        <v>164.7</v>
      </c>
      <c r="N17" s="10">
        <v>119</v>
      </c>
      <c r="O17" s="10">
        <v>181.3</v>
      </c>
      <c r="P17" s="10">
        <v>166.2</v>
      </c>
      <c r="Q17" s="10">
        <v>180.9</v>
      </c>
      <c r="R17" s="10">
        <v>170.8</v>
      </c>
      <c r="S17" s="10">
        <v>193.9</v>
      </c>
      <c r="T17" s="10">
        <v>173.9</v>
      </c>
      <c r="U17" s="10">
        <v>166.5</v>
      </c>
      <c r="V17" s="10">
        <v>172.8</v>
      </c>
      <c r="W17" s="10">
        <v>167</v>
      </c>
      <c r="X17" s="10">
        <v>172.2</v>
      </c>
      <c r="Y17" s="10">
        <v>164</v>
      </c>
      <c r="Z17" s="10">
        <v>174</v>
      </c>
      <c r="AA17" s="10">
        <v>162.6</v>
      </c>
      <c r="AB17" s="10">
        <v>164.4</v>
      </c>
      <c r="AC17" s="10">
        <v>166.9</v>
      </c>
      <c r="AD17" s="10">
        <v>168.8</v>
      </c>
      <c r="AE17" s="10">
        <v>166.8</v>
      </c>
      <c r="AF17" s="10">
        <v>170.1</v>
      </c>
      <c r="AG17" s="23">
        <v>172.01428571428573</v>
      </c>
      <c r="AH17" s="23">
        <v>165.5</v>
      </c>
      <c r="AI17" s="23">
        <v>166.72499999999999</v>
      </c>
      <c r="AJ17" s="23">
        <v>2408.2000000000003</v>
      </c>
      <c r="AK17" s="23">
        <v>331</v>
      </c>
      <c r="AL17" s="23">
        <v>340.4</v>
      </c>
      <c r="AM17" s="23">
        <v>666.9</v>
      </c>
      <c r="AN17" s="24">
        <v>4255.3</v>
      </c>
    </row>
    <row r="18" spans="1:40" x14ac:dyDescent="0.3">
      <c r="A18" s="20" t="s">
        <v>33</v>
      </c>
      <c r="B18" s="2">
        <v>2022</v>
      </c>
      <c r="C18" s="2" t="s">
        <v>37</v>
      </c>
      <c r="D18" s="2" t="s">
        <v>146</v>
      </c>
      <c r="E18" s="35">
        <v>119633.62181054099</v>
      </c>
      <c r="F18" s="2">
        <v>154.1</v>
      </c>
      <c r="G18" s="2">
        <v>217</v>
      </c>
      <c r="H18" s="2">
        <v>162.4</v>
      </c>
      <c r="I18" s="2">
        <v>164.9</v>
      </c>
      <c r="J18" s="2">
        <v>202.4</v>
      </c>
      <c r="K18" s="2">
        <v>171</v>
      </c>
      <c r="L18" s="2">
        <v>174.9</v>
      </c>
      <c r="M18" s="2">
        <v>164.7</v>
      </c>
      <c r="N18" s="2">
        <v>119.7</v>
      </c>
      <c r="O18" s="2">
        <v>184.9</v>
      </c>
      <c r="P18" s="2">
        <v>167.1</v>
      </c>
      <c r="Q18" s="2">
        <v>182.5</v>
      </c>
      <c r="R18" s="2">
        <v>173.3</v>
      </c>
      <c r="S18" s="2">
        <v>194.1</v>
      </c>
      <c r="T18" s="2">
        <v>175.6</v>
      </c>
      <c r="U18" s="2">
        <v>168.4</v>
      </c>
      <c r="V18" s="2">
        <v>174.6</v>
      </c>
      <c r="W18" s="2">
        <v>167.5</v>
      </c>
      <c r="X18" s="2">
        <v>174.6</v>
      </c>
      <c r="Y18" s="2">
        <v>165.2</v>
      </c>
      <c r="Z18" s="2">
        <v>174.8</v>
      </c>
      <c r="AA18" s="2">
        <v>163</v>
      </c>
      <c r="AB18" s="2">
        <v>165.1</v>
      </c>
      <c r="AC18" s="2">
        <v>167.9</v>
      </c>
      <c r="AD18" s="2">
        <v>168.4</v>
      </c>
      <c r="AE18" s="2">
        <v>167.5</v>
      </c>
      <c r="AF18" s="2">
        <v>171.7</v>
      </c>
      <c r="AG18" s="18">
        <v>173.78571428571431</v>
      </c>
      <c r="AH18" s="18">
        <v>166.35</v>
      </c>
      <c r="AI18" s="18">
        <v>167.22499999999999</v>
      </c>
      <c r="AJ18" s="18">
        <v>2433.0000000000005</v>
      </c>
      <c r="AK18" s="18">
        <v>332.7</v>
      </c>
      <c r="AL18" s="18">
        <v>344</v>
      </c>
      <c r="AM18" s="18">
        <v>668.9</v>
      </c>
      <c r="AN18" s="25">
        <v>4291.0000000000009</v>
      </c>
    </row>
    <row r="19" spans="1:40" x14ac:dyDescent="0.3">
      <c r="A19" s="21" t="s">
        <v>33</v>
      </c>
      <c r="B19" s="10">
        <v>2022</v>
      </c>
      <c r="C19" s="10" t="s">
        <v>38</v>
      </c>
      <c r="D19" s="10" t="s">
        <v>103</v>
      </c>
      <c r="E19" s="35">
        <v>121897.63969956485</v>
      </c>
      <c r="F19" s="10">
        <v>155</v>
      </c>
      <c r="G19" s="10">
        <v>219.4</v>
      </c>
      <c r="H19" s="10">
        <v>170.8</v>
      </c>
      <c r="I19" s="10">
        <v>165.8</v>
      </c>
      <c r="J19" s="10">
        <v>200.9</v>
      </c>
      <c r="K19" s="10">
        <v>169.7</v>
      </c>
      <c r="L19" s="10">
        <v>182.3</v>
      </c>
      <c r="M19" s="10">
        <v>164.3</v>
      </c>
      <c r="N19" s="10">
        <v>119.9</v>
      </c>
      <c r="O19" s="10">
        <v>187.1</v>
      </c>
      <c r="P19" s="10">
        <v>167.9</v>
      </c>
      <c r="Q19" s="10">
        <v>183.9</v>
      </c>
      <c r="R19" s="10">
        <v>174.9</v>
      </c>
      <c r="S19" s="10">
        <v>194.3</v>
      </c>
      <c r="T19" s="10">
        <v>177.1</v>
      </c>
      <c r="U19" s="10">
        <v>169.9</v>
      </c>
      <c r="V19" s="10">
        <v>176</v>
      </c>
      <c r="W19" s="10">
        <v>166.8</v>
      </c>
      <c r="X19" s="10">
        <v>176</v>
      </c>
      <c r="Y19" s="10">
        <v>166.4</v>
      </c>
      <c r="Z19" s="10">
        <v>175.4</v>
      </c>
      <c r="AA19" s="10">
        <v>161.1</v>
      </c>
      <c r="AB19" s="10">
        <v>165.8</v>
      </c>
      <c r="AC19" s="10">
        <v>169</v>
      </c>
      <c r="AD19" s="10">
        <v>169.4</v>
      </c>
      <c r="AE19" s="10">
        <v>167.5</v>
      </c>
      <c r="AF19" s="10">
        <v>172.6</v>
      </c>
      <c r="AG19" s="23">
        <v>175.44285714285715</v>
      </c>
      <c r="AH19" s="23">
        <v>166.60000000000002</v>
      </c>
      <c r="AI19" s="23">
        <v>167.92500000000001</v>
      </c>
      <c r="AJ19" s="23">
        <v>2456.2000000000003</v>
      </c>
      <c r="AK19" s="23">
        <v>333.20000000000005</v>
      </c>
      <c r="AL19" s="23">
        <v>347</v>
      </c>
      <c r="AM19" s="23">
        <v>671.7</v>
      </c>
      <c r="AN19" s="24">
        <v>4320.6000000000004</v>
      </c>
    </row>
    <row r="20" spans="1:40" x14ac:dyDescent="0.3">
      <c r="A20" s="20" t="s">
        <v>33</v>
      </c>
      <c r="B20" s="2">
        <v>2022</v>
      </c>
      <c r="C20" s="2" t="s">
        <v>39</v>
      </c>
      <c r="D20" s="2" t="s">
        <v>102</v>
      </c>
      <c r="E20" s="35">
        <v>128755.46490262874</v>
      </c>
      <c r="F20" s="2">
        <v>156.5</v>
      </c>
      <c r="G20" s="2">
        <v>213</v>
      </c>
      <c r="H20" s="2">
        <v>175.2</v>
      </c>
      <c r="I20" s="2">
        <v>166.6</v>
      </c>
      <c r="J20" s="2">
        <v>195.8</v>
      </c>
      <c r="K20" s="2">
        <v>174.2</v>
      </c>
      <c r="L20" s="2">
        <v>182.1</v>
      </c>
      <c r="M20" s="2">
        <v>164.3</v>
      </c>
      <c r="N20" s="2">
        <v>120</v>
      </c>
      <c r="O20" s="2">
        <v>190</v>
      </c>
      <c r="P20" s="2">
        <v>168.4</v>
      </c>
      <c r="Q20" s="2">
        <v>185.2</v>
      </c>
      <c r="R20" s="2">
        <v>175</v>
      </c>
      <c r="S20" s="2">
        <v>194.6</v>
      </c>
      <c r="T20" s="2">
        <v>178.3</v>
      </c>
      <c r="U20" s="2">
        <v>171.3</v>
      </c>
      <c r="V20" s="2">
        <v>177.3</v>
      </c>
      <c r="W20" s="2">
        <v>167.8</v>
      </c>
      <c r="X20" s="2">
        <v>179.6</v>
      </c>
      <c r="Y20" s="2">
        <v>167.4</v>
      </c>
      <c r="Z20" s="2">
        <v>176.1</v>
      </c>
      <c r="AA20" s="2">
        <v>161.6</v>
      </c>
      <c r="AB20" s="2">
        <v>166.3</v>
      </c>
      <c r="AC20" s="2">
        <v>171.4</v>
      </c>
      <c r="AD20" s="2">
        <v>169.7</v>
      </c>
      <c r="AE20" s="2">
        <v>168.4</v>
      </c>
      <c r="AF20" s="2">
        <v>173.4</v>
      </c>
      <c r="AG20" s="18">
        <v>175.77857142857144</v>
      </c>
      <c r="AH20" s="18">
        <v>167.60000000000002</v>
      </c>
      <c r="AI20" s="18">
        <v>168.95</v>
      </c>
      <c r="AJ20" s="18">
        <v>2460.9</v>
      </c>
      <c r="AK20" s="18">
        <v>335.20000000000005</v>
      </c>
      <c r="AL20" s="18">
        <v>349.6</v>
      </c>
      <c r="AM20" s="18">
        <v>675.8</v>
      </c>
      <c r="AN20" s="25">
        <v>4338.8</v>
      </c>
    </row>
    <row r="21" spans="1:40" x14ac:dyDescent="0.3">
      <c r="A21" s="21" t="s">
        <v>33</v>
      </c>
      <c r="B21" s="10">
        <v>2022</v>
      </c>
      <c r="C21" s="10" t="s">
        <v>40</v>
      </c>
      <c r="D21" s="10" t="s">
        <v>98</v>
      </c>
      <c r="E21" s="35">
        <v>104567.31614182114</v>
      </c>
      <c r="F21" s="10">
        <v>160.30000000000001</v>
      </c>
      <c r="G21" s="10">
        <v>206.5</v>
      </c>
      <c r="H21" s="10">
        <v>169.2</v>
      </c>
      <c r="I21" s="10">
        <v>168.1</v>
      </c>
      <c r="J21" s="10">
        <v>192.4</v>
      </c>
      <c r="K21" s="10">
        <v>172.9</v>
      </c>
      <c r="L21" s="10">
        <v>186.7</v>
      </c>
      <c r="M21" s="10">
        <v>167.2</v>
      </c>
      <c r="N21" s="10">
        <v>120.9</v>
      </c>
      <c r="O21" s="10">
        <v>193.6</v>
      </c>
      <c r="P21" s="10">
        <v>168.8</v>
      </c>
      <c r="Q21" s="10">
        <v>186.3</v>
      </c>
      <c r="R21" s="10">
        <v>176.3</v>
      </c>
      <c r="S21" s="10">
        <v>195</v>
      </c>
      <c r="T21" s="10">
        <v>179.5</v>
      </c>
      <c r="U21" s="10">
        <v>172.7</v>
      </c>
      <c r="V21" s="10">
        <v>178.5</v>
      </c>
      <c r="W21" s="10">
        <v>169</v>
      </c>
      <c r="X21" s="10">
        <v>178.8</v>
      </c>
      <c r="Y21" s="10">
        <v>168.5</v>
      </c>
      <c r="Z21" s="10">
        <v>176.8</v>
      </c>
      <c r="AA21" s="10">
        <v>161.9</v>
      </c>
      <c r="AB21" s="10">
        <v>166.9</v>
      </c>
      <c r="AC21" s="10">
        <v>172.3</v>
      </c>
      <c r="AD21" s="10">
        <v>171.2</v>
      </c>
      <c r="AE21" s="10">
        <v>169.1</v>
      </c>
      <c r="AF21" s="10">
        <v>174.3</v>
      </c>
      <c r="AG21" s="23">
        <v>176.01428571428573</v>
      </c>
      <c r="AH21" s="23">
        <v>168.75</v>
      </c>
      <c r="AI21" s="23">
        <v>169.87499999999997</v>
      </c>
      <c r="AJ21" s="23">
        <v>2464.2000000000003</v>
      </c>
      <c r="AK21" s="23">
        <v>337.5</v>
      </c>
      <c r="AL21" s="23">
        <v>352.2</v>
      </c>
      <c r="AM21" s="23">
        <v>679.49999999999989</v>
      </c>
      <c r="AN21" s="24">
        <v>4350.9000000000005</v>
      </c>
    </row>
    <row r="22" spans="1:40" x14ac:dyDescent="0.3">
      <c r="A22" s="20" t="s">
        <v>33</v>
      </c>
      <c r="B22" s="2">
        <v>2022</v>
      </c>
      <c r="C22" s="2" t="s">
        <v>41</v>
      </c>
      <c r="D22" s="2" t="s">
        <v>108</v>
      </c>
      <c r="E22" s="35">
        <v>95157.741525290738</v>
      </c>
      <c r="F22" s="2">
        <v>163.5</v>
      </c>
      <c r="G22" s="2">
        <v>209.2</v>
      </c>
      <c r="H22" s="2">
        <v>169.7</v>
      </c>
      <c r="I22" s="2">
        <v>169.7</v>
      </c>
      <c r="J22" s="2">
        <v>188.7</v>
      </c>
      <c r="K22" s="2">
        <v>165.7</v>
      </c>
      <c r="L22" s="2">
        <v>191.8</v>
      </c>
      <c r="M22" s="2">
        <v>169.1</v>
      </c>
      <c r="N22" s="2">
        <v>121.6</v>
      </c>
      <c r="O22" s="2">
        <v>197.3</v>
      </c>
      <c r="P22" s="2">
        <v>169.4</v>
      </c>
      <c r="Q22" s="2">
        <v>187.4</v>
      </c>
      <c r="R22" s="2">
        <v>177.8</v>
      </c>
      <c r="S22" s="2">
        <v>195.9</v>
      </c>
      <c r="T22" s="2">
        <v>180.9</v>
      </c>
      <c r="U22" s="2">
        <v>174.3</v>
      </c>
      <c r="V22" s="2">
        <v>179.9</v>
      </c>
      <c r="W22" s="2">
        <v>169.5</v>
      </c>
      <c r="X22" s="2">
        <v>179.5</v>
      </c>
      <c r="Y22" s="2">
        <v>169.5</v>
      </c>
      <c r="Z22" s="2">
        <v>177.8</v>
      </c>
      <c r="AA22" s="2">
        <v>162.30000000000001</v>
      </c>
      <c r="AB22" s="2">
        <v>167.6</v>
      </c>
      <c r="AC22" s="2">
        <v>173.1</v>
      </c>
      <c r="AD22" s="2">
        <v>170.9</v>
      </c>
      <c r="AE22" s="2">
        <v>169.7</v>
      </c>
      <c r="AF22" s="2">
        <v>175.3</v>
      </c>
      <c r="AG22" s="18">
        <v>176.91428571428574</v>
      </c>
      <c r="AH22" s="18">
        <v>169.5</v>
      </c>
      <c r="AI22" s="18">
        <v>170.32500000000002</v>
      </c>
      <c r="AJ22" s="18">
        <v>2476.8000000000002</v>
      </c>
      <c r="AK22" s="18">
        <v>339</v>
      </c>
      <c r="AL22" s="18">
        <v>355.20000000000005</v>
      </c>
      <c r="AM22" s="18">
        <v>681.30000000000007</v>
      </c>
      <c r="AN22" s="25">
        <v>4371.9000000000005</v>
      </c>
    </row>
    <row r="23" spans="1:40" x14ac:dyDescent="0.3">
      <c r="A23" s="21" t="s">
        <v>33</v>
      </c>
      <c r="B23" s="10">
        <v>2022</v>
      </c>
      <c r="C23" s="10" t="s">
        <v>42</v>
      </c>
      <c r="D23" s="10" t="s">
        <v>107</v>
      </c>
      <c r="E23" s="35">
        <v>99194.385511237808</v>
      </c>
      <c r="F23" s="10">
        <v>165.2</v>
      </c>
      <c r="G23" s="10">
        <v>210.9</v>
      </c>
      <c r="H23" s="10">
        <v>170.9</v>
      </c>
      <c r="I23" s="10">
        <v>170.9</v>
      </c>
      <c r="J23" s="10">
        <v>186.5</v>
      </c>
      <c r="K23" s="10">
        <v>163.80000000000001</v>
      </c>
      <c r="L23" s="10">
        <v>199.7</v>
      </c>
      <c r="M23" s="10">
        <v>169.8</v>
      </c>
      <c r="N23" s="10">
        <v>121.9</v>
      </c>
      <c r="O23" s="10">
        <v>199.9</v>
      </c>
      <c r="P23" s="10">
        <v>169.9</v>
      </c>
      <c r="Q23" s="10">
        <v>188.3</v>
      </c>
      <c r="R23" s="10">
        <v>179.6</v>
      </c>
      <c r="S23" s="10">
        <v>196.3</v>
      </c>
      <c r="T23" s="10">
        <v>181.9</v>
      </c>
      <c r="U23" s="10">
        <v>175.3</v>
      </c>
      <c r="V23" s="10">
        <v>181</v>
      </c>
      <c r="W23" s="10">
        <v>171.2</v>
      </c>
      <c r="X23" s="10">
        <v>180.5</v>
      </c>
      <c r="Y23" s="10">
        <v>170.4</v>
      </c>
      <c r="Z23" s="10">
        <v>178.7</v>
      </c>
      <c r="AA23" s="10">
        <v>162.9</v>
      </c>
      <c r="AB23" s="10">
        <v>168.2</v>
      </c>
      <c r="AC23" s="10">
        <v>173.4</v>
      </c>
      <c r="AD23" s="10">
        <v>172.1</v>
      </c>
      <c r="AE23" s="10">
        <v>170.5</v>
      </c>
      <c r="AF23" s="10">
        <v>176.7</v>
      </c>
      <c r="AG23" s="23">
        <v>178.11428571428573</v>
      </c>
      <c r="AH23" s="23">
        <v>170.8</v>
      </c>
      <c r="AI23" s="23">
        <v>171.05</v>
      </c>
      <c r="AJ23" s="23">
        <v>2493.6000000000004</v>
      </c>
      <c r="AK23" s="23">
        <v>341.6</v>
      </c>
      <c r="AL23" s="23">
        <v>357.20000000000005</v>
      </c>
      <c r="AM23" s="23">
        <v>684.2</v>
      </c>
      <c r="AN23" s="24">
        <v>4398.7000000000007</v>
      </c>
    </row>
    <row r="24" spans="1:40" x14ac:dyDescent="0.3">
      <c r="A24" s="20" t="s">
        <v>33</v>
      </c>
      <c r="B24" s="2">
        <v>2022</v>
      </c>
      <c r="C24" s="2" t="s">
        <v>44</v>
      </c>
      <c r="D24" s="2" t="s">
        <v>106</v>
      </c>
      <c r="E24" s="35">
        <v>100258.75918442282</v>
      </c>
      <c r="F24" s="2">
        <v>167.4</v>
      </c>
      <c r="G24" s="2">
        <v>209.4</v>
      </c>
      <c r="H24" s="2">
        <v>181.4</v>
      </c>
      <c r="I24" s="2">
        <v>172.3</v>
      </c>
      <c r="J24" s="2">
        <v>188.9</v>
      </c>
      <c r="K24" s="2">
        <v>160.69999999999999</v>
      </c>
      <c r="L24" s="2">
        <v>183.1</v>
      </c>
      <c r="M24" s="2">
        <v>170.5</v>
      </c>
      <c r="N24" s="2">
        <v>122.1</v>
      </c>
      <c r="O24" s="2">
        <v>202.8</v>
      </c>
      <c r="P24" s="2">
        <v>170.4</v>
      </c>
      <c r="Q24" s="2">
        <v>189.5</v>
      </c>
      <c r="R24" s="2">
        <v>178.3</v>
      </c>
      <c r="S24" s="2">
        <v>196.9</v>
      </c>
      <c r="T24" s="2">
        <v>183.1</v>
      </c>
      <c r="U24" s="2">
        <v>176.2</v>
      </c>
      <c r="V24" s="2">
        <v>182.1</v>
      </c>
      <c r="W24" s="2">
        <v>171.8</v>
      </c>
      <c r="X24" s="2">
        <v>181.3</v>
      </c>
      <c r="Y24" s="2">
        <v>171.4</v>
      </c>
      <c r="Z24" s="2">
        <v>179.8</v>
      </c>
      <c r="AA24" s="2">
        <v>163</v>
      </c>
      <c r="AB24" s="2">
        <v>168.5</v>
      </c>
      <c r="AC24" s="2">
        <v>173.7</v>
      </c>
      <c r="AD24" s="2">
        <v>173.6</v>
      </c>
      <c r="AE24" s="2">
        <v>171.1</v>
      </c>
      <c r="AF24" s="2">
        <v>176.5</v>
      </c>
      <c r="AG24" s="18">
        <v>178.12142857142859</v>
      </c>
      <c r="AH24" s="18">
        <v>171.60000000000002</v>
      </c>
      <c r="AI24" s="18">
        <v>171.72499999999999</v>
      </c>
      <c r="AJ24" s="18">
        <v>2493.7000000000003</v>
      </c>
      <c r="AK24" s="18">
        <v>343.20000000000005</v>
      </c>
      <c r="AL24" s="18">
        <v>359.29999999999995</v>
      </c>
      <c r="AM24" s="18">
        <v>686.9</v>
      </c>
      <c r="AN24" s="25">
        <v>4407.2000000000007</v>
      </c>
    </row>
    <row r="25" spans="1:40" x14ac:dyDescent="0.3">
      <c r="A25" s="21" t="s">
        <v>33</v>
      </c>
      <c r="B25" s="10">
        <v>2022</v>
      </c>
      <c r="C25" s="10" t="s">
        <v>45</v>
      </c>
      <c r="D25" s="10" t="s">
        <v>99</v>
      </c>
      <c r="E25" s="35">
        <v>94253.237400611397</v>
      </c>
      <c r="F25" s="10">
        <v>169.2</v>
      </c>
      <c r="G25" s="10">
        <v>209</v>
      </c>
      <c r="H25" s="10">
        <v>190.2</v>
      </c>
      <c r="I25" s="10">
        <v>173.6</v>
      </c>
      <c r="J25" s="10">
        <v>188.5</v>
      </c>
      <c r="K25" s="10">
        <v>158</v>
      </c>
      <c r="L25" s="10">
        <v>159.9</v>
      </c>
      <c r="M25" s="10">
        <v>170.8</v>
      </c>
      <c r="N25" s="10">
        <v>121.8</v>
      </c>
      <c r="O25" s="10">
        <v>205.2</v>
      </c>
      <c r="P25" s="10">
        <v>171</v>
      </c>
      <c r="Q25" s="10">
        <v>190.3</v>
      </c>
      <c r="R25" s="10">
        <v>175.9</v>
      </c>
      <c r="S25" s="10">
        <v>197.3</v>
      </c>
      <c r="T25" s="10">
        <v>184</v>
      </c>
      <c r="U25" s="10">
        <v>177</v>
      </c>
      <c r="V25" s="10">
        <v>183</v>
      </c>
      <c r="W25" s="10">
        <v>170.7</v>
      </c>
      <c r="X25" s="10">
        <v>182</v>
      </c>
      <c r="Y25" s="10">
        <v>172.1</v>
      </c>
      <c r="Z25" s="10">
        <v>181.1</v>
      </c>
      <c r="AA25" s="10">
        <v>163.4</v>
      </c>
      <c r="AB25" s="10">
        <v>168.9</v>
      </c>
      <c r="AC25" s="10">
        <v>174.1</v>
      </c>
      <c r="AD25" s="10">
        <v>175.8</v>
      </c>
      <c r="AE25" s="10">
        <v>172</v>
      </c>
      <c r="AF25" s="10">
        <v>175.7</v>
      </c>
      <c r="AG25" s="23">
        <v>177.19285714285715</v>
      </c>
      <c r="AH25" s="23">
        <v>171.39999999999998</v>
      </c>
      <c r="AI25" s="23">
        <v>172.7</v>
      </c>
      <c r="AJ25" s="23">
        <v>2480.7000000000003</v>
      </c>
      <c r="AK25" s="23">
        <v>342.79999999999995</v>
      </c>
      <c r="AL25" s="23">
        <v>361</v>
      </c>
      <c r="AM25" s="23">
        <v>690.8</v>
      </c>
      <c r="AN25" s="24">
        <v>4401.8</v>
      </c>
    </row>
    <row r="26" spans="1:40" x14ac:dyDescent="0.3">
      <c r="A26" s="20" t="s">
        <v>33</v>
      </c>
      <c r="B26" s="2">
        <v>2023</v>
      </c>
      <c r="C26" s="2" t="s">
        <v>31</v>
      </c>
      <c r="D26" s="2" t="s">
        <v>101</v>
      </c>
      <c r="E26" s="2">
        <v>21515</v>
      </c>
      <c r="F26" s="2">
        <v>173.8</v>
      </c>
      <c r="G26" s="2">
        <v>210.7</v>
      </c>
      <c r="H26" s="2">
        <v>194.5</v>
      </c>
      <c r="I26" s="2">
        <v>174.6</v>
      </c>
      <c r="J26" s="2">
        <v>187.2</v>
      </c>
      <c r="K26" s="2">
        <v>158.30000000000001</v>
      </c>
      <c r="L26" s="2">
        <v>153.9</v>
      </c>
      <c r="M26" s="2">
        <v>170.9</v>
      </c>
      <c r="N26" s="2">
        <v>121.1</v>
      </c>
      <c r="O26" s="2">
        <v>208.4</v>
      </c>
      <c r="P26" s="2">
        <v>171.4</v>
      </c>
      <c r="Q26" s="2">
        <v>191.2</v>
      </c>
      <c r="R26" s="2">
        <v>176.7</v>
      </c>
      <c r="S26" s="2">
        <v>198.2</v>
      </c>
      <c r="T26" s="2">
        <v>184.9</v>
      </c>
      <c r="U26" s="2">
        <v>177.6</v>
      </c>
      <c r="V26" s="2">
        <v>183.8</v>
      </c>
      <c r="W26" s="2">
        <v>172.1</v>
      </c>
      <c r="X26" s="2">
        <v>182</v>
      </c>
      <c r="Y26" s="2">
        <v>172.9</v>
      </c>
      <c r="Z26" s="2">
        <v>182.3</v>
      </c>
      <c r="AA26" s="2">
        <v>163.6</v>
      </c>
      <c r="AB26" s="2">
        <v>169.5</v>
      </c>
      <c r="AC26" s="2">
        <v>174.3</v>
      </c>
      <c r="AD26" s="2">
        <v>178.6</v>
      </c>
      <c r="AE26" s="2">
        <v>172.8</v>
      </c>
      <c r="AF26" s="2">
        <v>176.5</v>
      </c>
      <c r="AG26" s="18">
        <v>177.92142857142855</v>
      </c>
      <c r="AH26" s="18">
        <v>172.5</v>
      </c>
      <c r="AI26" s="18">
        <v>173.8</v>
      </c>
      <c r="AJ26" s="18">
        <v>2490.8999999999996</v>
      </c>
      <c r="AK26" s="18">
        <v>345</v>
      </c>
      <c r="AL26" s="18">
        <v>362.5</v>
      </c>
      <c r="AM26" s="18">
        <v>695.2</v>
      </c>
      <c r="AN26" s="25">
        <v>4421.4999999999991</v>
      </c>
    </row>
    <row r="27" spans="1:40" x14ac:dyDescent="0.3">
      <c r="A27" s="21" t="s">
        <v>33</v>
      </c>
      <c r="B27" s="10">
        <v>2023</v>
      </c>
      <c r="C27" s="10" t="s">
        <v>34</v>
      </c>
      <c r="D27" s="10" t="s">
        <v>100</v>
      </c>
      <c r="E27" s="10">
        <v>18244</v>
      </c>
      <c r="F27" s="10">
        <v>174.4</v>
      </c>
      <c r="G27" s="10">
        <v>207.7</v>
      </c>
      <c r="H27" s="10">
        <v>175.2</v>
      </c>
      <c r="I27" s="10">
        <v>177.3</v>
      </c>
      <c r="J27" s="10">
        <v>179.3</v>
      </c>
      <c r="K27" s="10">
        <v>169.5</v>
      </c>
      <c r="L27" s="10">
        <v>152.69999999999999</v>
      </c>
      <c r="M27" s="10">
        <v>171</v>
      </c>
      <c r="N27" s="10">
        <v>120</v>
      </c>
      <c r="O27" s="10">
        <v>209.7</v>
      </c>
      <c r="P27" s="10">
        <v>172.3</v>
      </c>
      <c r="Q27" s="10">
        <v>193</v>
      </c>
      <c r="R27" s="10">
        <v>177</v>
      </c>
      <c r="S27" s="10">
        <v>199.5</v>
      </c>
      <c r="T27" s="10">
        <v>186.2</v>
      </c>
      <c r="U27" s="10">
        <v>178.7</v>
      </c>
      <c r="V27" s="10">
        <v>185.1</v>
      </c>
      <c r="W27" s="10">
        <v>173.5</v>
      </c>
      <c r="X27" s="10">
        <v>182.1</v>
      </c>
      <c r="Y27" s="10">
        <v>174.2</v>
      </c>
      <c r="Z27" s="10">
        <v>184.4</v>
      </c>
      <c r="AA27" s="10">
        <v>164.2</v>
      </c>
      <c r="AB27" s="10">
        <v>170.3</v>
      </c>
      <c r="AC27" s="10">
        <v>175</v>
      </c>
      <c r="AD27" s="10">
        <v>181</v>
      </c>
      <c r="AE27" s="10">
        <v>174.1</v>
      </c>
      <c r="AF27" s="10">
        <v>177.2</v>
      </c>
      <c r="AG27" s="23">
        <v>177.04285714285714</v>
      </c>
      <c r="AH27" s="23">
        <v>173.85</v>
      </c>
      <c r="AI27" s="23">
        <v>175.10000000000002</v>
      </c>
      <c r="AJ27" s="23">
        <v>2478.6</v>
      </c>
      <c r="AK27" s="23">
        <v>347.7</v>
      </c>
      <c r="AL27" s="23">
        <v>364.9</v>
      </c>
      <c r="AM27" s="23">
        <v>700.40000000000009</v>
      </c>
      <c r="AN27" s="24">
        <v>4422.3</v>
      </c>
    </row>
    <row r="28" spans="1:40" x14ac:dyDescent="0.3">
      <c r="A28" s="20" t="s">
        <v>33</v>
      </c>
      <c r="B28" s="2">
        <v>2023</v>
      </c>
      <c r="C28" s="2" t="s">
        <v>35</v>
      </c>
      <c r="D28" s="2" t="s">
        <v>104</v>
      </c>
      <c r="E28" s="2">
        <v>20815</v>
      </c>
      <c r="F28" s="2">
        <v>174.4</v>
      </c>
      <c r="G28" s="2">
        <v>207.7</v>
      </c>
      <c r="H28" s="2">
        <v>175.2</v>
      </c>
      <c r="I28" s="2">
        <v>177.3</v>
      </c>
      <c r="J28" s="2">
        <v>179.2</v>
      </c>
      <c r="K28" s="2">
        <v>169.5</v>
      </c>
      <c r="L28" s="2">
        <v>152.80000000000001</v>
      </c>
      <c r="M28" s="2">
        <v>171.1</v>
      </c>
      <c r="N28" s="2">
        <v>120</v>
      </c>
      <c r="O28" s="2">
        <v>209.7</v>
      </c>
      <c r="P28" s="2">
        <v>172.3</v>
      </c>
      <c r="Q28" s="2">
        <v>193</v>
      </c>
      <c r="R28" s="2">
        <v>177</v>
      </c>
      <c r="S28" s="2">
        <v>199.5</v>
      </c>
      <c r="T28" s="2">
        <v>186.1</v>
      </c>
      <c r="U28" s="2">
        <v>178.7</v>
      </c>
      <c r="V28" s="2">
        <v>185.1</v>
      </c>
      <c r="W28" s="2">
        <v>173.5</v>
      </c>
      <c r="X28" s="2">
        <v>181.9</v>
      </c>
      <c r="Y28" s="2">
        <v>174.2</v>
      </c>
      <c r="Z28" s="2">
        <v>184.4</v>
      </c>
      <c r="AA28" s="2">
        <v>164.2</v>
      </c>
      <c r="AB28" s="2">
        <v>170.3</v>
      </c>
      <c r="AC28" s="2">
        <v>175</v>
      </c>
      <c r="AD28" s="2">
        <v>181</v>
      </c>
      <c r="AE28" s="2">
        <v>174.1</v>
      </c>
      <c r="AF28" s="2">
        <v>177.2</v>
      </c>
      <c r="AG28" s="18">
        <v>177.04999999999998</v>
      </c>
      <c r="AH28" s="18">
        <v>173.85</v>
      </c>
      <c r="AI28" s="18">
        <v>175.10000000000002</v>
      </c>
      <c r="AJ28" s="18">
        <v>2478.6999999999998</v>
      </c>
      <c r="AK28" s="18">
        <v>347.7</v>
      </c>
      <c r="AL28" s="18">
        <v>364.79999999999995</v>
      </c>
      <c r="AM28" s="18">
        <v>700.40000000000009</v>
      </c>
      <c r="AN28" s="25">
        <v>4422.0999999999995</v>
      </c>
    </row>
    <row r="29" spans="1:40" x14ac:dyDescent="0.3">
      <c r="A29" s="21" t="s">
        <v>33</v>
      </c>
      <c r="B29" s="10">
        <v>2023</v>
      </c>
      <c r="C29" s="10" t="s">
        <v>36</v>
      </c>
      <c r="D29" s="10" t="s">
        <v>97</v>
      </c>
      <c r="E29" s="10">
        <v>19997</v>
      </c>
      <c r="F29" s="10">
        <v>173.8</v>
      </c>
      <c r="G29" s="10">
        <v>209.3</v>
      </c>
      <c r="H29" s="10">
        <v>169.6</v>
      </c>
      <c r="I29" s="10">
        <v>178.4</v>
      </c>
      <c r="J29" s="10">
        <v>174.9</v>
      </c>
      <c r="K29" s="10">
        <v>176.3</v>
      </c>
      <c r="L29" s="10">
        <v>155.4</v>
      </c>
      <c r="M29" s="10">
        <v>173.4</v>
      </c>
      <c r="N29" s="10">
        <v>121.3</v>
      </c>
      <c r="O29" s="10">
        <v>212.9</v>
      </c>
      <c r="P29" s="10">
        <v>172.9</v>
      </c>
      <c r="Q29" s="10">
        <v>193.5</v>
      </c>
      <c r="R29" s="10">
        <v>177.9</v>
      </c>
      <c r="S29" s="10">
        <v>200.6</v>
      </c>
      <c r="T29" s="10">
        <v>186.9</v>
      </c>
      <c r="U29" s="10">
        <v>179.2</v>
      </c>
      <c r="V29" s="10">
        <v>185.7</v>
      </c>
      <c r="W29" s="10">
        <v>175.2</v>
      </c>
      <c r="X29" s="10">
        <v>181.7</v>
      </c>
      <c r="Y29" s="10">
        <v>174.6</v>
      </c>
      <c r="Z29" s="10">
        <v>185</v>
      </c>
      <c r="AA29" s="10">
        <v>164.5</v>
      </c>
      <c r="AB29" s="10">
        <v>170.7</v>
      </c>
      <c r="AC29" s="10">
        <v>176.4</v>
      </c>
      <c r="AD29" s="10">
        <v>184</v>
      </c>
      <c r="AE29" s="10">
        <v>175</v>
      </c>
      <c r="AF29" s="10">
        <v>178.1</v>
      </c>
      <c r="AG29" s="23">
        <v>177.87142857142859</v>
      </c>
      <c r="AH29" s="23">
        <v>174.89999999999998</v>
      </c>
      <c r="AI29" s="23">
        <v>176.52499999999998</v>
      </c>
      <c r="AJ29" s="23">
        <v>2490.2000000000003</v>
      </c>
      <c r="AK29" s="23">
        <v>349.79999999999995</v>
      </c>
      <c r="AL29" s="23">
        <v>366.1</v>
      </c>
      <c r="AM29" s="23">
        <v>706.09999999999991</v>
      </c>
      <c r="AN29" s="24">
        <v>4443.3999999999996</v>
      </c>
    </row>
    <row r="30" spans="1:40" x14ac:dyDescent="0.3">
      <c r="A30" s="20" t="s">
        <v>33</v>
      </c>
      <c r="B30" s="2">
        <v>2023</v>
      </c>
      <c r="C30" s="2" t="s">
        <v>37</v>
      </c>
      <c r="D30" s="2" t="s">
        <v>105</v>
      </c>
      <c r="E30" s="2">
        <v>20705</v>
      </c>
      <c r="F30" s="2">
        <v>173.7</v>
      </c>
      <c r="G30" s="2">
        <v>214.3</v>
      </c>
      <c r="H30" s="2">
        <v>173.2</v>
      </c>
      <c r="I30" s="2">
        <v>179.5</v>
      </c>
      <c r="J30" s="2">
        <v>170</v>
      </c>
      <c r="K30" s="2">
        <v>172.2</v>
      </c>
      <c r="L30" s="2">
        <v>161</v>
      </c>
      <c r="M30" s="2">
        <v>175.6</v>
      </c>
      <c r="N30" s="2">
        <v>122.7</v>
      </c>
      <c r="O30" s="2">
        <v>218</v>
      </c>
      <c r="P30" s="2">
        <v>173.4</v>
      </c>
      <c r="Q30" s="2">
        <v>194.2</v>
      </c>
      <c r="R30" s="2">
        <v>179.1</v>
      </c>
      <c r="S30" s="2">
        <v>201</v>
      </c>
      <c r="T30" s="2">
        <v>187.3</v>
      </c>
      <c r="U30" s="2">
        <v>179.7</v>
      </c>
      <c r="V30" s="2">
        <v>186.2</v>
      </c>
      <c r="W30" s="2">
        <v>175.6</v>
      </c>
      <c r="X30" s="2">
        <v>182.8</v>
      </c>
      <c r="Y30" s="2">
        <v>175.2</v>
      </c>
      <c r="Z30" s="2">
        <v>185.7</v>
      </c>
      <c r="AA30" s="2">
        <v>164.8</v>
      </c>
      <c r="AB30" s="2">
        <v>171.2</v>
      </c>
      <c r="AC30" s="2">
        <v>177.1</v>
      </c>
      <c r="AD30" s="2">
        <v>185.2</v>
      </c>
      <c r="AE30" s="2">
        <v>175.7</v>
      </c>
      <c r="AF30" s="2">
        <v>179.1</v>
      </c>
      <c r="AG30" s="18">
        <v>179.1357142857143</v>
      </c>
      <c r="AH30" s="18">
        <v>175.39999999999998</v>
      </c>
      <c r="AI30" s="18">
        <v>177.3</v>
      </c>
      <c r="AJ30" s="18">
        <v>2507.9</v>
      </c>
      <c r="AK30" s="18">
        <v>350.79999999999995</v>
      </c>
      <c r="AL30" s="18">
        <v>367</v>
      </c>
      <c r="AM30" s="18">
        <v>709.2</v>
      </c>
      <c r="AN30" s="25">
        <v>4468.2</v>
      </c>
    </row>
    <row r="32" spans="1:40" x14ac:dyDescent="0.3">
      <c r="E32" t="s">
        <v>148</v>
      </c>
      <c r="F32" s="12">
        <f>CORREL($E$2:$E$30,F2:F30)</f>
        <v>-0.44045988561589722</v>
      </c>
      <c r="G32" s="12">
        <f t="shared" ref="G32:AM32" si="0">CORREL($E$2:$E$30,G2:G30)</f>
        <v>3.3774413172077772E-2</v>
      </c>
      <c r="H32" s="12">
        <f t="shared" si="0"/>
        <v>-0.33620639116145912</v>
      </c>
      <c r="I32" s="12">
        <f t="shared" si="0"/>
        <v>-0.38428285220947722</v>
      </c>
      <c r="J32" s="12">
        <f t="shared" si="0"/>
        <v>0.38110474201451228</v>
      </c>
      <c r="K32" s="12">
        <f t="shared" si="0"/>
        <v>-0.10353136628799742</v>
      </c>
      <c r="L32" s="12">
        <f t="shared" si="0"/>
        <v>0.50801010118685741</v>
      </c>
      <c r="M32" s="12">
        <f t="shared" si="0"/>
        <v>-0.53750797269117823</v>
      </c>
      <c r="N32" s="12">
        <f t="shared" si="0"/>
        <v>-7.2878290420246558E-2</v>
      </c>
      <c r="O32" s="12">
        <f t="shared" si="0"/>
        <v>-0.36312911386901164</v>
      </c>
      <c r="P32" s="12">
        <f t="shared" si="0"/>
        <v>-0.2457686043139474</v>
      </c>
      <c r="Q32" s="12">
        <f t="shared" si="0"/>
        <v>-0.27718783292302679</v>
      </c>
      <c r="R32" s="12">
        <f t="shared" si="0"/>
        <v>-0.1199600327720934</v>
      </c>
      <c r="S32" s="12">
        <f t="shared" si="0"/>
        <v>-0.43306944174191669</v>
      </c>
      <c r="T32" s="12">
        <f t="shared" si="0"/>
        <v>-0.23940927371055376</v>
      </c>
      <c r="U32" s="12">
        <f t="shared" si="0"/>
        <v>-0.19824306057409916</v>
      </c>
      <c r="V32" s="12">
        <f t="shared" si="0"/>
        <v>-0.23274571147679357</v>
      </c>
      <c r="W32" s="12">
        <f t="shared" si="0"/>
        <v>-0.33758077148447174</v>
      </c>
      <c r="X32" s="12">
        <f t="shared" si="0"/>
        <v>-0.15043349729085717</v>
      </c>
      <c r="Y32" s="12">
        <f t="shared" si="0"/>
        <v>-0.26082997793321361</v>
      </c>
      <c r="Z32" s="12">
        <f t="shared" si="0"/>
        <v>-0.33236572257914787</v>
      </c>
      <c r="AA32" s="12">
        <f t="shared" si="0"/>
        <v>-0.10469004965693059</v>
      </c>
      <c r="AB32" s="12">
        <f t="shared" si="0"/>
        <v>-0.18535797218120506</v>
      </c>
      <c r="AC32" s="12">
        <f t="shared" si="0"/>
        <v>-0.27899228801840809</v>
      </c>
      <c r="AD32" s="12">
        <f t="shared" si="0"/>
        <v>-0.40054354020553579</v>
      </c>
      <c r="AE32" s="12">
        <f t="shared" si="0"/>
        <v>-0.25548448709081628</v>
      </c>
      <c r="AF32" s="12">
        <f t="shared" si="0"/>
        <v>-0.19128594963932288</v>
      </c>
      <c r="AG32" s="12">
        <f t="shared" si="0"/>
        <v>-0.1518634413297692</v>
      </c>
      <c r="AH32" s="12">
        <f t="shared" si="0"/>
        <v>-0.29158854773340526</v>
      </c>
      <c r="AI32" s="12">
        <f t="shared" si="0"/>
        <v>-0.2931333012439164</v>
      </c>
      <c r="AJ32" s="12">
        <f t="shared" si="0"/>
        <v>-0.15186344132976889</v>
      </c>
      <c r="AK32" s="12">
        <f t="shared" si="0"/>
        <v>-0.29158854773340526</v>
      </c>
      <c r="AL32" s="12">
        <f t="shared" si="0"/>
        <v>-0.21782048881254923</v>
      </c>
      <c r="AM32" s="12">
        <f t="shared" si="0"/>
        <v>-0.2931333012439164</v>
      </c>
    </row>
    <row r="41" spans="6:7" x14ac:dyDescent="0.3">
      <c r="F41" s="1" t="s">
        <v>3</v>
      </c>
      <c r="G41" s="12">
        <f>CORREL($E$2:$E$30,F2:F30)</f>
        <v>-0.44045988561589722</v>
      </c>
    </row>
    <row r="42" spans="6:7" x14ac:dyDescent="0.3">
      <c r="F42" s="1" t="s">
        <v>4</v>
      </c>
      <c r="G42" s="12">
        <f>CORREL($E$2:$E$30,G2:G30)</f>
        <v>3.3774413172077772E-2</v>
      </c>
    </row>
    <row r="43" spans="6:7" x14ac:dyDescent="0.3">
      <c r="F43" s="1" t="s">
        <v>5</v>
      </c>
      <c r="G43" s="12">
        <f>CORREL($E$2:$E$30,H2:H30)</f>
        <v>-0.33620639116145912</v>
      </c>
    </row>
    <row r="44" spans="6:7" x14ac:dyDescent="0.3">
      <c r="F44" s="1" t="s">
        <v>6</v>
      </c>
      <c r="G44" s="12">
        <f>CORREL($E$2:$E$30,I2:I30)</f>
        <v>-0.38428285220947722</v>
      </c>
    </row>
    <row r="45" spans="6:7" x14ac:dyDescent="0.3">
      <c r="F45" s="1" t="s">
        <v>7</v>
      </c>
      <c r="G45" s="12">
        <f>CORREL($E$2:$E$30,J2:J30)</f>
        <v>0.38110474201451228</v>
      </c>
    </row>
    <row r="46" spans="6:7" x14ac:dyDescent="0.3">
      <c r="F46" s="1" t="s">
        <v>8</v>
      </c>
      <c r="G46" s="12">
        <f>CORREL($E$2:$E$30,K2:K30)</f>
        <v>-0.10353136628799742</v>
      </c>
    </row>
    <row r="47" spans="6:7" x14ac:dyDescent="0.3">
      <c r="F47" s="1" t="s">
        <v>9</v>
      </c>
      <c r="G47" s="12">
        <f>CORREL($E$2:$E$30,L2:L30)</f>
        <v>0.50801010118685741</v>
      </c>
    </row>
    <row r="48" spans="6:7" x14ac:dyDescent="0.3">
      <c r="F48" s="1" t="s">
        <v>10</v>
      </c>
      <c r="G48" s="12">
        <f>CORREL($E$2:$E$30,M2:M30)</f>
        <v>-0.53750797269117823</v>
      </c>
    </row>
    <row r="49" spans="6:7" x14ac:dyDescent="0.3">
      <c r="F49" s="1" t="s">
        <v>11</v>
      </c>
      <c r="G49" s="12">
        <f>CORREL($E$2:$E$30,N2:N30)</f>
        <v>-7.2878290420246558E-2</v>
      </c>
    </row>
    <row r="50" spans="6:7" x14ac:dyDescent="0.3">
      <c r="F50" s="1" t="s">
        <v>12</v>
      </c>
      <c r="G50" s="12">
        <f>CORREL($E$2:$E$30,O2:O30)</f>
        <v>-0.36312911386901164</v>
      </c>
    </row>
    <row r="51" spans="6:7" x14ac:dyDescent="0.3">
      <c r="F51" s="1" t="s">
        <v>13</v>
      </c>
      <c r="G51" s="12">
        <f>CORREL($E$2:$E$30,P2:P30)</f>
        <v>-0.2457686043139474</v>
      </c>
    </row>
    <row r="52" spans="6:7" x14ac:dyDescent="0.3">
      <c r="F52" s="1" t="s">
        <v>14</v>
      </c>
      <c r="G52" s="12">
        <f>CORREL($E$2:$E$30,Q2:Q30)</f>
        <v>-0.27718783292302679</v>
      </c>
    </row>
    <row r="53" spans="6:7" x14ac:dyDescent="0.3">
      <c r="F53" s="1" t="s">
        <v>15</v>
      </c>
      <c r="G53" s="12">
        <f>CORREL($E$2:$E$30,R2:R30)</f>
        <v>-0.1199600327720934</v>
      </c>
    </row>
    <row r="54" spans="6:7" x14ac:dyDescent="0.3">
      <c r="F54" s="1" t="s">
        <v>16</v>
      </c>
      <c r="G54" s="12">
        <f>CORREL($E$2:$E$30,S2:S30)</f>
        <v>-0.43306944174191669</v>
      </c>
    </row>
    <row r="55" spans="6:7" x14ac:dyDescent="0.3">
      <c r="F55" s="1" t="s">
        <v>17</v>
      </c>
      <c r="G55" s="12">
        <f>CORREL($E$2:$E$30,T2:T30)</f>
        <v>-0.23940927371055376</v>
      </c>
    </row>
    <row r="56" spans="6:7" x14ac:dyDescent="0.3">
      <c r="F56" s="1" t="s">
        <v>18</v>
      </c>
      <c r="G56" s="12">
        <f>CORREL($E$2:$E$30,U2:U30)</f>
        <v>-0.19824306057409916</v>
      </c>
    </row>
    <row r="57" spans="6:7" x14ac:dyDescent="0.3">
      <c r="F57" s="1" t="s">
        <v>19</v>
      </c>
      <c r="G57" s="12">
        <f>CORREL($E$2:$E$30,V2:V30)</f>
        <v>-0.23274571147679357</v>
      </c>
    </row>
    <row r="58" spans="6:7" x14ac:dyDescent="0.3">
      <c r="F58" s="1" t="s">
        <v>20</v>
      </c>
      <c r="G58" s="12">
        <f>CORREL($E$2:$E$30,W2:W30)</f>
        <v>-0.33758077148447174</v>
      </c>
    </row>
    <row r="59" spans="6:7" x14ac:dyDescent="0.3">
      <c r="F59" s="1" t="s">
        <v>21</v>
      </c>
      <c r="G59" s="12">
        <f>CORREL($E$2:$E$30,X2:X30)</f>
        <v>-0.15043349729085717</v>
      </c>
    </row>
    <row r="60" spans="6:7" x14ac:dyDescent="0.3">
      <c r="F60" s="1" t="s">
        <v>22</v>
      </c>
      <c r="G60" s="12">
        <f>CORREL($E$2:$E$30,Y2:Y30)</f>
        <v>-0.26082997793321361</v>
      </c>
    </row>
    <row r="61" spans="6:7" x14ac:dyDescent="0.3">
      <c r="F61" s="1" t="s">
        <v>23</v>
      </c>
      <c r="G61" s="12">
        <f>CORREL($E$2:$E$30,Z2:Z30)</f>
        <v>-0.33236572257914787</v>
      </c>
    </row>
    <row r="62" spans="6:7" x14ac:dyDescent="0.3">
      <c r="F62" s="1" t="s">
        <v>24</v>
      </c>
      <c r="G62" s="12">
        <f>CORREL($E$2:$E$30,AA2:AA30)</f>
        <v>-0.10469004965693059</v>
      </c>
    </row>
    <row r="63" spans="6:7" x14ac:dyDescent="0.3">
      <c r="F63" s="1" t="s">
        <v>25</v>
      </c>
      <c r="G63" s="12">
        <f>CORREL($E$2:$E$30,AB2:AB30)</f>
        <v>-0.18535797218120506</v>
      </c>
    </row>
    <row r="64" spans="6:7" x14ac:dyDescent="0.3">
      <c r="F64" s="1" t="s">
        <v>26</v>
      </c>
      <c r="G64" s="12">
        <f>CORREL($E$2:$E$30,AC2:AC30)</f>
        <v>-0.27899228801840809</v>
      </c>
    </row>
    <row r="65" spans="6:7" x14ac:dyDescent="0.3">
      <c r="F65" s="1" t="s">
        <v>27</v>
      </c>
      <c r="G65" s="12">
        <f>CORREL($E$2:$E$30,AD2:AD30)</f>
        <v>-0.40054354020553579</v>
      </c>
    </row>
    <row r="66" spans="6:7" x14ac:dyDescent="0.3">
      <c r="F66" s="1" t="s">
        <v>28</v>
      </c>
      <c r="G66" s="12">
        <f>CORREL($E$2:$E$30,AE2:AE30)</f>
        <v>-0.25548448709081628</v>
      </c>
    </row>
  </sheetData>
  <autoFilter ref="A1:AN30" xr:uid="{DA46C0FF-41C2-45E7-A796-90EDF815C610}"/>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09D1-FA21-47D8-A25F-33128257BC67}">
  <dimension ref="A1:AG373"/>
  <sheetViews>
    <sheetView workbookViewId="0">
      <selection activeCell="L336" sqref="L336"/>
    </sheetView>
  </sheetViews>
  <sheetFormatPr defaultRowHeight="14.4" x14ac:dyDescent="0.3"/>
  <cols>
    <col min="26" max="26" width="8.88671875" customWidth="1"/>
    <col min="27" max="27" width="18.44140625" customWidth="1"/>
    <col min="28" max="28" width="18.77734375" customWidth="1"/>
    <col min="31" max="31" width="13.21875" customWidth="1"/>
    <col min="32" max="32" width="12.777343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71</v>
      </c>
      <c r="AF1" t="s">
        <v>54</v>
      </c>
      <c r="AG1" t="s">
        <v>72</v>
      </c>
    </row>
    <row r="2" spans="1:33"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s="12">
        <f>'Handle Missing Value Sheet only'!$F$5</f>
        <v>139.27096774193564</v>
      </c>
      <c r="V2">
        <v>105.5</v>
      </c>
      <c r="W2">
        <v>104.8</v>
      </c>
      <c r="X2">
        <v>104</v>
      </c>
      <c r="Y2">
        <v>103.3</v>
      </c>
      <c r="Z2">
        <v>103.4</v>
      </c>
      <c r="AA2">
        <v>103.8</v>
      </c>
      <c r="AB2">
        <v>104.7</v>
      </c>
      <c r="AC2">
        <v>104</v>
      </c>
      <c r="AD2">
        <v>105.1</v>
      </c>
      <c r="AE2" s="12">
        <f>AVERAGE(All_India_Index_Upto_April23__1___13[[#This Row],[Cereals and products]:[Pan, tobacco and intoxicants]])</f>
        <v>105.48571428571427</v>
      </c>
      <c r="AF2" s="12">
        <f>AVERAGE(All_India_Index_Upto_April23__1___13[[#This Row],[Household goods and services]],All_India_Index_Upto_April23__1___13[[#This Row],[Housing]])</f>
        <v>122.03548387096782</v>
      </c>
      <c r="AG2" s="12">
        <f>AVERAGE(All_India_Index_Upto_April23__1___13[[#This Row],[Miscellaneous]],All_India_Index_Upto_April23__1___13[[#This Row],[Personal care and effects]],All_India_Index_Upto_April23__1___13[[#This Row],[Education]],All_India_Index_Upto_April23__1___13[[#This Row],[Recreation and amusement]])</f>
        <v>103.97499999999999</v>
      </c>
    </row>
    <row r="3" spans="1:33" hidden="1" x14ac:dyDescent="0.3">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s="12">
        <f>AVERAGE(All_India_Index_Upto_April23__1___13[[#This Row],[Cereals and products]:[Pan, tobacco and intoxicants]])</f>
        <v>105.82857142857144</v>
      </c>
      <c r="AF3" s="12">
        <f>AVERAGE(All_India_Index_Upto_April23__1___13[[#This Row],[Household goods and services]],All_India_Index_Upto_April23__1___13[[#This Row],[Housing]])</f>
        <v>102.55</v>
      </c>
      <c r="AG3" s="12">
        <f>AVERAGE(All_India_Index_Upto_April23__1___13[[#This Row],[Miscellaneous]],All_India_Index_Upto_April23__1___13[[#This Row],[Personal care and effects]],All_India_Index_Upto_April23__1___13[[#This Row],[Education]],All_India_Index_Upto_April23__1___13[[#This Row],[Recreation and amusement]])</f>
        <v>103.6</v>
      </c>
    </row>
    <row r="4" spans="1:33" hidden="1" x14ac:dyDescent="0.3">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s="12">
        <f>AVERAGE(All_India_Index_Upto_April23__1___13[[#This Row],[Cereals and products]:[Pan, tobacco and intoxicants]])</f>
        <v>105.60000000000001</v>
      </c>
      <c r="AF4" s="12">
        <f>AVERAGE(All_India_Index_Upto_April23__1___13[[#This Row],[Household goods and services]],All_India_Index_Upto_April23__1___13[[#This Row],[Housing]])</f>
        <v>102.55</v>
      </c>
      <c r="AG4" s="12">
        <f>AVERAGE(All_India_Index_Upto_April23__1___13[[#This Row],[Miscellaneous]],All_India_Index_Upto_April23__1___13[[#This Row],[Personal care and effects]],All_India_Index_Upto_April23__1___13[[#This Row],[Education]],All_India_Index_Upto_April23__1___13[[#This Row],[Recreation and amusement]])</f>
        <v>103.77500000000001</v>
      </c>
    </row>
    <row r="5" spans="1:33" hidden="1" x14ac:dyDescent="0.3">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s="12">
        <f>'Handle Missing Value Sheet only'!$F$5</f>
        <v>139.27096774193564</v>
      </c>
      <c r="V5">
        <v>106.2</v>
      </c>
      <c r="W5">
        <v>105.2</v>
      </c>
      <c r="X5">
        <v>104.4</v>
      </c>
      <c r="Y5">
        <v>103.9</v>
      </c>
      <c r="Z5">
        <v>104</v>
      </c>
      <c r="AA5">
        <v>104.1</v>
      </c>
      <c r="AB5">
        <v>104.6</v>
      </c>
      <c r="AC5">
        <v>104.4</v>
      </c>
      <c r="AD5">
        <v>105.8</v>
      </c>
      <c r="AE5" s="12">
        <f>AVERAGE(All_India_Index_Upto_April23__1___13[[#This Row],[Cereals and products]:[Pan, tobacco and intoxicants]])</f>
        <v>106.14285714285712</v>
      </c>
      <c r="AF5" s="12">
        <f>AVERAGE(All_India_Index_Upto_April23__1___13[[#This Row],[Household goods and services]],All_India_Index_Upto_April23__1___13[[#This Row],[Housing]])</f>
        <v>122.23548387096781</v>
      </c>
      <c r="AG5" s="12">
        <f>AVERAGE(All_India_Index_Upto_April23__1___13[[#This Row],[Miscellaneous]],All_India_Index_Upto_April23__1___13[[#This Row],[Personal care and effects]],All_India_Index_Upto_April23__1___13[[#This Row],[Education]],All_India_Index_Upto_April23__1___13[[#This Row],[Recreation and amusement]])</f>
        <v>104.27500000000001</v>
      </c>
    </row>
    <row r="6" spans="1:33" hidden="1" x14ac:dyDescent="0.3">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s="12">
        <f>AVERAGE(All_India_Index_Upto_April23__1___13[[#This Row],[Cereals and products]:[Pan, tobacco and intoxicants]])</f>
        <v>106.9</v>
      </c>
      <c r="AF6" s="12">
        <f>AVERAGE(All_India_Index_Upto_April23__1___13[[#This Row],[Household goods and services]],All_India_Index_Upto_April23__1___13[[#This Row],[Housing]])</f>
        <v>102.80000000000001</v>
      </c>
      <c r="AG6" s="12">
        <f>AVERAGE(All_India_Index_Upto_April23__1___13[[#This Row],[Miscellaneous]],All_India_Index_Upto_April23__1___13[[#This Row],[Personal care and effects]],All_India_Index_Upto_April23__1___13[[#This Row],[Education]],All_India_Index_Upto_April23__1___13[[#This Row],[Recreation and amusement]])</f>
        <v>103.9</v>
      </c>
    </row>
    <row r="7" spans="1:33" hidden="1" x14ac:dyDescent="0.3">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s="12">
        <f>AVERAGE(All_India_Index_Upto_April23__1___13[[#This Row],[Cereals and products]:[Pan, tobacco and intoxicants]])</f>
        <v>106.42142857142858</v>
      </c>
      <c r="AF7" s="12">
        <f>AVERAGE(All_India_Index_Upto_April23__1___13[[#This Row],[Household goods and services]],All_India_Index_Upto_April23__1___13[[#This Row],[Housing]])</f>
        <v>102.80000000000001</v>
      </c>
      <c r="AG7" s="12">
        <f>AVERAGE(All_India_Index_Upto_April23__1___13[[#This Row],[Miscellaneous]],All_India_Index_Upto_April23__1___13[[#This Row],[Personal care and effects]],All_India_Index_Upto_April23__1___13[[#This Row],[Education]],All_India_Index_Upto_April23__1___13[[#This Row],[Recreation and amusement]])</f>
        <v>104.1</v>
      </c>
    </row>
    <row r="8" spans="1:33" hidden="1" x14ac:dyDescent="0.3">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s="12">
        <f>'Handle Missing Value Sheet only'!$F$5</f>
        <v>139.27096774193564</v>
      </c>
      <c r="V8">
        <v>106.1</v>
      </c>
      <c r="W8">
        <v>105.6</v>
      </c>
      <c r="X8">
        <v>104.7</v>
      </c>
      <c r="Y8">
        <v>104.6</v>
      </c>
      <c r="Z8">
        <v>104</v>
      </c>
      <c r="AA8">
        <v>104.3</v>
      </c>
      <c r="AB8">
        <v>104.3</v>
      </c>
      <c r="AC8">
        <v>104.6</v>
      </c>
      <c r="AD8">
        <v>106</v>
      </c>
      <c r="AE8" s="12">
        <f>AVERAGE(All_India_Index_Upto_April23__1___13[[#This Row],[Cereals and products]:[Pan, tobacco and intoxicants]])</f>
        <v>106.33571428571429</v>
      </c>
      <c r="AF8" s="12">
        <f>AVERAGE(All_India_Index_Upto_April23__1___13[[#This Row],[Household goods and services]],All_India_Index_Upto_April23__1___13[[#This Row],[Housing]])</f>
        <v>122.43548387096781</v>
      </c>
      <c r="AG8" s="12">
        <f>AVERAGE(All_India_Index_Upto_April23__1___13[[#This Row],[Miscellaneous]],All_India_Index_Upto_April23__1___13[[#This Row],[Personal care and effects]],All_India_Index_Upto_April23__1___13[[#This Row],[Education]],All_India_Index_Upto_April23__1___13[[#This Row],[Recreation and amusement]])</f>
        <v>104.3</v>
      </c>
    </row>
    <row r="9" spans="1:33" hidden="1" x14ac:dyDescent="0.3">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s="12">
        <f>AVERAGE(All_India_Index_Upto_April23__1___13[[#This Row],[Cereals and products]:[Pan, tobacco and intoxicants]])</f>
        <v>106.68571428571428</v>
      </c>
      <c r="AF9" s="12">
        <f>AVERAGE(All_India_Index_Upto_April23__1___13[[#This Row],[Household goods and services]],All_India_Index_Upto_April23__1___13[[#This Row],[Housing]])</f>
        <v>103.05000000000001</v>
      </c>
      <c r="AG9" s="12">
        <f>AVERAGE(All_India_Index_Upto_April23__1___13[[#This Row],[Miscellaneous]],All_India_Index_Upto_April23__1___13[[#This Row],[Personal care and effects]],All_India_Index_Upto_April23__1___13[[#This Row],[Education]],All_India_Index_Upto_April23__1___13[[#This Row],[Recreation and amusement]])</f>
        <v>104.10000000000001</v>
      </c>
    </row>
    <row r="10" spans="1:33" hidden="1" x14ac:dyDescent="0.3">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s="12">
        <f>AVERAGE(All_India_Index_Upto_April23__1___13[[#This Row],[Cereals and products]:[Pan, tobacco and intoxicants]])</f>
        <v>106.47142857142858</v>
      </c>
      <c r="AF10" s="12">
        <f>AVERAGE(All_India_Index_Upto_April23__1___13[[#This Row],[Household goods and services]],All_India_Index_Upto_April23__1___13[[#This Row],[Housing]])</f>
        <v>103</v>
      </c>
      <c r="AG10" s="12">
        <f>AVERAGE(All_India_Index_Upto_April23__1___13[[#This Row],[Miscellaneous]],All_India_Index_Upto_April23__1___13[[#This Row],[Personal care and effects]],All_India_Index_Upto_April23__1___13[[#This Row],[Education]],All_India_Index_Upto_April23__1___13[[#This Row],[Recreation and amusement]])</f>
        <v>104.175</v>
      </c>
    </row>
    <row r="11" spans="1:33" hidden="1" x14ac:dyDescent="0.3">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s="12">
        <f>'Handle Missing Value Sheet only'!$F$5</f>
        <v>139.27096774193564</v>
      </c>
      <c r="V11">
        <v>106.5</v>
      </c>
      <c r="W11">
        <v>106.1</v>
      </c>
      <c r="X11">
        <v>105.1</v>
      </c>
      <c r="Y11">
        <v>104.4</v>
      </c>
      <c r="Z11">
        <v>104.5</v>
      </c>
      <c r="AA11">
        <v>104.8</v>
      </c>
      <c r="AB11">
        <v>102.7</v>
      </c>
      <c r="AC11">
        <v>104.6</v>
      </c>
      <c r="AD11">
        <v>106.4</v>
      </c>
      <c r="AE11" s="12">
        <f>AVERAGE(All_India_Index_Upto_April23__1___13[[#This Row],[Cereals and products]:[Pan, tobacco and intoxicants]])</f>
        <v>106.63571428571427</v>
      </c>
      <c r="AF11" s="12">
        <f>AVERAGE(All_India_Index_Upto_April23__1___13[[#This Row],[Household goods and services]],All_India_Index_Upto_April23__1___13[[#This Row],[Housing]])</f>
        <v>122.68548387096781</v>
      </c>
      <c r="AG11" s="12">
        <f>AVERAGE(All_India_Index_Upto_April23__1___13[[#This Row],[Miscellaneous]],All_India_Index_Upto_April23__1___13[[#This Row],[Personal care and effects]],All_India_Index_Upto_April23__1___13[[#This Row],[Education]],All_India_Index_Upto_April23__1___13[[#This Row],[Recreation and amusement]])</f>
        <v>104.15</v>
      </c>
    </row>
    <row r="12" spans="1:33" hidden="1" x14ac:dyDescent="0.3">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s="12">
        <f>AVERAGE(All_India_Index_Upto_April23__1___13[[#This Row],[Cereals and products]:[Pan, tobacco and intoxicants]])</f>
        <v>107.58571428571427</v>
      </c>
      <c r="AF12" s="12">
        <f>AVERAGE(All_India_Index_Upto_April23__1___13[[#This Row],[Household goods and services]],All_India_Index_Upto_April23__1___13[[#This Row],[Housing]])</f>
        <v>103.5</v>
      </c>
      <c r="AG12" s="12">
        <f>AVERAGE(All_India_Index_Upto_April23__1___13[[#This Row],[Miscellaneous]],All_India_Index_Upto_April23__1___13[[#This Row],[Personal care and effects]],All_India_Index_Upto_April23__1___13[[#This Row],[Education]],All_India_Index_Upto_April23__1___13[[#This Row],[Recreation and amusement]])</f>
        <v>104.375</v>
      </c>
    </row>
    <row r="13" spans="1:33" hidden="1" x14ac:dyDescent="0.3">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s="12">
        <f>AVERAGE(All_India_Index_Upto_April23__1___13[[#This Row],[Cereals and products]:[Pan, tobacco and intoxicants]])</f>
        <v>106.97857142857143</v>
      </c>
      <c r="AF13" s="12">
        <f>AVERAGE(All_India_Index_Upto_April23__1___13[[#This Row],[Household goods and services]],All_India_Index_Upto_April23__1___13[[#This Row],[Housing]])</f>
        <v>103.4</v>
      </c>
      <c r="AG13" s="12">
        <f>AVERAGE(All_India_Index_Upto_April23__1___13[[#This Row],[Miscellaneous]],All_India_Index_Upto_April23__1___13[[#This Row],[Personal care and effects]],All_India_Index_Upto_April23__1___13[[#This Row],[Education]],All_India_Index_Upto_April23__1___13[[#This Row],[Recreation and amusement]])</f>
        <v>104.22499999999999</v>
      </c>
    </row>
    <row r="14" spans="1:33" hidden="1" x14ac:dyDescent="0.3">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s="12">
        <f>'Handle Missing Value Sheet only'!$F$5</f>
        <v>139.27096774193564</v>
      </c>
      <c r="V14">
        <v>107.5</v>
      </c>
      <c r="W14">
        <v>106.8</v>
      </c>
      <c r="X14">
        <v>105.7</v>
      </c>
      <c r="Y14">
        <v>104.1</v>
      </c>
      <c r="Z14">
        <v>105</v>
      </c>
      <c r="AA14">
        <v>105.5</v>
      </c>
      <c r="AB14">
        <v>102.1</v>
      </c>
      <c r="AC14">
        <v>104.8</v>
      </c>
      <c r="AD14">
        <v>107.2</v>
      </c>
      <c r="AE14" s="12">
        <f>AVERAGE(All_India_Index_Upto_April23__1___13[[#This Row],[Cereals and products]:[Pan, tobacco and intoxicants]])</f>
        <v>107.29285714285713</v>
      </c>
      <c r="AF14" s="12">
        <f>AVERAGE(All_India_Index_Upto_April23__1___13[[#This Row],[Household goods and services]],All_India_Index_Upto_April23__1___13[[#This Row],[Housing]])</f>
        <v>123.03548387096782</v>
      </c>
      <c r="AG14" s="12">
        <f>AVERAGE(All_India_Index_Upto_April23__1___13[[#This Row],[Miscellaneous]],All_India_Index_Upto_April23__1___13[[#This Row],[Personal care and effects]],All_India_Index_Upto_April23__1___13[[#This Row],[Education]],All_India_Index_Upto_April23__1___13[[#This Row],[Recreation and amusement]])</f>
        <v>104.35</v>
      </c>
    </row>
    <row r="15" spans="1:33" hidden="1" x14ac:dyDescent="0.3">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s="12">
        <f>AVERAGE(All_India_Index_Upto_April23__1___13[[#This Row],[Cereals and products]:[Pan, tobacco and intoxicants]])</f>
        <v>109.07142857142856</v>
      </c>
      <c r="AF15" s="12">
        <f>AVERAGE(All_India_Index_Upto_April23__1___13[[#This Row],[Household goods and services]],All_India_Index_Upto_April23__1___13[[#This Row],[Housing]])</f>
        <v>103.8</v>
      </c>
      <c r="AG15" s="12">
        <f>AVERAGE(All_India_Index_Upto_April23__1___13[[#This Row],[Miscellaneous]],All_India_Index_Upto_April23__1___13[[#This Row],[Personal care and effects]],All_India_Index_Upto_April23__1___13[[#This Row],[Education]],All_India_Index_Upto_April23__1___13[[#This Row],[Recreation and amusement]])</f>
        <v>104.44999999999999</v>
      </c>
    </row>
    <row r="16" spans="1:33" hidden="1" x14ac:dyDescent="0.3">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s="12">
        <f>AVERAGE(All_India_Index_Upto_April23__1___13[[#This Row],[Cereals and products]:[Pan, tobacco and intoxicants]])</f>
        <v>107.9142857142857</v>
      </c>
      <c r="AF16" s="12">
        <f>AVERAGE(All_India_Index_Upto_April23__1___13[[#This Row],[Household goods and services]],All_India_Index_Upto_April23__1___13[[#This Row],[Housing]])</f>
        <v>103.7</v>
      </c>
      <c r="AG16" s="12">
        <f>AVERAGE(All_India_Index_Upto_April23__1___13[[#This Row],[Miscellaneous]],All_India_Index_Upto_April23__1___13[[#This Row],[Personal care and effects]],All_India_Index_Upto_April23__1___13[[#This Row],[Education]],All_India_Index_Upto_April23__1___13[[#This Row],[Recreation and amusement]])</f>
        <v>104.375</v>
      </c>
    </row>
    <row r="17" spans="1:33" hidden="1" x14ac:dyDescent="0.3">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s="12">
        <f>'Handle Missing Value Sheet only'!$F$5</f>
        <v>139.27096774193564</v>
      </c>
      <c r="V17">
        <v>108.5</v>
      </c>
      <c r="W17">
        <v>107.5</v>
      </c>
      <c r="X17">
        <v>106.3</v>
      </c>
      <c r="Y17">
        <v>105</v>
      </c>
      <c r="Z17">
        <v>105.6</v>
      </c>
      <c r="AA17">
        <v>106.5</v>
      </c>
      <c r="AB17">
        <v>102.5</v>
      </c>
      <c r="AC17">
        <v>105.5</v>
      </c>
      <c r="AD17">
        <v>108.9</v>
      </c>
      <c r="AE17" s="12">
        <f>AVERAGE(All_India_Index_Upto_April23__1___13[[#This Row],[Cereals and products]:[Pan, tobacco and intoxicants]])</f>
        <v>109.21428571428571</v>
      </c>
      <c r="AF17" s="12">
        <f>AVERAGE(All_India_Index_Upto_April23__1___13[[#This Row],[Household goods and services]],All_India_Index_Upto_April23__1___13[[#This Row],[Housing]])</f>
        <v>123.38548387096782</v>
      </c>
      <c r="AG17" s="12">
        <f>AVERAGE(All_India_Index_Upto_April23__1___13[[#This Row],[Miscellaneous]],All_India_Index_Upto_April23__1___13[[#This Row],[Personal care and effects]],All_India_Index_Upto_April23__1___13[[#This Row],[Education]],All_India_Index_Upto_April23__1___13[[#This Row],[Recreation and amusement]])</f>
        <v>105.02500000000001</v>
      </c>
    </row>
    <row r="18" spans="1:33" hidden="1" x14ac:dyDescent="0.3">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s="12">
        <f>AVERAGE(All_India_Index_Upto_April23__1___13[[#This Row],[Cereals and products]:[Pan, tobacco and intoxicants]])</f>
        <v>112.53571428571431</v>
      </c>
      <c r="AF18" s="12">
        <f>AVERAGE(All_India_Index_Upto_April23__1___13[[#This Row],[Household goods and services]],All_India_Index_Upto_April23__1___13[[#This Row],[Housing]])</f>
        <v>107.15</v>
      </c>
      <c r="AG18" s="12">
        <f>AVERAGE(All_India_Index_Upto_April23__1___13[[#This Row],[Miscellaneous]],All_India_Index_Upto_April23__1___13[[#This Row],[Personal care and effects]],All_India_Index_Upto_April23__1___13[[#This Row],[Education]],All_India_Index_Upto_April23__1___13[[#This Row],[Recreation and amusement]])</f>
        <v>105.675</v>
      </c>
    </row>
    <row r="19" spans="1:33" hidden="1" x14ac:dyDescent="0.3">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s="12">
        <f>AVERAGE(All_India_Index_Upto_April23__1___13[[#This Row],[Cereals and products]:[Pan, tobacco and intoxicants]])</f>
        <v>110.39285714285714</v>
      </c>
      <c r="AF19" s="12">
        <f>AVERAGE(All_India_Index_Upto_April23__1___13[[#This Row],[Household goods and services]],All_India_Index_Upto_April23__1___13[[#This Row],[Housing]])</f>
        <v>107.1</v>
      </c>
      <c r="AG19" s="12">
        <f>AVERAGE(All_India_Index_Upto_April23__1___13[[#This Row],[Miscellaneous]],All_India_Index_Upto_April23__1___13[[#This Row],[Personal care and effects]],All_India_Index_Upto_April23__1___13[[#This Row],[Education]],All_India_Index_Upto_April23__1___13[[#This Row],[Recreation and amusement]])</f>
        <v>105.35</v>
      </c>
    </row>
    <row r="20" spans="1:33" hidden="1" x14ac:dyDescent="0.3">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s="12">
        <f>'Handle Missing Value Sheet only'!$F$5</f>
        <v>139.27096774193564</v>
      </c>
      <c r="V20">
        <v>109.5</v>
      </c>
      <c r="W20">
        <v>108.3</v>
      </c>
      <c r="X20">
        <v>106.9</v>
      </c>
      <c r="Y20">
        <v>106.8</v>
      </c>
      <c r="Z20">
        <v>106.4</v>
      </c>
      <c r="AA20">
        <v>107.8</v>
      </c>
      <c r="AB20">
        <v>102.5</v>
      </c>
      <c r="AC20">
        <v>106.5</v>
      </c>
      <c r="AD20">
        <v>110.7</v>
      </c>
      <c r="AE20" s="12">
        <f>AVERAGE(All_India_Index_Upto_April23__1___13[[#This Row],[Cereals and products]:[Pan, tobacco and intoxicants]])</f>
        <v>111.12142857142854</v>
      </c>
      <c r="AF20" s="12">
        <f>AVERAGE(All_India_Index_Upto_April23__1___13[[#This Row],[Household goods and services]],All_India_Index_Upto_April23__1___13[[#This Row],[Housing]])</f>
        <v>123.78548387096782</v>
      </c>
      <c r="AG20" s="12">
        <f>AVERAGE(All_India_Index_Upto_April23__1___13[[#This Row],[Miscellaneous]],All_India_Index_Upto_April23__1___13[[#This Row],[Personal care and effects]],All_India_Index_Upto_April23__1___13[[#This Row],[Education]],All_India_Index_Upto_April23__1___13[[#This Row],[Recreation and amusement]])</f>
        <v>105.80000000000001</v>
      </c>
    </row>
    <row r="21" spans="1:33" hidden="1" x14ac:dyDescent="0.3">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s="12">
        <f>AVERAGE(All_India_Index_Upto_April23__1___13[[#This Row],[Cereals and products]:[Pan, tobacco and intoxicants]])</f>
        <v>114.36428571428573</v>
      </c>
      <c r="AF21" s="12">
        <f>AVERAGE(All_India_Index_Upto_April23__1___13[[#This Row],[Household goods and services]],All_India_Index_Upto_April23__1___13[[#This Row],[Housing]])</f>
        <v>107.9</v>
      </c>
      <c r="AG21" s="12">
        <f>AVERAGE(All_India_Index_Upto_April23__1___13[[#This Row],[Miscellaneous]],All_India_Index_Upto_April23__1___13[[#This Row],[Personal care and effects]],All_India_Index_Upto_April23__1___13[[#This Row],[Education]],All_India_Index_Upto_April23__1___13[[#This Row],[Recreation and amusement]])</f>
        <v>106.625</v>
      </c>
    </row>
    <row r="22" spans="1:33" hidden="1" x14ac:dyDescent="0.3">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s="12">
        <f>AVERAGE(All_India_Index_Upto_April23__1___13[[#This Row],[Cereals and products]:[Pan, tobacco and intoxicants]])</f>
        <v>112.26428571428571</v>
      </c>
      <c r="AF22" s="12">
        <f>AVERAGE(All_India_Index_Upto_April23__1___13[[#This Row],[Household goods and services]],All_India_Index_Upto_April23__1___13[[#This Row],[Housing]])</f>
        <v>107.95</v>
      </c>
      <c r="AG22" s="12">
        <f>AVERAGE(All_India_Index_Upto_April23__1___13[[#This Row],[Miscellaneous]],All_India_Index_Upto_April23__1___13[[#This Row],[Personal care and effects]],All_India_Index_Upto_April23__1___13[[#This Row],[Education]],All_India_Index_Upto_April23__1___13[[#This Row],[Recreation and amusement]])</f>
        <v>106.22499999999999</v>
      </c>
    </row>
    <row r="23" spans="1:33" hidden="1" x14ac:dyDescent="0.3">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s="12">
        <f>'Handle Missing Value Sheet only'!$F$5</f>
        <v>139.27096774193564</v>
      </c>
      <c r="V23">
        <v>109.9</v>
      </c>
      <c r="W23">
        <v>108.7</v>
      </c>
      <c r="X23">
        <v>107.5</v>
      </c>
      <c r="Y23">
        <v>107.8</v>
      </c>
      <c r="Z23">
        <v>106.8</v>
      </c>
      <c r="AA23">
        <v>108.7</v>
      </c>
      <c r="AB23">
        <v>105</v>
      </c>
      <c r="AC23">
        <v>107.5</v>
      </c>
      <c r="AD23">
        <v>112.1</v>
      </c>
      <c r="AE23" s="12">
        <f>AVERAGE(All_India_Index_Upto_April23__1___13[[#This Row],[Cereals and products]:[Pan, tobacco and intoxicants]])</f>
        <v>112.37142857142858</v>
      </c>
      <c r="AF23" s="12">
        <f>AVERAGE(All_India_Index_Upto_April23__1___13[[#This Row],[Household goods and services]],All_India_Index_Upto_April23__1___13[[#This Row],[Housing]])</f>
        <v>123.98548387096781</v>
      </c>
      <c r="AG23" s="12">
        <f>AVERAGE(All_India_Index_Upto_April23__1___13[[#This Row],[Miscellaneous]],All_India_Index_Upto_April23__1___13[[#This Row],[Personal care and effects]],All_India_Index_Upto_April23__1___13[[#This Row],[Education]],All_India_Index_Upto_April23__1___13[[#This Row],[Recreation and amusement]])</f>
        <v>107</v>
      </c>
    </row>
    <row r="24" spans="1:33" hidden="1" x14ac:dyDescent="0.3">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s="12">
        <f>AVERAGE(All_India_Index_Upto_April23__1___13[[#This Row],[Cereals and products]:[Pan, tobacco and intoxicants]])</f>
        <v>115.60714285714288</v>
      </c>
      <c r="AF24" s="12">
        <f>AVERAGE(All_India_Index_Upto_April23__1___13[[#This Row],[Household goods and services]],All_India_Index_Upto_April23__1___13[[#This Row],[Housing]])</f>
        <v>108.80000000000001</v>
      </c>
      <c r="AG24" s="12">
        <f>AVERAGE(All_India_Index_Upto_April23__1___13[[#This Row],[Miscellaneous]],All_India_Index_Upto_April23__1___13[[#This Row],[Personal care and effects]],All_India_Index_Upto_April23__1___13[[#This Row],[Education]],All_India_Index_Upto_April23__1___13[[#This Row],[Recreation and amusement]])</f>
        <v>107.9</v>
      </c>
    </row>
    <row r="25" spans="1:33" hidden="1" x14ac:dyDescent="0.3">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s="12">
        <f>AVERAGE(All_India_Index_Upto_April23__1___13[[#This Row],[Cereals and products]:[Pan, tobacco and intoxicants]])</f>
        <v>113.47142857142858</v>
      </c>
      <c r="AF25" s="12">
        <f>AVERAGE(All_India_Index_Upto_April23__1___13[[#This Row],[Household goods and services]],All_India_Index_Upto_April23__1___13[[#This Row],[Housing]])</f>
        <v>108.80000000000001</v>
      </c>
      <c r="AG25" s="12">
        <f>AVERAGE(All_India_Index_Upto_April23__1___13[[#This Row],[Miscellaneous]],All_India_Index_Upto_April23__1___13[[#This Row],[Personal care and effects]],All_India_Index_Upto_April23__1___13[[#This Row],[Education]],All_India_Index_Upto_April23__1___13[[#This Row],[Recreation and amusement]])</f>
        <v>107.45000000000002</v>
      </c>
    </row>
    <row r="26" spans="1:33" hidden="1" x14ac:dyDescent="0.3">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s="12">
        <f>'Handle Missing Value Sheet only'!$F$5</f>
        <v>139.27096774193564</v>
      </c>
      <c r="V26">
        <v>111.1</v>
      </c>
      <c r="W26">
        <v>109.6</v>
      </c>
      <c r="X26">
        <v>108.3</v>
      </c>
      <c r="Y26">
        <v>109.3</v>
      </c>
      <c r="Z26">
        <v>107.7</v>
      </c>
      <c r="AA26">
        <v>109.8</v>
      </c>
      <c r="AB26">
        <v>106.7</v>
      </c>
      <c r="AC26">
        <v>108.7</v>
      </c>
      <c r="AD26">
        <v>114.2</v>
      </c>
      <c r="AE26" s="12">
        <f>AVERAGE(All_India_Index_Upto_April23__1___13[[#This Row],[Cereals and products]:[Pan, tobacco and intoxicants]])</f>
        <v>114.30000000000003</v>
      </c>
      <c r="AF26" s="12">
        <f>AVERAGE(All_India_Index_Upto_April23__1___13[[#This Row],[Household goods and services]],All_India_Index_Upto_April23__1___13[[#This Row],[Housing]])</f>
        <v>124.43548387096781</v>
      </c>
      <c r="AG26" s="12">
        <f>AVERAGE(All_India_Index_Upto_April23__1___13[[#This Row],[Miscellaneous]],All_India_Index_Upto_April23__1___13[[#This Row],[Personal care and effects]],All_India_Index_Upto_April23__1___13[[#This Row],[Education]],All_India_Index_Upto_April23__1___13[[#This Row],[Recreation and amusement]])</f>
        <v>108.22499999999999</v>
      </c>
    </row>
    <row r="27" spans="1:33" hidden="1" x14ac:dyDescent="0.3">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s="12">
        <f>AVERAGE(All_India_Index_Upto_April23__1___13[[#This Row],[Cereals and products]:[Pan, tobacco and intoxicants]])</f>
        <v>115.23571428571429</v>
      </c>
      <c r="AF27" s="12">
        <f>AVERAGE(All_India_Index_Upto_April23__1___13[[#This Row],[Household goods and services]],All_India_Index_Upto_April23__1___13[[#This Row],[Housing]])</f>
        <v>109.65</v>
      </c>
      <c r="AG27" s="12">
        <f>AVERAGE(All_India_Index_Upto_April23__1___13[[#This Row],[Miscellaneous]],All_India_Index_Upto_April23__1___13[[#This Row],[Personal care and effects]],All_India_Index_Upto_April23__1___13[[#This Row],[Education]],All_India_Index_Upto_April23__1___13[[#This Row],[Recreation and amusement]])</f>
        <v>108.72499999999999</v>
      </c>
    </row>
    <row r="28" spans="1:33" hidden="1" x14ac:dyDescent="0.3">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s="12">
        <f>AVERAGE(All_India_Index_Upto_April23__1___13[[#This Row],[Cereals and products]:[Pan, tobacco and intoxicants]])</f>
        <v>114.54999999999998</v>
      </c>
      <c r="AF28" s="12">
        <f>AVERAGE(All_India_Index_Upto_April23__1___13[[#This Row],[Household goods and services]],All_India_Index_Upto_April23__1___13[[#This Row],[Housing]])</f>
        <v>109.65</v>
      </c>
      <c r="AG28" s="12">
        <f>AVERAGE(All_India_Index_Upto_April23__1___13[[#This Row],[Miscellaneous]],All_India_Index_Upto_April23__1___13[[#This Row],[Personal care and effects]],All_India_Index_Upto_April23__1___13[[#This Row],[Education]],All_India_Index_Upto_April23__1___13[[#This Row],[Recreation and amusement]])</f>
        <v>108.47499999999999</v>
      </c>
    </row>
    <row r="29" spans="1:33" hidden="1" x14ac:dyDescent="0.3">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s="12">
        <f>'Handle Missing Value Sheet only'!$F$5</f>
        <v>139.27096774193564</v>
      </c>
      <c r="V29">
        <v>111.6</v>
      </c>
      <c r="W29">
        <v>110.4</v>
      </c>
      <c r="X29">
        <v>108.9</v>
      </c>
      <c r="Y29">
        <v>109.3</v>
      </c>
      <c r="Z29">
        <v>108.3</v>
      </c>
      <c r="AA29">
        <v>110.2</v>
      </c>
      <c r="AB29">
        <v>107.5</v>
      </c>
      <c r="AC29">
        <v>109.1</v>
      </c>
      <c r="AD29">
        <v>115.5</v>
      </c>
      <c r="AE29" s="12">
        <f>AVERAGE(All_India_Index_Upto_April23__1___13[[#This Row],[Cereals and products]:[Pan, tobacco and intoxicants]])</f>
        <v>115.72857142857143</v>
      </c>
      <c r="AF29" s="12">
        <f>AVERAGE(All_India_Index_Upto_April23__1___13[[#This Row],[Household goods and services]],All_India_Index_Upto_April23__1___13[[#This Row],[Housing]])</f>
        <v>124.83548387096782</v>
      </c>
      <c r="AG29" s="12">
        <f>AVERAGE(All_India_Index_Upto_April23__1___13[[#This Row],[Miscellaneous]],All_India_Index_Upto_April23__1___13[[#This Row],[Personal care and effects]],All_India_Index_Upto_April23__1___13[[#This Row],[Education]],All_India_Index_Upto_April23__1___13[[#This Row],[Recreation and amusement]])</f>
        <v>108.77500000000001</v>
      </c>
    </row>
    <row r="30" spans="1:33" hidden="1" x14ac:dyDescent="0.3">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s="12">
        <f>AVERAGE(All_India_Index_Upto_April23__1___13[[#This Row],[Cereals and products]:[Pan, tobacco and intoxicants]])</f>
        <v>116.47857142857141</v>
      </c>
      <c r="AF30" s="12">
        <f>AVERAGE(All_India_Index_Upto_April23__1___13[[#This Row],[Household goods and services]],All_India_Index_Upto_April23__1___13[[#This Row],[Housing]])</f>
        <v>110.35</v>
      </c>
      <c r="AG30" s="12">
        <f>AVERAGE(All_India_Index_Upto_April23__1___13[[#This Row],[Miscellaneous]],All_India_Index_Upto_April23__1___13[[#This Row],[Personal care and effects]],All_India_Index_Upto_April23__1___13[[#This Row],[Education]],All_India_Index_Upto_April23__1___13[[#This Row],[Recreation and amusement]])</f>
        <v>109</v>
      </c>
    </row>
    <row r="31" spans="1:33" hidden="1" x14ac:dyDescent="0.3">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s="12">
        <f>AVERAGE(All_India_Index_Upto_April23__1___13[[#This Row],[Cereals and products]:[Pan, tobacco and intoxicants]])</f>
        <v>115.90714285714287</v>
      </c>
      <c r="AF31" s="12">
        <f>AVERAGE(All_India_Index_Upto_April23__1___13[[#This Row],[Household goods and services]],All_India_Index_Upto_April23__1___13[[#This Row],[Housing]])</f>
        <v>110.4</v>
      </c>
      <c r="AG31" s="12">
        <f>AVERAGE(All_India_Index_Upto_April23__1___13[[#This Row],[Miscellaneous]],All_India_Index_Upto_April23__1___13[[#This Row],[Personal care and effects]],All_India_Index_Upto_April23__1___13[[#This Row],[Education]],All_India_Index_Upto_April23__1___13[[#This Row],[Recreation and amusement]])</f>
        <v>108.875</v>
      </c>
    </row>
    <row r="32" spans="1:33" hidden="1" x14ac:dyDescent="0.3">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s="12">
        <f>'Handle Missing Value Sheet only'!$F$5</f>
        <v>139.27096774193564</v>
      </c>
      <c r="V32">
        <v>112.6</v>
      </c>
      <c r="W32">
        <v>111.3</v>
      </c>
      <c r="X32">
        <v>109.7</v>
      </c>
      <c r="Y32">
        <v>109.6</v>
      </c>
      <c r="Z32">
        <v>108.7</v>
      </c>
      <c r="AA32">
        <v>111</v>
      </c>
      <c r="AB32">
        <v>108.2</v>
      </c>
      <c r="AC32">
        <v>109.8</v>
      </c>
      <c r="AD32">
        <v>117.4</v>
      </c>
      <c r="AE32" s="12">
        <f>AVERAGE(All_India_Index_Upto_April23__1___13[[#This Row],[Cereals and products]:[Pan, tobacco and intoxicants]])</f>
        <v>117.82857142857142</v>
      </c>
      <c r="AF32" s="12">
        <f>AVERAGE(All_India_Index_Upto_April23__1___13[[#This Row],[Household goods and services]],All_India_Index_Upto_April23__1___13[[#This Row],[Housing]])</f>
        <v>125.28548387096782</v>
      </c>
      <c r="AG32" s="12">
        <f>AVERAGE(All_India_Index_Upto_April23__1___13[[#This Row],[Miscellaneous]],All_India_Index_Upto_April23__1___13[[#This Row],[Personal care and effects]],All_India_Index_Upto_April23__1___13[[#This Row],[Education]],All_India_Index_Upto_April23__1___13[[#This Row],[Recreation and amusement]])</f>
        <v>109.425</v>
      </c>
    </row>
    <row r="33" spans="1:33" hidden="1" x14ac:dyDescent="0.3">
      <c r="A33" t="s">
        <v>32</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s="12">
        <f>AVERAGE(All_India_Index_Upto_April23__1___13[[#This Row],[Cereals and products]:[Pan, tobacco and intoxicants]])</f>
        <v>118.47857142857141</v>
      </c>
      <c r="AF33" s="12">
        <f>AVERAGE(All_India_Index_Upto_April23__1___13[[#This Row],[Household goods and services]],All_India_Index_Upto_April23__1___13[[#This Row],[Housing]])</f>
        <v>111</v>
      </c>
      <c r="AG33" s="12">
        <f>AVERAGE(All_India_Index_Upto_April23__1___13[[#This Row],[Miscellaneous]],All_India_Index_Upto_April23__1___13[[#This Row],[Personal care and effects]],All_India_Index_Upto_April23__1___13[[#This Row],[Education]],All_India_Index_Upto_April23__1___13[[#This Row],[Recreation and amusement]])</f>
        <v>109.325</v>
      </c>
    </row>
    <row r="34" spans="1:33" hidden="1" x14ac:dyDescent="0.3">
      <c r="A34" t="s">
        <v>33</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s="12">
        <f>AVERAGE(All_India_Index_Upto_April23__1___13[[#This Row],[Cereals and products]:[Pan, tobacco and intoxicants]])</f>
        <v>117.99285714285713</v>
      </c>
      <c r="AF34" s="12">
        <f>AVERAGE(All_India_Index_Upto_April23__1___13[[#This Row],[Household goods and services]],All_India_Index_Upto_April23__1___13[[#This Row],[Housing]])</f>
        <v>111.1</v>
      </c>
      <c r="AG34" s="12">
        <f>AVERAGE(All_India_Index_Upto_April23__1___13[[#This Row],[Miscellaneous]],All_India_Index_Upto_April23__1___13[[#This Row],[Personal care and effects]],All_India_Index_Upto_April23__1___13[[#This Row],[Education]],All_India_Index_Upto_April23__1___13[[#This Row],[Recreation and amusement]])</f>
        <v>109.4</v>
      </c>
    </row>
    <row r="35" spans="1:33" hidden="1"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s="12">
        <f>'Handle Missing Value Sheet only'!$F$5</f>
        <v>139.27096774193564</v>
      </c>
      <c r="V35">
        <v>112.8</v>
      </c>
      <c r="W35">
        <v>112.1</v>
      </c>
      <c r="X35">
        <v>110.1</v>
      </c>
      <c r="Y35">
        <v>109.9</v>
      </c>
      <c r="Z35">
        <v>109.2</v>
      </c>
      <c r="AA35">
        <v>111.6</v>
      </c>
      <c r="AB35">
        <v>108.1</v>
      </c>
      <c r="AC35">
        <v>110.1</v>
      </c>
      <c r="AD35">
        <v>115.5</v>
      </c>
      <c r="AE35" s="12">
        <f>AVERAGE(All_India_Index_Upto_April23__1___13[[#This Row],[Cereals and products]:[Pan, tobacco and intoxicants]])</f>
        <v>115.89999999999999</v>
      </c>
      <c r="AF35" s="12">
        <f>AVERAGE(All_India_Index_Upto_April23__1___13[[#This Row],[Household goods and services]],All_India_Index_Upto_April23__1___13[[#This Row],[Housing]])</f>
        <v>125.68548387096781</v>
      </c>
      <c r="AG35" s="12">
        <f>AVERAGE(All_India_Index_Upto_April23__1___13[[#This Row],[Miscellaneous]],All_India_Index_Upto_April23__1___13[[#This Row],[Personal care and effects]],All_India_Index_Upto_April23__1___13[[#This Row],[Education]],All_India_Index_Upto_April23__1___13[[#This Row],[Recreation and amusement]])</f>
        <v>109.74999999999999</v>
      </c>
    </row>
    <row r="36" spans="1:33" hidden="1" x14ac:dyDescent="0.3">
      <c r="A36" t="s">
        <v>32</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s="12">
        <f>AVERAGE(All_India_Index_Upto_April23__1___13[[#This Row],[Cereals and products]:[Pan, tobacco and intoxicants]])</f>
        <v>115.67142857142858</v>
      </c>
      <c r="AF36" s="12">
        <f>AVERAGE(All_India_Index_Upto_April23__1___13[[#This Row],[Household goods and services]],All_India_Index_Upto_April23__1___13[[#This Row],[Housing]])</f>
        <v>111</v>
      </c>
      <c r="AG36" s="12">
        <f>AVERAGE(All_India_Index_Upto_April23__1___13[[#This Row],[Miscellaneous]],All_India_Index_Upto_April23__1___13[[#This Row],[Personal care and effects]],All_India_Index_Upto_April23__1___13[[#This Row],[Education]],All_India_Index_Upto_April23__1___13[[#This Row],[Recreation and amusement]])</f>
        <v>109.44999999999999</v>
      </c>
    </row>
    <row r="37" spans="1:33" hidden="1" x14ac:dyDescent="0.3">
      <c r="A37" t="s">
        <v>33</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s="12">
        <f>AVERAGE(All_India_Index_Upto_April23__1___13[[#This Row],[Cereals and products]:[Pan, tobacco and intoxicants]])</f>
        <v>115.80714285714286</v>
      </c>
      <c r="AF37" s="12">
        <f>AVERAGE(All_India_Index_Upto_April23__1___13[[#This Row],[Household goods and services]],All_India_Index_Upto_April23__1___13[[#This Row],[Housing]])</f>
        <v>111.2</v>
      </c>
      <c r="AG37" s="12">
        <f>AVERAGE(All_India_Index_Upto_April23__1___13[[#This Row],[Miscellaneous]],All_India_Index_Upto_April23__1___13[[#This Row],[Personal care and effects]],All_India_Index_Upto_April23__1___13[[#This Row],[Education]],All_India_Index_Upto_April23__1___13[[#This Row],[Recreation and amusement]])</f>
        <v>109.6</v>
      </c>
    </row>
    <row r="38" spans="1:33"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s="12">
        <f>'Handle Missing Value Sheet only'!$F$5</f>
        <v>139.27096774193564</v>
      </c>
      <c r="V38">
        <v>113</v>
      </c>
      <c r="W38">
        <v>112.6</v>
      </c>
      <c r="X38">
        <v>110.6</v>
      </c>
      <c r="Y38">
        <v>110.5</v>
      </c>
      <c r="Z38">
        <v>109.6</v>
      </c>
      <c r="AA38">
        <v>111.8</v>
      </c>
      <c r="AB38">
        <v>108.3</v>
      </c>
      <c r="AC38">
        <v>110.6</v>
      </c>
      <c r="AD38">
        <v>114.2</v>
      </c>
      <c r="AE38" s="12">
        <f>AVERAGE(All_India_Index_Upto_April23__1___13[[#This Row],[Cereals and products]:[Pan, tobacco and intoxicants]])</f>
        <v>114.32857142857144</v>
      </c>
      <c r="AF38" s="12">
        <f>AVERAGE(All_India_Index_Upto_April23__1___13[[#This Row],[Household goods and services]],All_India_Index_Upto_April23__1___13[[#This Row],[Housing]])</f>
        <v>125.93548387096781</v>
      </c>
      <c r="AG38" s="12">
        <f>AVERAGE(All_India_Index_Upto_April23__1___13[[#This Row],[Miscellaneous]],All_India_Index_Upto_April23__1___13[[#This Row],[Personal care and effects]],All_India_Index_Upto_April23__1___13[[#This Row],[Education]],All_India_Index_Upto_April23__1___13[[#This Row],[Recreation and amusement]])</f>
        <v>110.07499999999999</v>
      </c>
    </row>
    <row r="39" spans="1:33" hidden="1" x14ac:dyDescent="0.3">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s="12">
        <f>AVERAGE(All_India_Index_Upto_April23__1___13[[#This Row],[Cereals and products]:[Pan, tobacco and intoxicants]])</f>
        <v>114.28571428571429</v>
      </c>
      <c r="AF39" s="12">
        <f>AVERAGE(All_India_Index_Upto_April23__1___13[[#This Row],[Household goods and services]],All_India_Index_Upto_April23__1___13[[#This Row],[Housing]])</f>
        <v>111.75</v>
      </c>
      <c r="AG39" s="12">
        <f>AVERAGE(All_India_Index_Upto_April23__1___13[[#This Row],[Miscellaneous]],All_India_Index_Upto_April23__1___13[[#This Row],[Personal care and effects]],All_India_Index_Upto_April23__1___13[[#This Row],[Education]],All_India_Index_Upto_April23__1___13[[#This Row],[Recreation and amusement]])</f>
        <v>109.95</v>
      </c>
    </row>
    <row r="40" spans="1:33" hidden="1" x14ac:dyDescent="0.3">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s="12">
        <f>AVERAGE(All_India_Index_Upto_April23__1___13[[#This Row],[Cereals and products]:[Pan, tobacco and intoxicants]])</f>
        <v>114.30714285714284</v>
      </c>
      <c r="AF40" s="12">
        <f>AVERAGE(All_India_Index_Upto_April23__1___13[[#This Row],[Household goods and services]],All_India_Index_Upto_April23__1___13[[#This Row],[Housing]])</f>
        <v>111.94999999999999</v>
      </c>
      <c r="AG40" s="12">
        <f>AVERAGE(All_India_Index_Upto_April23__1___13[[#This Row],[Miscellaneous]],All_India_Index_Upto_April23__1___13[[#This Row],[Personal care and effects]],All_India_Index_Upto_April23__1___13[[#This Row],[Education]],All_India_Index_Upto_April23__1___13[[#This Row],[Recreation and amusement]])</f>
        <v>110.02499999999999</v>
      </c>
    </row>
    <row r="41" spans="1:33" hidden="1" x14ac:dyDescent="0.3">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s="12">
        <f>'Handle Missing Value Sheet only'!$F$5</f>
        <v>139.27096774193564</v>
      </c>
      <c r="V41">
        <v>113.2</v>
      </c>
      <c r="W41">
        <v>112.9</v>
      </c>
      <c r="X41">
        <v>110.9</v>
      </c>
      <c r="Y41">
        <v>110.8</v>
      </c>
      <c r="Z41">
        <v>109.9</v>
      </c>
      <c r="AA41">
        <v>112</v>
      </c>
      <c r="AB41">
        <v>108.7</v>
      </c>
      <c r="AC41">
        <v>110.9</v>
      </c>
      <c r="AD41">
        <v>114</v>
      </c>
      <c r="AE41" s="12">
        <f>AVERAGE(All_India_Index_Upto_April23__1___13[[#This Row],[Cereals and products]:[Pan, tobacco and intoxicants]])</f>
        <v>114.02857142857144</v>
      </c>
      <c r="AF41" s="12">
        <f>AVERAGE(All_India_Index_Upto_April23__1___13[[#This Row],[Household goods and services]],All_India_Index_Upto_April23__1___13[[#This Row],[Housing]])</f>
        <v>126.08548387096782</v>
      </c>
      <c r="AG41" s="12">
        <f>AVERAGE(All_India_Index_Upto_April23__1___13[[#This Row],[Miscellaneous]],All_India_Index_Upto_April23__1___13[[#This Row],[Personal care and effects]],All_India_Index_Upto_April23__1___13[[#This Row],[Education]],All_India_Index_Upto_April23__1___13[[#This Row],[Recreation and amusement]])</f>
        <v>110.375</v>
      </c>
    </row>
    <row r="42" spans="1:33" hidden="1" x14ac:dyDescent="0.3">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s="12">
        <f>AVERAGE(All_India_Index_Upto_April23__1___13[[#This Row],[Cereals and products]:[Pan, tobacco and intoxicants]])</f>
        <v>113.72857142857143</v>
      </c>
      <c r="AF42" s="12">
        <f>AVERAGE(All_India_Index_Upto_April23__1___13[[#This Row],[Household goods and services]],All_India_Index_Upto_April23__1___13[[#This Row],[Housing]])</f>
        <v>112.55</v>
      </c>
      <c r="AG42" s="12">
        <f>AVERAGE(All_India_Index_Upto_April23__1___13[[#This Row],[Miscellaneous]],All_India_Index_Upto_April23__1___13[[#This Row],[Personal care and effects]],All_India_Index_Upto_April23__1___13[[#This Row],[Education]],All_India_Index_Upto_April23__1___13[[#This Row],[Recreation and amusement]])</f>
        <v>110.39999999999999</v>
      </c>
    </row>
    <row r="43" spans="1:33" hidden="1" x14ac:dyDescent="0.3">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s="12">
        <f>AVERAGE(All_India_Index_Upto_April23__1___13[[#This Row],[Cereals and products]:[Pan, tobacco and intoxicants]])</f>
        <v>113.91428571428571</v>
      </c>
      <c r="AF43" s="12">
        <f>AVERAGE(All_India_Index_Upto_April23__1___13[[#This Row],[Household goods and services]],All_India_Index_Upto_April23__1___13[[#This Row],[Housing]])</f>
        <v>112.65</v>
      </c>
      <c r="AG43" s="12">
        <f>AVERAGE(All_India_Index_Upto_April23__1___13[[#This Row],[Miscellaneous]],All_India_Index_Upto_April23__1___13[[#This Row],[Personal care and effects]],All_India_Index_Upto_April23__1___13[[#This Row],[Education]],All_India_Index_Upto_April23__1___13[[#This Row],[Recreation and amusement]])</f>
        <v>110.375</v>
      </c>
    </row>
    <row r="44" spans="1:33" hidden="1" x14ac:dyDescent="0.3">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s="12">
        <f>'Handle Missing Value Sheet only'!$F$5</f>
        <v>139.27096774193564</v>
      </c>
      <c r="V44">
        <v>113.4</v>
      </c>
      <c r="W44">
        <v>113.4</v>
      </c>
      <c r="X44">
        <v>111.4</v>
      </c>
      <c r="Y44">
        <v>111.2</v>
      </c>
      <c r="Z44">
        <v>110.2</v>
      </c>
      <c r="AA44">
        <v>112.4</v>
      </c>
      <c r="AB44">
        <v>108.9</v>
      </c>
      <c r="AC44">
        <v>111.3</v>
      </c>
      <c r="AD44">
        <v>114.6</v>
      </c>
      <c r="AE44" s="12">
        <f>AVERAGE(All_India_Index_Upto_April23__1___13[[#This Row],[Cereals and products]:[Pan, tobacco and intoxicants]])</f>
        <v>114.71428571428571</v>
      </c>
      <c r="AF44" s="12">
        <f>AVERAGE(All_India_Index_Upto_April23__1___13[[#This Row],[Household goods and services]],All_India_Index_Upto_April23__1___13[[#This Row],[Housing]])</f>
        <v>126.33548387096782</v>
      </c>
      <c r="AG44" s="12">
        <f>AVERAGE(All_India_Index_Upto_April23__1___13[[#This Row],[Miscellaneous]],All_India_Index_Upto_April23__1___13[[#This Row],[Personal care and effects]],All_India_Index_Upto_April23__1___13[[#This Row],[Education]],All_India_Index_Upto_April23__1___13[[#This Row],[Recreation and amusement]])</f>
        <v>110.7</v>
      </c>
    </row>
    <row r="45" spans="1:33" hidden="1" x14ac:dyDescent="0.3">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s="12">
        <f>AVERAGE(All_India_Index_Upto_April23__1___13[[#This Row],[Cereals and products]:[Pan, tobacco and intoxicants]])</f>
        <v>114.26428571428572</v>
      </c>
      <c r="AF45" s="12">
        <f>AVERAGE(All_India_Index_Upto_April23__1___13[[#This Row],[Household goods and services]],All_India_Index_Upto_April23__1___13[[#This Row],[Housing]])</f>
        <v>113.1</v>
      </c>
      <c r="AG45" s="12">
        <f>AVERAGE(All_India_Index_Upto_April23__1___13[[#This Row],[Miscellaneous]],All_India_Index_Upto_April23__1___13[[#This Row],[Personal care and effects]],All_India_Index_Upto_April23__1___13[[#This Row],[Education]],All_India_Index_Upto_April23__1___13[[#This Row],[Recreation and amusement]])</f>
        <v>110.82500000000002</v>
      </c>
    </row>
    <row r="46" spans="1:33" hidden="1" x14ac:dyDescent="0.3">
      <c r="A46" t="s">
        <v>33</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s="12">
        <f>AVERAGE(All_India_Index_Upto_April23__1___13[[#This Row],[Cereals and products]:[Pan, tobacco and intoxicants]])</f>
        <v>114.53571428571426</v>
      </c>
      <c r="AF46" s="12">
        <f>AVERAGE(All_India_Index_Upto_April23__1___13[[#This Row],[Household goods and services]],All_India_Index_Upto_April23__1___13[[#This Row],[Housing]])</f>
        <v>113.2</v>
      </c>
      <c r="AG46" s="12">
        <f>AVERAGE(All_India_Index_Upto_April23__1___13[[#This Row],[Miscellaneous]],All_India_Index_Upto_April23__1___13[[#This Row],[Personal care and effects]],All_India_Index_Upto_April23__1___13[[#This Row],[Education]],All_India_Index_Upto_April23__1___13[[#This Row],[Recreation and amusement]])</f>
        <v>110.72499999999999</v>
      </c>
    </row>
    <row r="47" spans="1:33" hidden="1" x14ac:dyDescent="0.3">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s="12">
        <f>'Handle Missing Value Sheet only'!$F$5</f>
        <v>139.27096774193564</v>
      </c>
      <c r="V47">
        <v>113.4</v>
      </c>
      <c r="W47">
        <v>113.7</v>
      </c>
      <c r="X47">
        <v>111.8</v>
      </c>
      <c r="Y47">
        <v>111.2</v>
      </c>
      <c r="Z47">
        <v>110.5</v>
      </c>
      <c r="AA47">
        <v>113</v>
      </c>
      <c r="AB47">
        <v>108.9</v>
      </c>
      <c r="AC47">
        <v>111.5</v>
      </c>
      <c r="AD47">
        <v>115.4</v>
      </c>
      <c r="AE47" s="12">
        <f>AVERAGE(All_India_Index_Upto_April23__1___13[[#This Row],[Cereals and products]:[Pan, tobacco and intoxicants]])</f>
        <v>115.67857142857144</v>
      </c>
      <c r="AF47" s="12">
        <f>AVERAGE(All_India_Index_Upto_April23__1___13[[#This Row],[Household goods and services]],All_India_Index_Upto_April23__1___13[[#This Row],[Housing]])</f>
        <v>126.48548387096781</v>
      </c>
      <c r="AG47" s="12">
        <f>AVERAGE(All_India_Index_Upto_April23__1___13[[#This Row],[Miscellaneous]],All_India_Index_Upto_April23__1___13[[#This Row],[Personal care and effects]],All_India_Index_Upto_April23__1___13[[#This Row],[Education]],All_India_Index_Upto_April23__1___13[[#This Row],[Recreation and amusement]])</f>
        <v>110.97499999999999</v>
      </c>
    </row>
    <row r="48" spans="1:33" hidden="1" x14ac:dyDescent="0.3">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s="12">
        <f>AVERAGE(All_India_Index_Upto_April23__1___13[[#This Row],[Cereals and products]:[Pan, tobacco and intoxicants]])</f>
        <v>115.82857142857144</v>
      </c>
      <c r="AF48" s="12">
        <f>AVERAGE(All_India_Index_Upto_April23__1___13[[#This Row],[Household goods and services]],All_India_Index_Upto_April23__1___13[[#This Row],[Housing]])</f>
        <v>113.65</v>
      </c>
      <c r="AG48" s="12">
        <f>AVERAGE(All_India_Index_Upto_April23__1___13[[#This Row],[Miscellaneous]],All_India_Index_Upto_April23__1___13[[#This Row],[Personal care and effects]],All_India_Index_Upto_April23__1___13[[#This Row],[Education]],All_India_Index_Upto_April23__1___13[[#This Row],[Recreation and amusement]])</f>
        <v>111.05</v>
      </c>
    </row>
    <row r="49" spans="1:33" hidden="1" x14ac:dyDescent="0.3">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s="12">
        <f>AVERAGE(All_India_Index_Upto_April23__1___13[[#This Row],[Cereals and products]:[Pan, tobacco and intoxicants]])</f>
        <v>115.72142857142856</v>
      </c>
      <c r="AF49" s="12">
        <f>AVERAGE(All_India_Index_Upto_April23__1___13[[#This Row],[Household goods and services]],All_India_Index_Upto_April23__1___13[[#This Row],[Housing]])</f>
        <v>113.75</v>
      </c>
      <c r="AG49" s="12">
        <f>AVERAGE(All_India_Index_Upto_April23__1___13[[#This Row],[Miscellaneous]],All_India_Index_Upto_April23__1___13[[#This Row],[Personal care and effects]],All_India_Index_Upto_April23__1___13[[#This Row],[Education]],All_India_Index_Upto_April23__1___13[[#This Row],[Recreation and amusement]])</f>
        <v>111.02500000000001</v>
      </c>
    </row>
    <row r="50" spans="1:33" hidden="1" x14ac:dyDescent="0.3">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s="12">
        <f>'Handle Missing Value Sheet only'!$F$5</f>
        <v>139.27096774193564</v>
      </c>
      <c r="V50">
        <v>113.4</v>
      </c>
      <c r="W50">
        <v>114.1</v>
      </c>
      <c r="X50">
        <v>112.1</v>
      </c>
      <c r="Y50">
        <v>111.4</v>
      </c>
      <c r="Z50">
        <v>110.9</v>
      </c>
      <c r="AA50">
        <v>113.1</v>
      </c>
      <c r="AB50">
        <v>108.9</v>
      </c>
      <c r="AC50">
        <v>111.8</v>
      </c>
      <c r="AD50">
        <v>116</v>
      </c>
      <c r="AE50" s="12">
        <f>AVERAGE(All_India_Index_Upto_April23__1___13[[#This Row],[Cereals and products]:[Pan, tobacco and intoxicants]])</f>
        <v>116.44285714285714</v>
      </c>
      <c r="AF50" s="12">
        <f>AVERAGE(All_India_Index_Upto_April23__1___13[[#This Row],[Household goods and services]],All_India_Index_Upto_April23__1___13[[#This Row],[Housing]])</f>
        <v>126.68548387096781</v>
      </c>
      <c r="AG50" s="12">
        <f>AVERAGE(All_India_Index_Upto_April23__1___13[[#This Row],[Miscellaneous]],All_India_Index_Upto_April23__1___13[[#This Row],[Personal care and effects]],All_India_Index_Upto_April23__1___13[[#This Row],[Education]],All_India_Index_Upto_April23__1___13[[#This Row],[Recreation and amusement]])</f>
        <v>111.17499999999998</v>
      </c>
    </row>
    <row r="51" spans="1:33" hidden="1" x14ac:dyDescent="0.3">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s="12">
        <f>AVERAGE(All_India_Index_Upto_April23__1___13[[#This Row],[Cereals and products]:[Pan, tobacco and intoxicants]])</f>
        <v>117.4</v>
      </c>
      <c r="AF51" s="12">
        <f>AVERAGE(All_India_Index_Upto_April23__1___13[[#This Row],[Household goods and services]],All_India_Index_Upto_April23__1___13[[#This Row],[Housing]])</f>
        <v>114.19999999999999</v>
      </c>
      <c r="AG51" s="12">
        <f>AVERAGE(All_India_Index_Upto_April23__1___13[[#This Row],[Miscellaneous]],All_India_Index_Upto_April23__1___13[[#This Row],[Personal care and effects]],All_India_Index_Upto_April23__1___13[[#This Row],[Education]],All_India_Index_Upto_April23__1___13[[#This Row],[Recreation and amusement]])</f>
        <v>111.35</v>
      </c>
    </row>
    <row r="52" spans="1:33" hidden="1" x14ac:dyDescent="0.3">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s="12">
        <f>AVERAGE(All_India_Index_Upto_April23__1___13[[#This Row],[Cereals and products]:[Pan, tobacco and intoxicants]])</f>
        <v>116.80714285714289</v>
      </c>
      <c r="AF52" s="12">
        <f>AVERAGE(All_India_Index_Upto_April23__1___13[[#This Row],[Household goods and services]],All_India_Index_Upto_April23__1___13[[#This Row],[Housing]])</f>
        <v>114.19999999999999</v>
      </c>
      <c r="AG52" s="12">
        <f>AVERAGE(All_India_Index_Upto_April23__1___13[[#This Row],[Miscellaneous]],All_India_Index_Upto_April23__1___13[[#This Row],[Personal care and effects]],All_India_Index_Upto_April23__1___13[[#This Row],[Education]],All_India_Index_Upto_April23__1___13[[#This Row],[Recreation and amusement]])</f>
        <v>111.27499999999999</v>
      </c>
    </row>
    <row r="53" spans="1:33" hidden="1" x14ac:dyDescent="0.3">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s="12">
        <f>'Handle Missing Value Sheet only'!$F$5</f>
        <v>139.27096774193564</v>
      </c>
      <c r="V53">
        <v>114.4</v>
      </c>
      <c r="W53">
        <v>114.9</v>
      </c>
      <c r="X53">
        <v>112.8</v>
      </c>
      <c r="Y53">
        <v>112.2</v>
      </c>
      <c r="Z53">
        <v>111.4</v>
      </c>
      <c r="AA53">
        <v>114.3</v>
      </c>
      <c r="AB53">
        <v>108</v>
      </c>
      <c r="AC53">
        <v>112.3</v>
      </c>
      <c r="AD53">
        <v>117</v>
      </c>
      <c r="AE53" s="12">
        <f>AVERAGE(All_India_Index_Upto_April23__1___13[[#This Row],[Cereals and products]:[Pan, tobacco and intoxicants]])</f>
        <v>117.35714285714285</v>
      </c>
      <c r="AF53" s="12">
        <f>AVERAGE(All_India_Index_Upto_April23__1___13[[#This Row],[Household goods and services]],All_India_Index_Upto_April23__1___13[[#This Row],[Housing]])</f>
        <v>127.08548387096782</v>
      </c>
      <c r="AG53" s="12">
        <f>AVERAGE(All_India_Index_Upto_April23__1___13[[#This Row],[Miscellaneous]],All_India_Index_Upto_April23__1___13[[#This Row],[Personal care and effects]],All_India_Index_Upto_April23__1___13[[#This Row],[Education]],All_India_Index_Upto_April23__1___13[[#This Row],[Recreation and amusement]])</f>
        <v>111.5</v>
      </c>
    </row>
    <row r="54" spans="1:33" hidden="1" x14ac:dyDescent="0.3">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s="12">
        <f>AVERAGE(All_India_Index_Upto_April23__1___13[[#This Row],[Cereals and products]:[Pan, tobacco and intoxicants]])</f>
        <v>119</v>
      </c>
      <c r="AF54" s="12">
        <f>AVERAGE(All_India_Index_Upto_April23__1___13[[#This Row],[Household goods and services]],All_India_Index_Upto_April23__1___13[[#This Row],[Housing]])</f>
        <v>114.1</v>
      </c>
      <c r="AG54" s="12">
        <f>AVERAGE(All_India_Index_Upto_April23__1___13[[#This Row],[Miscellaneous]],All_India_Index_Upto_April23__1___13[[#This Row],[Personal care and effects]],All_India_Index_Upto_April23__1___13[[#This Row],[Education]],All_India_Index_Upto_April23__1___13[[#This Row],[Recreation and amusement]])</f>
        <v>111.95</v>
      </c>
    </row>
    <row r="55" spans="1:33" hidden="1" x14ac:dyDescent="0.3">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s="12">
        <f>AVERAGE(All_India_Index_Upto_April23__1___13[[#This Row],[Cereals and products]:[Pan, tobacco and intoxicants]])</f>
        <v>117.96428571428574</v>
      </c>
      <c r="AF55" s="12">
        <f>AVERAGE(All_India_Index_Upto_April23__1___13[[#This Row],[Household goods and services]],All_India_Index_Upto_April23__1___13[[#This Row],[Housing]])</f>
        <v>114.25</v>
      </c>
      <c r="AG55" s="12">
        <f>AVERAGE(All_India_Index_Upto_April23__1___13[[#This Row],[Miscellaneous]],All_India_Index_Upto_April23__1___13[[#This Row],[Personal care and effects]],All_India_Index_Upto_April23__1___13[[#This Row],[Education]],All_India_Index_Upto_April23__1___13[[#This Row],[Recreation and amusement]])</f>
        <v>111.75</v>
      </c>
    </row>
    <row r="56" spans="1:33" hidden="1" x14ac:dyDescent="0.3">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s="12">
        <f>'Handle Missing Value Sheet only'!$F$5</f>
        <v>139.27096774193564</v>
      </c>
      <c r="V56">
        <v>115.3</v>
      </c>
      <c r="W56">
        <v>115.4</v>
      </c>
      <c r="X56">
        <v>113.4</v>
      </c>
      <c r="Y56">
        <v>113.2</v>
      </c>
      <c r="Z56">
        <v>111.8</v>
      </c>
      <c r="AA56">
        <v>115.5</v>
      </c>
      <c r="AB56">
        <v>108.8</v>
      </c>
      <c r="AC56">
        <v>113.1</v>
      </c>
      <c r="AD56">
        <v>119.5</v>
      </c>
      <c r="AE56" s="12">
        <f>AVERAGE(All_India_Index_Upto_April23__1___13[[#This Row],[Cereals and products]:[Pan, tobacco and intoxicants]])</f>
        <v>120.08571428571429</v>
      </c>
      <c r="AF56" s="12">
        <f>AVERAGE(All_India_Index_Upto_April23__1___13[[#This Row],[Household goods and services]],All_India_Index_Upto_April23__1___13[[#This Row],[Housing]])</f>
        <v>127.33548387096782</v>
      </c>
      <c r="AG56" s="12">
        <f>AVERAGE(All_India_Index_Upto_April23__1___13[[#This Row],[Miscellaneous]],All_India_Index_Upto_April23__1___13[[#This Row],[Personal care and effects]],All_India_Index_Upto_April23__1___13[[#This Row],[Education]],All_India_Index_Upto_April23__1___13[[#This Row],[Recreation and amusement]])</f>
        <v>112.3</v>
      </c>
    </row>
    <row r="57" spans="1:33" hidden="1" x14ac:dyDescent="0.3">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s="12">
        <f>AVERAGE(All_India_Index_Upto_April23__1___13[[#This Row],[Cereals and products]:[Pan, tobacco and intoxicants]])</f>
        <v>122.89285714285714</v>
      </c>
      <c r="AF57" s="12">
        <f>AVERAGE(All_India_Index_Upto_April23__1___13[[#This Row],[Household goods and services]],All_India_Index_Upto_April23__1___13[[#This Row],[Housing]])</f>
        <v>114.85</v>
      </c>
      <c r="AG57" s="12">
        <f>AVERAGE(All_India_Index_Upto_April23__1___13[[#This Row],[Miscellaneous]],All_India_Index_Upto_April23__1___13[[#This Row],[Personal care and effects]],All_India_Index_Upto_April23__1___13[[#This Row],[Education]],All_India_Index_Upto_April23__1___13[[#This Row],[Recreation and amusement]])</f>
        <v>113.35</v>
      </c>
    </row>
    <row r="58" spans="1:33" hidden="1" x14ac:dyDescent="0.3">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s="12">
        <f>AVERAGE(All_India_Index_Upto_April23__1___13[[#This Row],[Cereals and products]:[Pan, tobacco and intoxicants]])</f>
        <v>121.07857142857142</v>
      </c>
      <c r="AF58" s="12">
        <f>AVERAGE(All_India_Index_Upto_April23__1___13[[#This Row],[Household goods and services]],All_India_Index_Upto_April23__1___13[[#This Row],[Housing]])</f>
        <v>115</v>
      </c>
      <c r="AG58" s="12">
        <f>AVERAGE(All_India_Index_Upto_April23__1___13[[#This Row],[Miscellaneous]],All_India_Index_Upto_April23__1___13[[#This Row],[Personal care and effects]],All_India_Index_Upto_April23__1___13[[#This Row],[Education]],All_India_Index_Upto_April23__1___13[[#This Row],[Recreation and amusement]])</f>
        <v>112.85</v>
      </c>
    </row>
    <row r="59" spans="1:33" hidden="1" x14ac:dyDescent="0.3">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s="12">
        <f>'Handle Missing Value Sheet only'!$F$5</f>
        <v>139.27096774193564</v>
      </c>
      <c r="V59">
        <v>115.4</v>
      </c>
      <c r="W59">
        <v>115.9</v>
      </c>
      <c r="X59">
        <v>114</v>
      </c>
      <c r="Y59">
        <v>113.2</v>
      </c>
      <c r="Z59">
        <v>112.2</v>
      </c>
      <c r="AA59">
        <v>116.2</v>
      </c>
      <c r="AB59">
        <v>109.4</v>
      </c>
      <c r="AC59">
        <v>113.5</v>
      </c>
      <c r="AD59">
        <v>120.7</v>
      </c>
      <c r="AE59" s="12">
        <f>AVERAGE(All_India_Index_Upto_April23__1___13[[#This Row],[Cereals and products]:[Pan, tobacco and intoxicants]])</f>
        <v>121.50714285714284</v>
      </c>
      <c r="AF59" s="12">
        <f>AVERAGE(All_India_Index_Upto_April23__1___13[[#This Row],[Household goods and services]],All_India_Index_Upto_April23__1___13[[#This Row],[Housing]])</f>
        <v>127.58548387096782</v>
      </c>
      <c r="AG59" s="12">
        <f>AVERAGE(All_India_Index_Upto_April23__1___13[[#This Row],[Miscellaneous]],All_India_Index_Upto_April23__1___13[[#This Row],[Personal care and effects]],All_India_Index_Upto_April23__1___13[[#This Row],[Education]],All_India_Index_Upto_April23__1___13[[#This Row],[Recreation and amusement]])</f>
        <v>112.825</v>
      </c>
    </row>
    <row r="60" spans="1:33" hidden="1" x14ac:dyDescent="0.3">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s="12">
        <f>AVERAGE(All_India_Index_Upto_April23__1___13[[#This Row],[Cereals and products]:[Pan, tobacco and intoxicants]])</f>
        <v>124.28571428571429</v>
      </c>
      <c r="AF60" s="12">
        <f>AVERAGE(All_India_Index_Upto_April23__1___13[[#This Row],[Household goods and services]],All_India_Index_Upto_April23__1___13[[#This Row],[Housing]])</f>
        <v>115.4</v>
      </c>
      <c r="AG60" s="12">
        <f>AVERAGE(All_India_Index_Upto_April23__1___13[[#This Row],[Miscellaneous]],All_India_Index_Upto_April23__1___13[[#This Row],[Personal care and effects]],All_India_Index_Upto_April23__1___13[[#This Row],[Education]],All_India_Index_Upto_April23__1___13[[#This Row],[Recreation and amusement]])</f>
        <v>114.125</v>
      </c>
    </row>
    <row r="61" spans="1:33" hidden="1" x14ac:dyDescent="0.3">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s="12">
        <f>AVERAGE(All_India_Index_Upto_April23__1___13[[#This Row],[Cereals and products]:[Pan, tobacco and intoxicants]])</f>
        <v>122.45714285714284</v>
      </c>
      <c r="AF61" s="12">
        <f>AVERAGE(All_India_Index_Upto_April23__1___13[[#This Row],[Household goods and services]],All_India_Index_Upto_April23__1___13[[#This Row],[Housing]])</f>
        <v>115.55</v>
      </c>
      <c r="AG61" s="12">
        <f>AVERAGE(All_India_Index_Upto_April23__1___13[[#This Row],[Miscellaneous]],All_India_Index_Upto_April23__1___13[[#This Row],[Personal care and effects]],All_India_Index_Upto_April23__1___13[[#This Row],[Education]],All_India_Index_Upto_April23__1___13[[#This Row],[Recreation and amusement]])</f>
        <v>113.55000000000001</v>
      </c>
    </row>
    <row r="62" spans="1:33" hidden="1" x14ac:dyDescent="0.3">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s="12">
        <f>'Handle Missing Value Sheet only'!$F$5</f>
        <v>139.27096774193564</v>
      </c>
      <c r="V62">
        <v>115.8</v>
      </c>
      <c r="W62">
        <v>116.7</v>
      </c>
      <c r="X62">
        <v>114.5</v>
      </c>
      <c r="Y62">
        <v>112.8</v>
      </c>
      <c r="Z62">
        <v>112.6</v>
      </c>
      <c r="AA62">
        <v>116.6</v>
      </c>
      <c r="AB62">
        <v>109.1</v>
      </c>
      <c r="AC62">
        <v>113.7</v>
      </c>
      <c r="AD62">
        <v>120.9</v>
      </c>
      <c r="AE62" s="12">
        <f>AVERAGE(All_India_Index_Upto_April23__1___13[[#This Row],[Cereals and products]:[Pan, tobacco and intoxicants]])</f>
        <v>121.62142857142858</v>
      </c>
      <c r="AF62" s="12">
        <f>AVERAGE(All_India_Index_Upto_April23__1___13[[#This Row],[Household goods and services]],All_India_Index_Upto_April23__1___13[[#This Row],[Housing]])</f>
        <v>127.98548387096781</v>
      </c>
      <c r="AG62" s="12">
        <f>AVERAGE(All_India_Index_Upto_April23__1___13[[#This Row],[Miscellaneous]],All_India_Index_Upto_April23__1___13[[#This Row],[Personal care and effects]],All_India_Index_Upto_April23__1___13[[#This Row],[Education]],All_India_Index_Upto_April23__1___13[[#This Row],[Recreation and amusement]])</f>
        <v>113</v>
      </c>
    </row>
    <row r="63" spans="1:33" hidden="1" x14ac:dyDescent="0.3">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s="12">
        <f>AVERAGE(All_India_Index_Upto_April23__1___13[[#This Row],[Cereals and products]:[Pan, tobacco and intoxicants]])</f>
        <v>122.71428571428574</v>
      </c>
      <c r="AF63" s="12">
        <f>AVERAGE(All_India_Index_Upto_April23__1___13[[#This Row],[Household goods and services]],All_India_Index_Upto_April23__1___13[[#This Row],[Housing]])</f>
        <v>115.8</v>
      </c>
      <c r="AG63" s="12">
        <f>AVERAGE(All_India_Index_Upto_April23__1___13[[#This Row],[Miscellaneous]],All_India_Index_Upto_April23__1___13[[#This Row],[Personal care and effects]],All_India_Index_Upto_April23__1___13[[#This Row],[Education]],All_India_Index_Upto_April23__1___13[[#This Row],[Recreation and amusement]])</f>
        <v>114.25</v>
      </c>
    </row>
    <row r="64" spans="1:33" hidden="1" x14ac:dyDescent="0.3">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s="12">
        <f>AVERAGE(All_India_Index_Upto_April23__1___13[[#This Row],[Cereals and products]:[Pan, tobacco and intoxicants]])</f>
        <v>121.92142857142855</v>
      </c>
      <c r="AF64" s="12">
        <f>AVERAGE(All_India_Index_Upto_April23__1___13[[#This Row],[Household goods and services]],All_India_Index_Upto_April23__1___13[[#This Row],[Housing]])</f>
        <v>116.1</v>
      </c>
      <c r="AG64" s="12">
        <f>AVERAGE(All_India_Index_Upto_April23__1___13[[#This Row],[Miscellaneous]],All_India_Index_Upto_April23__1___13[[#This Row],[Personal care and effects]],All_India_Index_Upto_April23__1___13[[#This Row],[Education]],All_India_Index_Upto_April23__1___13[[#This Row],[Recreation and amusement]])</f>
        <v>113.72499999999999</v>
      </c>
    </row>
    <row r="65" spans="1:33" hidden="1" x14ac:dyDescent="0.3">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s="12">
        <f>'Handle Missing Value Sheet only'!$F$5</f>
        <v>139.27096774193564</v>
      </c>
      <c r="V65">
        <v>116.4</v>
      </c>
      <c r="W65">
        <v>117.5</v>
      </c>
      <c r="X65">
        <v>115.3</v>
      </c>
      <c r="Y65">
        <v>112.6</v>
      </c>
      <c r="Z65">
        <v>113</v>
      </c>
      <c r="AA65">
        <v>116.9</v>
      </c>
      <c r="AB65">
        <v>109.3</v>
      </c>
      <c r="AC65">
        <v>114</v>
      </c>
      <c r="AD65">
        <v>121</v>
      </c>
      <c r="AE65" s="12">
        <f>AVERAGE(All_India_Index_Upto_April23__1___13[[#This Row],[Cereals and products]:[Pan, tobacco and intoxicants]])</f>
        <v>121.51428571428571</v>
      </c>
      <c r="AF65" s="12">
        <f>AVERAGE(All_India_Index_Upto_April23__1___13[[#This Row],[Household goods and services]],All_India_Index_Upto_April23__1___13[[#This Row],[Housing]])</f>
        <v>128.38548387096782</v>
      </c>
      <c r="AG65" s="12">
        <f>AVERAGE(All_India_Index_Upto_April23__1___13[[#This Row],[Miscellaneous]],All_India_Index_Upto_April23__1___13[[#This Row],[Personal care and effects]],All_India_Index_Upto_April23__1___13[[#This Row],[Education]],All_India_Index_Upto_April23__1___13[[#This Row],[Recreation and amusement]])</f>
        <v>113.30000000000001</v>
      </c>
    </row>
    <row r="66" spans="1:33" hidden="1" x14ac:dyDescent="0.3">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s="12">
        <f>AVERAGE(All_India_Index_Upto_April23__1___13[[#This Row],[Cereals and products]:[Pan, tobacco and intoxicants]])</f>
        <v>122.27142857142857</v>
      </c>
      <c r="AF66" s="12">
        <f>AVERAGE(All_India_Index_Upto_April23__1___13[[#This Row],[Household goods and services]],All_India_Index_Upto_April23__1___13[[#This Row],[Housing]])</f>
        <v>116.25</v>
      </c>
      <c r="AG66" s="12">
        <f>AVERAGE(All_India_Index_Upto_April23__1___13[[#This Row],[Miscellaneous]],All_India_Index_Upto_April23__1___13[[#This Row],[Personal care and effects]],All_India_Index_Upto_April23__1___13[[#This Row],[Education]],All_India_Index_Upto_April23__1___13[[#This Row],[Recreation and amusement]])</f>
        <v>114.4</v>
      </c>
    </row>
    <row r="67" spans="1:33" hidden="1" x14ac:dyDescent="0.3">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s="12">
        <f>AVERAGE(All_India_Index_Upto_April23__1___13[[#This Row],[Cereals and products]:[Pan, tobacco and intoxicants]])</f>
        <v>121.7</v>
      </c>
      <c r="AF67" s="12">
        <f>AVERAGE(All_India_Index_Upto_April23__1___13[[#This Row],[Household goods and services]],All_India_Index_Upto_April23__1___13[[#This Row],[Housing]])</f>
        <v>116.7</v>
      </c>
      <c r="AG67" s="12">
        <f>AVERAGE(All_India_Index_Upto_April23__1___13[[#This Row],[Miscellaneous]],All_India_Index_Upto_April23__1___13[[#This Row],[Personal care and effects]],All_India_Index_Upto_April23__1___13[[#This Row],[Education]],All_India_Index_Upto_April23__1___13[[#This Row],[Recreation and amusement]])</f>
        <v>113.9</v>
      </c>
    </row>
    <row r="68" spans="1:33" hidden="1"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s="12">
        <f>'Handle Missing Value Sheet only'!$F$5</f>
        <v>139.27096774193564</v>
      </c>
      <c r="V68">
        <v>117.3</v>
      </c>
      <c r="W68">
        <v>118.1</v>
      </c>
      <c r="X68">
        <v>115.9</v>
      </c>
      <c r="Y68">
        <v>112</v>
      </c>
      <c r="Z68">
        <v>113.3</v>
      </c>
      <c r="AA68">
        <v>117.2</v>
      </c>
      <c r="AB68">
        <v>108.8</v>
      </c>
      <c r="AC68">
        <v>114.1</v>
      </c>
      <c r="AD68">
        <v>121.1</v>
      </c>
      <c r="AE68" s="12">
        <f>AVERAGE(All_India_Index_Upto_April23__1___13[[#This Row],[Cereals and products]:[Pan, tobacco and intoxicants]])</f>
        <v>121.62857142857142</v>
      </c>
      <c r="AF68" s="12">
        <f>AVERAGE(All_India_Index_Upto_April23__1___13[[#This Row],[Household goods and services]],All_India_Index_Upto_April23__1___13[[#This Row],[Housing]])</f>
        <v>128.6854838709678</v>
      </c>
      <c r="AG68" s="12">
        <f>AVERAGE(All_India_Index_Upto_April23__1___13[[#This Row],[Miscellaneous]],All_India_Index_Upto_April23__1___13[[#This Row],[Personal care and effects]],All_India_Index_Upto_April23__1___13[[#This Row],[Education]],All_India_Index_Upto_April23__1___13[[#This Row],[Recreation and amusement]])</f>
        <v>113.35</v>
      </c>
    </row>
    <row r="69" spans="1:33" hidden="1" x14ac:dyDescent="0.3">
      <c r="A69" t="s">
        <v>32</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s="12">
        <f>AVERAGE(All_India_Index_Upto_April23__1___13[[#This Row],[Cereals and products]:[Pan, tobacco and intoxicants]])</f>
        <v>122.39999999999999</v>
      </c>
      <c r="AF69" s="12">
        <f>AVERAGE(All_India_Index_Upto_April23__1___13[[#This Row],[Household goods and services]],All_India_Index_Upto_April23__1___13[[#This Row],[Housing]])</f>
        <v>116.75</v>
      </c>
      <c r="AG69" s="12">
        <f>AVERAGE(All_India_Index_Upto_April23__1___13[[#This Row],[Miscellaneous]],All_India_Index_Upto_April23__1___13[[#This Row],[Personal care and effects]],All_India_Index_Upto_April23__1___13[[#This Row],[Education]],All_India_Index_Upto_April23__1___13[[#This Row],[Recreation and amusement]])</f>
        <v>114.325</v>
      </c>
    </row>
    <row r="70" spans="1:33" hidden="1" x14ac:dyDescent="0.3">
      <c r="A70" t="s">
        <v>33</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s="12">
        <f>AVERAGE(All_India_Index_Upto_April23__1___13[[#This Row],[Cereals and products]:[Pan, tobacco and intoxicants]])</f>
        <v>121.80714285714285</v>
      </c>
      <c r="AF70" s="12">
        <f>AVERAGE(All_India_Index_Upto_April23__1___13[[#This Row],[Household goods and services]],All_India_Index_Upto_April23__1___13[[#This Row],[Housing]])</f>
        <v>117.19999999999999</v>
      </c>
      <c r="AG70" s="12">
        <f>AVERAGE(All_India_Index_Upto_April23__1___13[[#This Row],[Miscellaneous]],All_India_Index_Upto_April23__1___13[[#This Row],[Personal care and effects]],All_India_Index_Upto_April23__1___13[[#This Row],[Education]],All_India_Index_Upto_April23__1___13[[#This Row],[Recreation and amusement]])</f>
        <v>113.89999999999999</v>
      </c>
    </row>
    <row r="71" spans="1:33" hidden="1"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s="12">
        <f>'Handle Missing Value Sheet only'!$F$5</f>
        <v>139.27096774193564</v>
      </c>
      <c r="V71">
        <v>117.4</v>
      </c>
      <c r="W71">
        <v>118.2</v>
      </c>
      <c r="X71">
        <v>116.2</v>
      </c>
      <c r="Y71">
        <v>111.5</v>
      </c>
      <c r="Z71">
        <v>113.3</v>
      </c>
      <c r="AA71">
        <v>117.7</v>
      </c>
      <c r="AB71">
        <v>109.4</v>
      </c>
      <c r="AC71">
        <v>114.2</v>
      </c>
      <c r="AD71">
        <v>120.3</v>
      </c>
      <c r="AE71" s="12">
        <f>AVERAGE(All_India_Index_Upto_April23__1___13[[#This Row],[Cereals and products]:[Pan, tobacco and intoxicants]])</f>
        <v>120.80714285714285</v>
      </c>
      <c r="AF71" s="12">
        <f>AVERAGE(All_India_Index_Upto_April23__1___13[[#This Row],[Household goods and services]],All_India_Index_Upto_April23__1___13[[#This Row],[Housing]])</f>
        <v>128.73548387096781</v>
      </c>
      <c r="AG71" s="12">
        <f>AVERAGE(All_India_Index_Upto_April23__1___13[[#This Row],[Miscellaneous]],All_India_Index_Upto_April23__1___13[[#This Row],[Personal care and effects]],All_India_Index_Upto_April23__1___13[[#This Row],[Education]],All_India_Index_Upto_April23__1___13[[#This Row],[Recreation and amusement]])</f>
        <v>113.65</v>
      </c>
    </row>
    <row r="72" spans="1:33" hidden="1" x14ac:dyDescent="0.3">
      <c r="A72" t="s">
        <v>32</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s="12">
        <f>AVERAGE(All_India_Index_Upto_April23__1___13[[#This Row],[Cereals and products]:[Pan, tobacco and intoxicants]])</f>
        <v>121.68571428571428</v>
      </c>
      <c r="AF72" s="12">
        <f>AVERAGE(All_India_Index_Upto_April23__1___13[[#This Row],[Household goods and services]],All_India_Index_Upto_April23__1___13[[#This Row],[Housing]])</f>
        <v>116.65</v>
      </c>
      <c r="AG72" s="12">
        <f>AVERAGE(All_India_Index_Upto_April23__1___13[[#This Row],[Miscellaneous]],All_India_Index_Upto_April23__1___13[[#This Row],[Personal care and effects]],All_India_Index_Upto_April23__1___13[[#This Row],[Education]],All_India_Index_Upto_April23__1___13[[#This Row],[Recreation and amusement]])</f>
        <v>114.7</v>
      </c>
    </row>
    <row r="73" spans="1:33" hidden="1" x14ac:dyDescent="0.3">
      <c r="A73" t="s">
        <v>33</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s="12">
        <f>AVERAGE(All_India_Index_Upto_April23__1___13[[#This Row],[Cereals and products]:[Pan, tobacco and intoxicants]])</f>
        <v>121.04999999999998</v>
      </c>
      <c r="AF73" s="12">
        <f>AVERAGE(All_India_Index_Upto_April23__1___13[[#This Row],[Household goods and services]],All_India_Index_Upto_April23__1___13[[#This Row],[Housing]])</f>
        <v>117</v>
      </c>
      <c r="AG73" s="12">
        <f>AVERAGE(All_India_Index_Upto_April23__1___13[[#This Row],[Miscellaneous]],All_India_Index_Upto_April23__1___13[[#This Row],[Personal care and effects]],All_India_Index_Upto_April23__1___13[[#This Row],[Education]],All_India_Index_Upto_April23__1___13[[#This Row],[Recreation and amusement]])</f>
        <v>114.25</v>
      </c>
    </row>
    <row r="74" spans="1:33"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s="12">
        <f>'Handle Missing Value Sheet only'!$F$5</f>
        <v>139.27096774193564</v>
      </c>
      <c r="V74">
        <v>118.4</v>
      </c>
      <c r="W74">
        <v>118.9</v>
      </c>
      <c r="X74">
        <v>116.6</v>
      </c>
      <c r="Y74">
        <v>111</v>
      </c>
      <c r="Z74">
        <v>114</v>
      </c>
      <c r="AA74">
        <v>118.2</v>
      </c>
      <c r="AB74">
        <v>110.2</v>
      </c>
      <c r="AC74">
        <v>114.5</v>
      </c>
      <c r="AD74">
        <v>120.3</v>
      </c>
      <c r="AE74" s="12">
        <f>AVERAGE(All_India_Index_Upto_April23__1___13[[#This Row],[Cereals and products]:[Pan, tobacco and intoxicants]])</f>
        <v>120.77142857142857</v>
      </c>
      <c r="AF74" s="12">
        <f>AVERAGE(All_India_Index_Upto_April23__1___13[[#This Row],[Household goods and services]],All_India_Index_Upto_April23__1___13[[#This Row],[Housing]])</f>
        <v>129.08548387096783</v>
      </c>
      <c r="AG74" s="12">
        <f>AVERAGE(All_India_Index_Upto_April23__1___13[[#This Row],[Miscellaneous]],All_India_Index_Upto_April23__1___13[[#This Row],[Personal care and effects]],All_India_Index_Upto_April23__1___13[[#This Row],[Education]],All_India_Index_Upto_April23__1___13[[#This Row],[Recreation and amusement]])</f>
        <v>114.22499999999999</v>
      </c>
    </row>
    <row r="75" spans="1:33" hidden="1" x14ac:dyDescent="0.3">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s="12">
        <f>AVERAGE(All_India_Index_Upto_April23__1___13[[#This Row],[Cereals and products]:[Pan, tobacco and intoxicants]])</f>
        <v>121.59285714285714</v>
      </c>
      <c r="AF75" s="12">
        <f>AVERAGE(All_India_Index_Upto_April23__1___13[[#This Row],[Household goods and services]],All_India_Index_Upto_April23__1___13[[#This Row],[Housing]])</f>
        <v>117.25</v>
      </c>
      <c r="AG75" s="12">
        <f>AVERAGE(All_India_Index_Upto_April23__1___13[[#This Row],[Miscellaneous]],All_India_Index_Upto_April23__1___13[[#This Row],[Personal care and effects]],All_India_Index_Upto_April23__1___13[[#This Row],[Education]],All_India_Index_Upto_April23__1___13[[#This Row],[Recreation and amusement]])</f>
        <v>115.05000000000001</v>
      </c>
    </row>
    <row r="76" spans="1:33" hidden="1" x14ac:dyDescent="0.3">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s="12">
        <f>AVERAGE(All_India_Index_Upto_April23__1___13[[#This Row],[Cereals and products]:[Pan, tobacco and intoxicants]])</f>
        <v>120.95</v>
      </c>
      <c r="AF76" s="12">
        <f>AVERAGE(All_India_Index_Upto_April23__1___13[[#This Row],[Household goods and services]],All_India_Index_Upto_April23__1___13[[#This Row],[Housing]])</f>
        <v>117.69999999999999</v>
      </c>
      <c r="AG76" s="12">
        <f>AVERAGE(All_India_Index_Upto_April23__1___13[[#This Row],[Miscellaneous]],All_India_Index_Upto_April23__1___13[[#This Row],[Personal care and effects]],All_India_Index_Upto_April23__1___13[[#This Row],[Education]],All_India_Index_Upto_April23__1___13[[#This Row],[Recreation and amusement]])</f>
        <v>114.675</v>
      </c>
    </row>
    <row r="77" spans="1:33" hidden="1" x14ac:dyDescent="0.3">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s="12">
        <f>'Handle Missing Value Sheet only'!$F$5</f>
        <v>139.27096774193564</v>
      </c>
      <c r="V77">
        <v>120</v>
      </c>
      <c r="W77">
        <v>119.6</v>
      </c>
      <c r="X77">
        <v>117.7</v>
      </c>
      <c r="Y77">
        <v>110.9</v>
      </c>
      <c r="Z77">
        <v>114.8</v>
      </c>
      <c r="AA77">
        <v>118.7</v>
      </c>
      <c r="AB77">
        <v>110.8</v>
      </c>
      <c r="AC77">
        <v>115</v>
      </c>
      <c r="AD77">
        <v>120.6</v>
      </c>
      <c r="AE77" s="12">
        <f>AVERAGE(All_India_Index_Upto_April23__1___13[[#This Row],[Cereals and products]:[Pan, tobacco and intoxicants]])</f>
        <v>121.05714285714284</v>
      </c>
      <c r="AF77" s="12">
        <f>AVERAGE(All_India_Index_Upto_April23__1___13[[#This Row],[Household goods and services]],All_India_Index_Upto_April23__1___13[[#This Row],[Housing]])</f>
        <v>129.4354838709678</v>
      </c>
      <c r="AG77" s="12">
        <f>AVERAGE(All_India_Index_Upto_April23__1___13[[#This Row],[Miscellaneous]],All_India_Index_Upto_April23__1___13[[#This Row],[Personal care and effects]],All_India_Index_Upto_April23__1___13[[#This Row],[Education]],All_India_Index_Upto_April23__1___13[[#This Row],[Recreation and amusement]])</f>
        <v>114.825</v>
      </c>
    </row>
    <row r="78" spans="1:33" hidden="1" x14ac:dyDescent="0.3">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s="12">
        <f>AVERAGE(All_India_Index_Upto_April23__1___13[[#This Row],[Cereals and products]:[Pan, tobacco and intoxicants]])</f>
        <v>121.37142857142858</v>
      </c>
      <c r="AF78" s="12">
        <f>AVERAGE(All_India_Index_Upto_April23__1___13[[#This Row],[Household goods and services]],All_India_Index_Upto_April23__1___13[[#This Row],[Housing]])</f>
        <v>117.9</v>
      </c>
      <c r="AG78" s="12">
        <f>AVERAGE(All_India_Index_Upto_April23__1___13[[#This Row],[Miscellaneous]],All_India_Index_Upto_April23__1___13[[#This Row],[Personal care and effects]],All_India_Index_Upto_April23__1___13[[#This Row],[Education]],All_India_Index_Upto_April23__1___13[[#This Row],[Recreation and amusement]])</f>
        <v>115.05000000000001</v>
      </c>
    </row>
    <row r="79" spans="1:33" hidden="1" x14ac:dyDescent="0.3">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s="12">
        <f>AVERAGE(All_India_Index_Upto_April23__1___13[[#This Row],[Cereals and products]:[Pan, tobacco and intoxicants]])</f>
        <v>121.04285714285712</v>
      </c>
      <c r="AF79" s="12">
        <f>AVERAGE(All_India_Index_Upto_April23__1___13[[#This Row],[Household goods and services]],All_India_Index_Upto_April23__1___13[[#This Row],[Housing]])</f>
        <v>118.4</v>
      </c>
      <c r="AG79" s="12">
        <f>AVERAGE(All_India_Index_Upto_April23__1___13[[#This Row],[Miscellaneous]],All_India_Index_Upto_April23__1___13[[#This Row],[Personal care and effects]],All_India_Index_Upto_April23__1___13[[#This Row],[Education]],All_India_Index_Upto_April23__1___13[[#This Row],[Recreation and amusement]])</f>
        <v>114.97499999999999</v>
      </c>
    </row>
    <row r="80" spans="1:33" hidden="1" x14ac:dyDescent="0.3">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s="12">
        <f>'Handle Missing Value Sheet only'!$F$5</f>
        <v>139.27096774193564</v>
      </c>
      <c r="V80">
        <v>120.6</v>
      </c>
      <c r="W80">
        <v>120.2</v>
      </c>
      <c r="X80">
        <v>118.2</v>
      </c>
      <c r="Y80">
        <v>111.6</v>
      </c>
      <c r="Z80">
        <v>115.5</v>
      </c>
      <c r="AA80">
        <v>119.4</v>
      </c>
      <c r="AB80">
        <v>110.8</v>
      </c>
      <c r="AC80">
        <v>115.5</v>
      </c>
      <c r="AD80">
        <v>121.1</v>
      </c>
      <c r="AE80" s="12">
        <f>AVERAGE(All_India_Index_Upto_April23__1___13[[#This Row],[Cereals and products]:[Pan, tobacco and intoxicants]])</f>
        <v>121.15714285714286</v>
      </c>
      <c r="AF80" s="12">
        <f>AVERAGE(All_India_Index_Upto_April23__1___13[[#This Row],[Household goods and services]],All_India_Index_Upto_April23__1___13[[#This Row],[Housing]])</f>
        <v>129.73548387096781</v>
      </c>
      <c r="AG80" s="12">
        <f>AVERAGE(All_India_Index_Upto_April23__1___13[[#This Row],[Miscellaneous]],All_India_Index_Upto_April23__1___13[[#This Row],[Personal care and effects]],All_India_Index_Upto_April23__1___13[[#This Row],[Education]],All_India_Index_Upto_April23__1___13[[#This Row],[Recreation and amusement]])</f>
        <v>115.30000000000001</v>
      </c>
    </row>
    <row r="81" spans="1:33" hidden="1" x14ac:dyDescent="0.3">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s="12">
        <f>AVERAGE(All_India_Index_Upto_April23__1___13[[#This Row],[Cereals and products]:[Pan, tobacco and intoxicants]])</f>
        <v>121.20000000000002</v>
      </c>
      <c r="AF81" s="12">
        <f>AVERAGE(All_India_Index_Upto_April23__1___13[[#This Row],[Household goods and services]],All_India_Index_Upto_April23__1___13[[#This Row],[Housing]])</f>
        <v>118.3</v>
      </c>
      <c r="AG81" s="12">
        <f>AVERAGE(All_India_Index_Upto_April23__1___13[[#This Row],[Miscellaneous]],All_India_Index_Upto_April23__1___13[[#This Row],[Personal care and effects]],All_India_Index_Upto_April23__1___13[[#This Row],[Education]],All_India_Index_Upto_April23__1___13[[#This Row],[Recreation and amusement]])</f>
        <v>115.27500000000001</v>
      </c>
    </row>
    <row r="82" spans="1:33" hidden="1" x14ac:dyDescent="0.3">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s="12">
        <f>AVERAGE(All_India_Index_Upto_April23__1___13[[#This Row],[Cereals and products]:[Pan, tobacco and intoxicants]])</f>
        <v>121.0642857142857</v>
      </c>
      <c r="AF82" s="12">
        <f>AVERAGE(All_India_Index_Upto_April23__1___13[[#This Row],[Household goods and services]],All_India_Index_Upto_April23__1___13[[#This Row],[Housing]])</f>
        <v>118.9</v>
      </c>
      <c r="AG82" s="12">
        <f>AVERAGE(All_India_Index_Upto_April23__1___13[[#This Row],[Miscellaneous]],All_India_Index_Upto_April23__1___13[[#This Row],[Personal care and effects]],All_India_Index_Upto_April23__1___13[[#This Row],[Education]],All_India_Index_Upto_April23__1___13[[#This Row],[Recreation and amusement]])</f>
        <v>115.29999999999998</v>
      </c>
    </row>
    <row r="83" spans="1:33" hidden="1" x14ac:dyDescent="0.3">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s="12">
        <f>'Handle Missing Value Sheet only'!$F$5</f>
        <v>139.27096774193564</v>
      </c>
      <c r="V83">
        <v>121.2</v>
      </c>
      <c r="W83">
        <v>120.9</v>
      </c>
      <c r="X83">
        <v>118.6</v>
      </c>
      <c r="Y83">
        <v>111.9</v>
      </c>
      <c r="Z83">
        <v>116.2</v>
      </c>
      <c r="AA83">
        <v>119.9</v>
      </c>
      <c r="AB83">
        <v>111.6</v>
      </c>
      <c r="AC83">
        <v>116</v>
      </c>
      <c r="AD83">
        <v>121.5</v>
      </c>
      <c r="AE83" s="12">
        <f>AVERAGE(All_India_Index_Upto_April23__1___13[[#This Row],[Cereals and products]:[Pan, tobacco and intoxicants]])</f>
        <v>121.63571428571429</v>
      </c>
      <c r="AF83" s="12">
        <f>AVERAGE(All_India_Index_Upto_April23__1___13[[#This Row],[Household goods and services]],All_India_Index_Upto_April23__1___13[[#This Row],[Housing]])</f>
        <v>130.08548387096783</v>
      </c>
      <c r="AG83" s="12">
        <f>AVERAGE(All_India_Index_Upto_April23__1___13[[#This Row],[Miscellaneous]],All_India_Index_Upto_April23__1___13[[#This Row],[Personal care and effects]],All_India_Index_Upto_April23__1___13[[#This Row],[Education]],All_India_Index_Upto_April23__1___13[[#This Row],[Recreation and amusement]])</f>
        <v>115.925</v>
      </c>
    </row>
    <row r="84" spans="1:33" hidden="1" x14ac:dyDescent="0.3">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s="12">
        <f>AVERAGE(All_India_Index_Upto_April23__1___13[[#This Row],[Cereals and products]:[Pan, tobacco and intoxicants]])</f>
        <v>121.87142857142855</v>
      </c>
      <c r="AF84" s="12">
        <f>AVERAGE(All_India_Index_Upto_April23__1___13[[#This Row],[Household goods and services]],All_India_Index_Upto_April23__1___13[[#This Row],[Housing]])</f>
        <v>118.80000000000001</v>
      </c>
      <c r="AG84" s="12">
        <f>AVERAGE(All_India_Index_Upto_April23__1___13[[#This Row],[Miscellaneous]],All_India_Index_Upto_April23__1___13[[#This Row],[Personal care and effects]],All_India_Index_Upto_April23__1___13[[#This Row],[Education]],All_India_Index_Upto_April23__1___13[[#This Row],[Recreation and amusement]])</f>
        <v>115.82499999999999</v>
      </c>
    </row>
    <row r="85" spans="1:33" hidden="1" x14ac:dyDescent="0.3">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s="12">
        <f>AVERAGE(All_India_Index_Upto_April23__1___13[[#This Row],[Cereals and products]:[Pan, tobacco and intoxicants]])</f>
        <v>121.61428571428573</v>
      </c>
      <c r="AF85" s="12">
        <f>AVERAGE(All_India_Index_Upto_April23__1___13[[#This Row],[Household goods and services]],All_India_Index_Upto_April23__1___13[[#This Row],[Housing]])</f>
        <v>119.45</v>
      </c>
      <c r="AG85" s="12">
        <f>AVERAGE(All_India_Index_Upto_April23__1___13[[#This Row],[Miscellaneous]],All_India_Index_Upto_April23__1___13[[#This Row],[Personal care and effects]],All_India_Index_Upto_April23__1___13[[#This Row],[Education]],All_India_Index_Upto_April23__1___13[[#This Row],[Recreation and amusement]])</f>
        <v>115.92500000000001</v>
      </c>
    </row>
    <row r="86" spans="1:33" hidden="1" x14ac:dyDescent="0.3">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s="12">
        <f>'Handle Missing Value Sheet only'!$F$5</f>
        <v>139.27096774193564</v>
      </c>
      <c r="V86">
        <v>121.9</v>
      </c>
      <c r="W86">
        <v>121.5</v>
      </c>
      <c r="X86">
        <v>119.4</v>
      </c>
      <c r="Y86">
        <v>113.3</v>
      </c>
      <c r="Z86">
        <v>116.7</v>
      </c>
      <c r="AA86">
        <v>120.5</v>
      </c>
      <c r="AB86">
        <v>112.3</v>
      </c>
      <c r="AC86">
        <v>116.9</v>
      </c>
      <c r="AD86">
        <v>122.4</v>
      </c>
      <c r="AE86" s="12">
        <f>AVERAGE(All_India_Index_Upto_April23__1___13[[#This Row],[Cereals and products]:[Pan, tobacco and intoxicants]])</f>
        <v>122.45714285714287</v>
      </c>
      <c r="AF86" s="12">
        <f>AVERAGE(All_India_Index_Upto_April23__1___13[[#This Row],[Household goods and services]],All_India_Index_Upto_April23__1___13[[#This Row],[Housing]])</f>
        <v>130.38548387096782</v>
      </c>
      <c r="AG86" s="12">
        <f>AVERAGE(All_India_Index_Upto_April23__1___13[[#This Row],[Miscellaneous]],All_India_Index_Upto_April23__1___13[[#This Row],[Personal care and effects]],All_India_Index_Upto_April23__1___13[[#This Row],[Education]],All_India_Index_Upto_April23__1___13[[#This Row],[Recreation and amusement]])</f>
        <v>116.6</v>
      </c>
    </row>
    <row r="87" spans="1:33" hidden="1" x14ac:dyDescent="0.3">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s="12">
        <f>AVERAGE(All_India_Index_Upto_April23__1___13[[#This Row],[Cereals and products]:[Pan, tobacco and intoxicants]])</f>
        <v>123.58571428571429</v>
      </c>
      <c r="AF87" s="12">
        <f>AVERAGE(All_India_Index_Upto_April23__1___13[[#This Row],[Household goods and services]],All_India_Index_Upto_April23__1___13[[#This Row],[Housing]])</f>
        <v>119.15</v>
      </c>
      <c r="AG87" s="12">
        <f>AVERAGE(All_India_Index_Upto_April23__1___13[[#This Row],[Miscellaneous]],All_India_Index_Upto_April23__1___13[[#This Row],[Personal care and effects]],All_India_Index_Upto_April23__1___13[[#This Row],[Education]],All_India_Index_Upto_April23__1___13[[#This Row],[Recreation and amusement]])</f>
        <v>116.4</v>
      </c>
    </row>
    <row r="88" spans="1:33" hidden="1" x14ac:dyDescent="0.3">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s="12">
        <f>AVERAGE(All_India_Index_Upto_April23__1___13[[#This Row],[Cereals and products]:[Pan, tobacco and intoxicants]])</f>
        <v>122.73571428571429</v>
      </c>
      <c r="AF88" s="12">
        <f>AVERAGE(All_India_Index_Upto_April23__1___13[[#This Row],[Household goods and services]],All_India_Index_Upto_April23__1___13[[#This Row],[Housing]])</f>
        <v>119.9</v>
      </c>
      <c r="AG88" s="12">
        <f>AVERAGE(All_India_Index_Upto_April23__1___13[[#This Row],[Miscellaneous]],All_India_Index_Upto_April23__1___13[[#This Row],[Personal care and effects]],All_India_Index_Upto_April23__1___13[[#This Row],[Education]],All_India_Index_Upto_April23__1___13[[#This Row],[Recreation and amusement]])</f>
        <v>116.52499999999999</v>
      </c>
    </row>
    <row r="89" spans="1:33" hidden="1" x14ac:dyDescent="0.3">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s="12">
        <f>'Handle Missing Value Sheet only'!$F$5</f>
        <v>139.27096774193564</v>
      </c>
      <c r="V89">
        <v>122.6</v>
      </c>
      <c r="W89">
        <v>122.8</v>
      </c>
      <c r="X89">
        <v>120.4</v>
      </c>
      <c r="Y89">
        <v>114.2</v>
      </c>
      <c r="Z89">
        <v>117.9</v>
      </c>
      <c r="AA89">
        <v>122</v>
      </c>
      <c r="AB89">
        <v>113</v>
      </c>
      <c r="AC89">
        <v>117.9</v>
      </c>
      <c r="AD89">
        <v>124.1</v>
      </c>
      <c r="AE89" s="12">
        <f>AVERAGE(All_India_Index_Upto_April23__1___13[[#This Row],[Cereals and products]:[Pan, tobacco and intoxicants]])</f>
        <v>124.72142857142856</v>
      </c>
      <c r="AF89" s="12">
        <f>AVERAGE(All_India_Index_Upto_April23__1___13[[#This Row],[Household goods and services]],All_India_Index_Upto_April23__1___13[[#This Row],[Housing]])</f>
        <v>131.03548387096782</v>
      </c>
      <c r="AG89" s="12">
        <f>AVERAGE(All_India_Index_Upto_April23__1___13[[#This Row],[Miscellaneous]],All_India_Index_Upto_April23__1___13[[#This Row],[Personal care and effects]],All_India_Index_Upto_April23__1___13[[#This Row],[Education]],All_India_Index_Upto_April23__1___13[[#This Row],[Recreation and amusement]])</f>
        <v>117.69999999999999</v>
      </c>
    </row>
    <row r="90" spans="1:33" hidden="1" x14ac:dyDescent="0.3">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s="12">
        <f>AVERAGE(All_India_Index_Upto_April23__1___13[[#This Row],[Cereals and products]:[Pan, tobacco and intoxicants]])</f>
        <v>126.33571428571427</v>
      </c>
      <c r="AF90" s="12">
        <f>AVERAGE(All_India_Index_Upto_April23__1___13[[#This Row],[Household goods and services]],All_India_Index_Upto_April23__1___13[[#This Row],[Housing]])</f>
        <v>119.1</v>
      </c>
      <c r="AG90" s="12">
        <f>AVERAGE(All_India_Index_Upto_April23__1___13[[#This Row],[Miscellaneous]],All_India_Index_Upto_April23__1___13[[#This Row],[Personal care and effects]],All_India_Index_Upto_April23__1___13[[#This Row],[Education]],All_India_Index_Upto_April23__1___13[[#This Row],[Recreation and amusement]])</f>
        <v>117.125</v>
      </c>
    </row>
    <row r="91" spans="1:33" hidden="1" x14ac:dyDescent="0.3">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s="12">
        <f>AVERAGE(All_India_Index_Upto_April23__1___13[[#This Row],[Cereals and products]:[Pan, tobacco and intoxicants]])</f>
        <v>125.19285714285715</v>
      </c>
      <c r="AF91" s="12">
        <f>AVERAGE(All_India_Index_Upto_April23__1___13[[#This Row],[Household goods and services]],All_India_Index_Upto_April23__1___13[[#This Row],[Housing]])</f>
        <v>120.05</v>
      </c>
      <c r="AG91" s="12">
        <f>AVERAGE(All_India_Index_Upto_April23__1___13[[#This Row],[Miscellaneous]],All_India_Index_Upto_April23__1___13[[#This Row],[Personal care and effects]],All_India_Index_Upto_April23__1___13[[#This Row],[Education]],All_India_Index_Upto_April23__1___13[[#This Row],[Recreation and amusement]])</f>
        <v>117.44999999999999</v>
      </c>
    </row>
    <row r="92" spans="1:33" hidden="1" x14ac:dyDescent="0.3">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s="12">
        <f>'Handle Missing Value Sheet only'!$F$5</f>
        <v>139.27096774193564</v>
      </c>
      <c r="V92">
        <v>123</v>
      </c>
      <c r="W92">
        <v>123</v>
      </c>
      <c r="X92">
        <v>120.8</v>
      </c>
      <c r="Y92">
        <v>114.1</v>
      </c>
      <c r="Z92">
        <v>118</v>
      </c>
      <c r="AA92">
        <v>122.9</v>
      </c>
      <c r="AB92">
        <v>112.7</v>
      </c>
      <c r="AC92">
        <v>118.1</v>
      </c>
      <c r="AD92">
        <v>124.7</v>
      </c>
      <c r="AE92" s="12">
        <f>AVERAGE(All_India_Index_Upto_April23__1___13[[#This Row],[Cereals and products]:[Pan, tobacco and intoxicants]])</f>
        <v>125.33571428571429</v>
      </c>
      <c r="AF92" s="12">
        <f>AVERAGE(All_India_Index_Upto_April23__1___13[[#This Row],[Household goods and services]],All_India_Index_Upto_April23__1___13[[#This Row],[Housing]])</f>
        <v>131.13548387096782</v>
      </c>
      <c r="AG92" s="12">
        <f>AVERAGE(All_India_Index_Upto_April23__1___13[[#This Row],[Miscellaneous]],All_India_Index_Upto_April23__1___13[[#This Row],[Personal care and effects]],All_India_Index_Upto_April23__1___13[[#This Row],[Education]],All_India_Index_Upto_April23__1___13[[#This Row],[Recreation and amusement]])</f>
        <v>117.92500000000001</v>
      </c>
    </row>
    <row r="93" spans="1:33" hidden="1" x14ac:dyDescent="0.3">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s="12">
        <f>AVERAGE(All_India_Index_Upto_April23__1___13[[#This Row],[Cereals and products]:[Pan, tobacco and intoxicants]])</f>
        <v>126.85714285714285</v>
      </c>
      <c r="AF93" s="12">
        <f>AVERAGE(All_India_Index_Upto_April23__1___13[[#This Row],[Household goods and services]],All_India_Index_Upto_April23__1___13[[#This Row],[Housing]])</f>
        <v>119.7</v>
      </c>
      <c r="AG93" s="12">
        <f>AVERAGE(All_India_Index_Upto_April23__1___13[[#This Row],[Miscellaneous]],All_India_Index_Upto_April23__1___13[[#This Row],[Personal care and effects]],All_India_Index_Upto_April23__1___13[[#This Row],[Education]],All_India_Index_Upto_April23__1___13[[#This Row],[Recreation and amusement]])</f>
        <v>117.5</v>
      </c>
    </row>
    <row r="94" spans="1:33" hidden="1" x14ac:dyDescent="0.3">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s="12">
        <f>AVERAGE(All_India_Index_Upto_April23__1___13[[#This Row],[Cereals and products]:[Pan, tobacco and intoxicants]])</f>
        <v>125.78571428571431</v>
      </c>
      <c r="AF94" s="12">
        <f>AVERAGE(All_India_Index_Upto_April23__1___13[[#This Row],[Household goods and services]],All_India_Index_Upto_April23__1___13[[#This Row],[Housing]])</f>
        <v>120.6</v>
      </c>
      <c r="AG94" s="12">
        <f>AVERAGE(All_India_Index_Upto_April23__1___13[[#This Row],[Miscellaneous]],All_India_Index_Upto_April23__1___13[[#This Row],[Personal care and effects]],All_India_Index_Upto_April23__1___13[[#This Row],[Education]],All_India_Index_Upto_April23__1___13[[#This Row],[Recreation and amusement]])</f>
        <v>117.77499999999999</v>
      </c>
    </row>
    <row r="95" spans="1:33" hidden="1" x14ac:dyDescent="0.3">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s="12">
        <f>'Handle Missing Value Sheet only'!$F$5</f>
        <v>139.27096774193564</v>
      </c>
      <c r="V95">
        <v>123.8</v>
      </c>
      <c r="W95">
        <v>123.7</v>
      </c>
      <c r="X95">
        <v>121.1</v>
      </c>
      <c r="Y95">
        <v>113.6</v>
      </c>
      <c r="Z95">
        <v>118.5</v>
      </c>
      <c r="AA95">
        <v>123.6</v>
      </c>
      <c r="AB95">
        <v>112.5</v>
      </c>
      <c r="AC95">
        <v>118.2</v>
      </c>
      <c r="AD95">
        <v>126.1</v>
      </c>
      <c r="AE95" s="12">
        <f>AVERAGE(All_India_Index_Upto_April23__1___13[[#This Row],[Cereals and products]:[Pan, tobacco and intoxicants]])</f>
        <v>126.90714285714284</v>
      </c>
      <c r="AF95" s="12">
        <f>AVERAGE(All_India_Index_Upto_April23__1___13[[#This Row],[Household goods and services]],All_India_Index_Upto_April23__1___13[[#This Row],[Housing]])</f>
        <v>131.48548387096781</v>
      </c>
      <c r="AG95" s="12">
        <f>AVERAGE(All_India_Index_Upto_April23__1___13[[#This Row],[Miscellaneous]],All_India_Index_Upto_April23__1___13[[#This Row],[Personal care and effects]],All_India_Index_Upto_April23__1___13[[#This Row],[Education]],All_India_Index_Upto_April23__1___13[[#This Row],[Recreation and amusement]])</f>
        <v>118.19999999999999</v>
      </c>
    </row>
    <row r="96" spans="1:33" hidden="1" x14ac:dyDescent="0.3">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s="12">
        <f>AVERAGE(All_India_Index_Upto_April23__1___13[[#This Row],[Cereals and products]:[Pan, tobacco and intoxicants]])</f>
        <v>128.07857142857142</v>
      </c>
      <c r="AF96" s="12">
        <f>AVERAGE(All_India_Index_Upto_April23__1___13[[#This Row],[Household goods and services]],All_India_Index_Upto_April23__1___13[[#This Row],[Housing]])</f>
        <v>120.45</v>
      </c>
      <c r="AG96" s="12">
        <f>AVERAGE(All_India_Index_Upto_April23__1___13[[#This Row],[Miscellaneous]],All_India_Index_Upto_April23__1___13[[#This Row],[Personal care and effects]],All_India_Index_Upto_April23__1___13[[#This Row],[Education]],All_India_Index_Upto_April23__1___13[[#This Row],[Recreation and amusement]])</f>
        <v>117.89999999999999</v>
      </c>
    </row>
    <row r="97" spans="1:33" hidden="1" x14ac:dyDescent="0.3">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s="12">
        <f>AVERAGE(All_India_Index_Upto_April23__1___13[[#This Row],[Cereals and products]:[Pan, tobacco and intoxicants]])</f>
        <v>127.2</v>
      </c>
      <c r="AF97" s="12">
        <f>AVERAGE(All_India_Index_Upto_April23__1___13[[#This Row],[Household goods and services]],All_India_Index_Upto_April23__1___13[[#This Row],[Housing]])</f>
        <v>121.45</v>
      </c>
      <c r="AG97" s="12">
        <f>AVERAGE(All_India_Index_Upto_April23__1___13[[#This Row],[Miscellaneous]],All_India_Index_Upto_April23__1___13[[#This Row],[Personal care and effects]],All_India_Index_Upto_April23__1___13[[#This Row],[Education]],All_India_Index_Upto_April23__1___13[[#This Row],[Recreation and amusement]])</f>
        <v>118.10000000000001</v>
      </c>
    </row>
    <row r="98" spans="1:33" hidden="1" x14ac:dyDescent="0.3">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s="12">
        <f>'Handle Missing Value Sheet only'!$F$5</f>
        <v>139.27096774193564</v>
      </c>
      <c r="V98">
        <v>123.7</v>
      </c>
      <c r="W98">
        <v>124.5</v>
      </c>
      <c r="X98">
        <v>121.4</v>
      </c>
      <c r="Y98">
        <v>113.8</v>
      </c>
      <c r="Z98">
        <v>119.6</v>
      </c>
      <c r="AA98">
        <v>124.5</v>
      </c>
      <c r="AB98">
        <v>113.7</v>
      </c>
      <c r="AC98">
        <v>118.8</v>
      </c>
      <c r="AD98">
        <v>127</v>
      </c>
      <c r="AE98" s="12">
        <f>AVERAGE(All_India_Index_Upto_April23__1___13[[#This Row],[Cereals and products]:[Pan, tobacco and intoxicants]])</f>
        <v>127.75714285714287</v>
      </c>
      <c r="AF98" s="12">
        <f>AVERAGE(All_India_Index_Upto_April23__1___13[[#This Row],[Household goods and services]],All_India_Index_Upto_April23__1___13[[#This Row],[Housing]])</f>
        <v>131.88548387096782</v>
      </c>
      <c r="AG98" s="12">
        <f>AVERAGE(All_India_Index_Upto_April23__1___13[[#This Row],[Miscellaneous]],All_India_Index_Upto_April23__1___13[[#This Row],[Personal care and effects]],All_India_Index_Upto_April23__1___13[[#This Row],[Education]],All_India_Index_Upto_April23__1___13[[#This Row],[Recreation and amusement]])</f>
        <v>119.15</v>
      </c>
    </row>
    <row r="99" spans="1:33" hidden="1" x14ac:dyDescent="0.3">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s="12">
        <f>AVERAGE(All_India_Index_Upto_April23__1___13[[#This Row],[Cereals and products]:[Pan, tobacco and intoxicants]])</f>
        <v>128.53571428571428</v>
      </c>
      <c r="AF99" s="12">
        <f>AVERAGE(All_India_Index_Upto_April23__1___13[[#This Row],[Household goods and services]],All_India_Index_Upto_April23__1___13[[#This Row],[Housing]])</f>
        <v>121</v>
      </c>
      <c r="AG99" s="12">
        <f>AVERAGE(All_India_Index_Upto_April23__1___13[[#This Row],[Miscellaneous]],All_India_Index_Upto_April23__1___13[[#This Row],[Personal care and effects]],All_India_Index_Upto_April23__1___13[[#This Row],[Education]],All_India_Index_Upto_April23__1___13[[#This Row],[Recreation and amusement]])</f>
        <v>118.22500000000001</v>
      </c>
    </row>
    <row r="100" spans="1:33" hidden="1" x14ac:dyDescent="0.3">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s="12">
        <f>AVERAGE(All_India_Index_Upto_April23__1___13[[#This Row],[Cereals and products]:[Pan, tobacco and intoxicants]])</f>
        <v>127.87857142857145</v>
      </c>
      <c r="AF100" s="12">
        <f>AVERAGE(All_India_Index_Upto_April23__1___13[[#This Row],[Household goods and services]],All_India_Index_Upto_April23__1___13[[#This Row],[Housing]])</f>
        <v>122.1</v>
      </c>
      <c r="AG100" s="12">
        <f>AVERAGE(All_India_Index_Upto_April23__1___13[[#This Row],[Miscellaneous]],All_India_Index_Upto_April23__1___13[[#This Row],[Personal care and effects]],All_India_Index_Upto_April23__1___13[[#This Row],[Education]],All_India_Index_Upto_April23__1___13[[#This Row],[Recreation and amusement]])</f>
        <v>118.72500000000001</v>
      </c>
    </row>
    <row r="101" spans="1:33" hidden="1" x14ac:dyDescent="0.3">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s="12">
        <f>'Handle Missing Value Sheet only'!$F$5</f>
        <v>139.27096774193564</v>
      </c>
      <c r="V101">
        <v>124.4</v>
      </c>
      <c r="W101">
        <v>125.1</v>
      </c>
      <c r="X101">
        <v>122</v>
      </c>
      <c r="Y101">
        <v>113.8</v>
      </c>
      <c r="Z101">
        <v>120.1</v>
      </c>
      <c r="AA101">
        <v>125.1</v>
      </c>
      <c r="AB101">
        <v>114.2</v>
      </c>
      <c r="AC101">
        <v>119.2</v>
      </c>
      <c r="AD101">
        <v>127.7</v>
      </c>
      <c r="AE101" s="12">
        <f>AVERAGE(All_India_Index_Upto_April23__1___13[[#This Row],[Cereals and products]:[Pan, tobacco and intoxicants]])</f>
        <v>129.00714285714284</v>
      </c>
      <c r="AF101" s="12">
        <f>AVERAGE(All_India_Index_Upto_April23__1___13[[#This Row],[Household goods and services]],All_India_Index_Upto_April23__1___13[[#This Row],[Housing]])</f>
        <v>132.1854838709678</v>
      </c>
      <c r="AG101" s="12">
        <f>AVERAGE(All_India_Index_Upto_April23__1___13[[#This Row],[Miscellaneous]],All_India_Index_Upto_April23__1___13[[#This Row],[Personal care and effects]],All_India_Index_Upto_April23__1___13[[#This Row],[Education]],All_India_Index_Upto_April23__1___13[[#This Row],[Recreation and amusement]])</f>
        <v>119.65</v>
      </c>
    </row>
    <row r="102" spans="1:33" hidden="1" x14ac:dyDescent="0.3">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s="12">
        <f>AVERAGE(All_India_Index_Upto_April23__1___13[[#This Row],[Cereals and products]:[Pan, tobacco and intoxicants]])</f>
        <v>130.57857142857145</v>
      </c>
      <c r="AF102" s="12">
        <f>AVERAGE(All_India_Index_Upto_April23__1___13[[#This Row],[Household goods and services]],All_India_Index_Upto_April23__1___13[[#This Row],[Housing]])</f>
        <v>121.55000000000001</v>
      </c>
      <c r="AG102" s="12">
        <f>AVERAGE(All_India_Index_Upto_April23__1___13[[#This Row],[Miscellaneous]],All_India_Index_Upto_April23__1___13[[#This Row],[Personal care and effects]],All_India_Index_Upto_April23__1___13[[#This Row],[Education]],All_India_Index_Upto_April23__1___13[[#This Row],[Recreation and amusement]])</f>
        <v>118.55</v>
      </c>
    </row>
    <row r="103" spans="1:33" hidden="1" x14ac:dyDescent="0.3">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s="12">
        <f>AVERAGE(All_India_Index_Upto_April23__1___13[[#This Row],[Cereals and products]:[Pan, tobacco and intoxicants]])</f>
        <v>129.39285714285714</v>
      </c>
      <c r="AF103" s="12">
        <f>AVERAGE(All_India_Index_Upto_April23__1___13[[#This Row],[Household goods and services]],All_India_Index_Upto_April23__1___13[[#This Row],[Housing]])</f>
        <v>122.7</v>
      </c>
      <c r="AG103" s="12">
        <f>AVERAGE(All_India_Index_Upto_April23__1___13[[#This Row],[Miscellaneous]],All_India_Index_Upto_April23__1___13[[#This Row],[Personal care and effects]],All_India_Index_Upto_April23__1___13[[#This Row],[Education]],All_India_Index_Upto_April23__1___13[[#This Row],[Recreation and amusement]])</f>
        <v>119.10000000000001</v>
      </c>
    </row>
    <row r="104" spans="1:33" hidden="1"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s="12">
        <f>'Handle Missing Value Sheet only'!$F$5</f>
        <v>139.27096774193564</v>
      </c>
      <c r="V104">
        <v>125.6</v>
      </c>
      <c r="W104">
        <v>125.6</v>
      </c>
      <c r="X104">
        <v>122.6</v>
      </c>
      <c r="Y104">
        <v>114</v>
      </c>
      <c r="Z104">
        <v>120.9</v>
      </c>
      <c r="AA104">
        <v>125.8</v>
      </c>
      <c r="AB104">
        <v>114.2</v>
      </c>
      <c r="AC104">
        <v>119.6</v>
      </c>
      <c r="AD104">
        <v>128.30000000000001</v>
      </c>
      <c r="AE104" s="12">
        <f>AVERAGE(All_India_Index_Upto_April23__1___13[[#This Row],[Cereals and products]:[Pan, tobacco and intoxicants]])</f>
        <v>129.89285714285714</v>
      </c>
      <c r="AF104" s="12">
        <f>AVERAGE(All_India_Index_Upto_April23__1___13[[#This Row],[Household goods and services]],All_India_Index_Upto_April23__1___13[[#This Row],[Housing]])</f>
        <v>132.4354838709678</v>
      </c>
      <c r="AG104" s="12">
        <f>AVERAGE(All_India_Index_Upto_April23__1___13[[#This Row],[Miscellaneous]],All_India_Index_Upto_April23__1___13[[#This Row],[Personal care and effects]],All_India_Index_Upto_April23__1___13[[#This Row],[Education]],All_India_Index_Upto_April23__1___13[[#This Row],[Recreation and amusement]])</f>
        <v>120.125</v>
      </c>
    </row>
    <row r="105" spans="1:33" hidden="1" x14ac:dyDescent="0.3">
      <c r="A105" t="s">
        <v>32</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s="12">
        <f>AVERAGE(All_India_Index_Upto_April23__1___13[[#This Row],[Cereals and products]:[Pan, tobacco and intoxicants]])</f>
        <v>131.8642857142857</v>
      </c>
      <c r="AF105" s="12">
        <f>AVERAGE(All_India_Index_Upto_April23__1___13[[#This Row],[Household goods and services]],All_India_Index_Upto_April23__1___13[[#This Row],[Housing]])</f>
        <v>121.95</v>
      </c>
      <c r="AG105" s="12">
        <f>AVERAGE(All_India_Index_Upto_April23__1___13[[#This Row],[Miscellaneous]],All_India_Index_Upto_April23__1___13[[#This Row],[Personal care and effects]],All_India_Index_Upto_April23__1___13[[#This Row],[Education]],All_India_Index_Upto_April23__1___13[[#This Row],[Recreation and amusement]])</f>
        <v>118.6</v>
      </c>
    </row>
    <row r="106" spans="1:33" hidden="1" x14ac:dyDescent="0.3">
      <c r="A106" t="s">
        <v>33</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s="12">
        <f>AVERAGE(All_India_Index_Upto_April23__1___13[[#This Row],[Cereals and products]:[Pan, tobacco and intoxicants]])</f>
        <v>130.40714285714284</v>
      </c>
      <c r="AF106" s="12">
        <f>AVERAGE(All_India_Index_Upto_April23__1___13[[#This Row],[Household goods and services]],All_India_Index_Upto_April23__1___13[[#This Row],[Housing]])</f>
        <v>123.15</v>
      </c>
      <c r="AG106" s="12">
        <f>AVERAGE(All_India_Index_Upto_April23__1___13[[#This Row],[Miscellaneous]],All_India_Index_Upto_April23__1___13[[#This Row],[Personal care and effects]],All_India_Index_Upto_April23__1___13[[#This Row],[Education]],All_India_Index_Upto_April23__1___13[[#This Row],[Recreation and amusement]])</f>
        <v>119.35</v>
      </c>
    </row>
    <row r="107" spans="1:33" hidden="1"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s="12">
        <f>'Handle Missing Value Sheet only'!$F$5</f>
        <v>139.27096774193564</v>
      </c>
      <c r="V107">
        <v>125.7</v>
      </c>
      <c r="W107">
        <v>126</v>
      </c>
      <c r="X107">
        <v>123.1</v>
      </c>
      <c r="Y107">
        <v>114</v>
      </c>
      <c r="Z107">
        <v>121.6</v>
      </c>
      <c r="AA107">
        <v>125.6</v>
      </c>
      <c r="AB107">
        <v>114.1</v>
      </c>
      <c r="AC107">
        <v>119.8</v>
      </c>
      <c r="AD107">
        <v>127.9</v>
      </c>
      <c r="AE107" s="12">
        <f>AVERAGE(All_India_Index_Upto_April23__1___13[[#This Row],[Cereals and products]:[Pan, tobacco and intoxicants]])</f>
        <v>129.67142857142858</v>
      </c>
      <c r="AF107" s="12">
        <f>AVERAGE(All_India_Index_Upto_April23__1___13[[#This Row],[Household goods and services]],All_India_Index_Upto_April23__1___13[[#This Row],[Housing]])</f>
        <v>132.63548387096782</v>
      </c>
      <c r="AG107" s="12">
        <f>AVERAGE(All_India_Index_Upto_April23__1___13[[#This Row],[Miscellaneous]],All_India_Index_Upto_April23__1___13[[#This Row],[Personal care and effects]],All_India_Index_Upto_April23__1___13[[#This Row],[Education]],All_India_Index_Upto_April23__1___13[[#This Row],[Recreation and amusement]])</f>
        <v>120.27500000000001</v>
      </c>
    </row>
    <row r="108" spans="1:33" hidden="1" x14ac:dyDescent="0.3">
      <c r="A108" t="s">
        <v>32</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s="12">
        <f>AVERAGE(All_India_Index_Upto_April23__1___13[[#This Row],[Cereals and products]:[Pan, tobacco and intoxicants]])</f>
        <v>131.21428571428572</v>
      </c>
      <c r="AF108" s="12">
        <f>AVERAGE(All_India_Index_Upto_April23__1___13[[#This Row],[Household goods and services]],All_India_Index_Upto_April23__1___13[[#This Row],[Housing]])</f>
        <v>121.7</v>
      </c>
      <c r="AG108" s="12">
        <f>AVERAGE(All_India_Index_Upto_April23__1___13[[#This Row],[Miscellaneous]],All_India_Index_Upto_April23__1___13[[#This Row],[Personal care and effects]],All_India_Index_Upto_April23__1___13[[#This Row],[Education]],All_India_Index_Upto_April23__1___13[[#This Row],[Recreation and amusement]])</f>
        <v>118.65</v>
      </c>
    </row>
    <row r="109" spans="1:33" hidden="1" x14ac:dyDescent="0.3">
      <c r="A109" t="s">
        <v>33</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s="12">
        <f>AVERAGE(All_India_Index_Upto_April23__1___13[[#This Row],[Cereals and products]:[Pan, tobacco and intoxicants]])</f>
        <v>130.04285714285714</v>
      </c>
      <c r="AF109" s="12">
        <f>AVERAGE(All_India_Index_Upto_April23__1___13[[#This Row],[Household goods and services]],All_India_Index_Upto_April23__1___13[[#This Row],[Housing]])</f>
        <v>123</v>
      </c>
      <c r="AG109" s="12">
        <f>AVERAGE(All_India_Index_Upto_April23__1___13[[#This Row],[Miscellaneous]],All_India_Index_Upto_April23__1___13[[#This Row],[Personal care and effects]],All_India_Index_Upto_April23__1___13[[#This Row],[Education]],All_India_Index_Upto_April23__1___13[[#This Row],[Recreation and amusement]])</f>
        <v>119.44999999999999</v>
      </c>
    </row>
    <row r="110" spans="1:33"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s="12">
        <f>'Handle Missing Value Sheet only'!$F$5</f>
        <v>139.27096774193564</v>
      </c>
      <c r="V110">
        <v>126.2</v>
      </c>
      <c r="W110">
        <v>126.6</v>
      </c>
      <c r="X110">
        <v>123.7</v>
      </c>
      <c r="Y110">
        <v>113.6</v>
      </c>
      <c r="Z110">
        <v>121.4</v>
      </c>
      <c r="AA110">
        <v>126.2</v>
      </c>
      <c r="AB110">
        <v>114.9</v>
      </c>
      <c r="AC110">
        <v>120.1</v>
      </c>
      <c r="AD110">
        <v>128.1</v>
      </c>
      <c r="AE110" s="12">
        <f>AVERAGE(All_India_Index_Upto_April23__1___13[[#This Row],[Cereals and products]:[Pan, tobacco and intoxicants]])</f>
        <v>130.26428571428571</v>
      </c>
      <c r="AF110" s="12">
        <f>AVERAGE(All_India_Index_Upto_April23__1___13[[#This Row],[Household goods and services]],All_India_Index_Upto_April23__1___13[[#This Row],[Housing]])</f>
        <v>132.9354838709678</v>
      </c>
      <c r="AG110" s="12">
        <f>AVERAGE(All_India_Index_Upto_April23__1___13[[#This Row],[Miscellaneous]],All_India_Index_Upto_April23__1___13[[#This Row],[Personal care and effects]],All_India_Index_Upto_April23__1___13[[#This Row],[Education]],All_India_Index_Upto_April23__1___13[[#This Row],[Recreation and amusement]])</f>
        <v>120.65</v>
      </c>
    </row>
    <row r="111" spans="1:33" hidden="1" x14ac:dyDescent="0.3">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s="12">
        <f>AVERAGE(All_India_Index_Upto_April23__1___13[[#This Row],[Cereals and products]:[Pan, tobacco and intoxicants]])</f>
        <v>131.49285714285716</v>
      </c>
      <c r="AF111" s="12">
        <f>AVERAGE(All_India_Index_Upto_April23__1___13[[#This Row],[Household goods and services]],All_India_Index_Upto_April23__1___13[[#This Row],[Housing]])</f>
        <v>122.5</v>
      </c>
      <c r="AG111" s="12">
        <f>AVERAGE(All_India_Index_Upto_April23__1___13[[#This Row],[Miscellaneous]],All_India_Index_Upto_April23__1___13[[#This Row],[Personal care and effects]],All_India_Index_Upto_April23__1___13[[#This Row],[Education]],All_India_Index_Upto_April23__1___13[[#This Row],[Recreation and amusement]])</f>
        <v>118.92500000000001</v>
      </c>
    </row>
    <row r="112" spans="1:33" hidden="1" x14ac:dyDescent="0.3">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s="12">
        <f>AVERAGE(All_India_Index_Upto_April23__1___13[[#This Row],[Cereals and products]:[Pan, tobacco and intoxicants]])</f>
        <v>130.49285714285716</v>
      </c>
      <c r="AF112" s="12">
        <f>AVERAGE(All_India_Index_Upto_April23__1___13[[#This Row],[Household goods and services]],All_India_Index_Upto_April23__1___13[[#This Row],[Housing]])</f>
        <v>123.80000000000001</v>
      </c>
      <c r="AG112" s="12">
        <f>AVERAGE(All_India_Index_Upto_April23__1___13[[#This Row],[Miscellaneous]],All_India_Index_Upto_April23__1___13[[#This Row],[Personal care and effects]],All_India_Index_Upto_April23__1___13[[#This Row],[Education]],All_India_Index_Upto_April23__1___13[[#This Row],[Recreation and amusement]])</f>
        <v>119.77500000000001</v>
      </c>
    </row>
    <row r="113" spans="1:33" hidden="1" x14ac:dyDescent="0.3">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s="12">
        <f>'Handle Missing Value Sheet only'!$F$5</f>
        <v>139.27096774193564</v>
      </c>
      <c r="V113">
        <v>127.5</v>
      </c>
      <c r="W113">
        <v>127.1</v>
      </c>
      <c r="X113">
        <v>124.3</v>
      </c>
      <c r="Y113">
        <v>113.9</v>
      </c>
      <c r="Z113">
        <v>122.3</v>
      </c>
      <c r="AA113">
        <v>127.1</v>
      </c>
      <c r="AB113">
        <v>116.8</v>
      </c>
      <c r="AC113">
        <v>120.9</v>
      </c>
      <c r="AD113">
        <v>127.9</v>
      </c>
      <c r="AE113" s="12">
        <f>AVERAGE(All_India_Index_Upto_April23__1___13[[#This Row],[Cereals and products]:[Pan, tobacco and intoxicants]])</f>
        <v>129.78571428571428</v>
      </c>
      <c r="AF113" s="12">
        <f>AVERAGE(All_India_Index_Upto_April23__1___13[[#This Row],[Household goods and services]],All_India_Index_Upto_April23__1___13[[#This Row],[Housing]])</f>
        <v>133.1854838709678</v>
      </c>
      <c r="AG113" s="12">
        <f>AVERAGE(All_India_Index_Upto_April23__1___13[[#This Row],[Miscellaneous]],All_India_Index_Upto_April23__1___13[[#This Row],[Personal care and effects]],All_India_Index_Upto_April23__1___13[[#This Row],[Education]],All_India_Index_Upto_April23__1___13[[#This Row],[Recreation and amusement]])</f>
        <v>121.77499999999999</v>
      </c>
    </row>
    <row r="114" spans="1:33" hidden="1" x14ac:dyDescent="0.3">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s="12">
        <f>AVERAGE(All_India_Index_Upto_April23__1___13[[#This Row],[Cereals and products]:[Pan, tobacco and intoxicants]])</f>
        <v>129.72142857142856</v>
      </c>
      <c r="AF114" s="12">
        <f>AVERAGE(All_India_Index_Upto_April23__1___13[[#This Row],[Household goods and services]],All_India_Index_Upto_April23__1___13[[#This Row],[Housing]])</f>
        <v>123.1</v>
      </c>
      <c r="AG114" s="12">
        <f>AVERAGE(All_India_Index_Upto_April23__1___13[[#This Row],[Miscellaneous]],All_India_Index_Upto_April23__1___13[[#This Row],[Personal care and effects]],All_India_Index_Upto_April23__1___13[[#This Row],[Education]],All_India_Index_Upto_April23__1___13[[#This Row],[Recreation and amusement]])</f>
        <v>119.625</v>
      </c>
    </row>
    <row r="115" spans="1:33" hidden="1" x14ac:dyDescent="0.3">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s="12">
        <f>AVERAGE(All_India_Index_Upto_April23__1___13[[#This Row],[Cereals and products]:[Pan, tobacco and intoxicants]])</f>
        <v>129.57142857142858</v>
      </c>
      <c r="AF115" s="12">
        <f>AVERAGE(All_India_Index_Upto_April23__1___13[[#This Row],[Household goods and services]],All_India_Index_Upto_April23__1___13[[#This Row],[Housing]])</f>
        <v>124.5</v>
      </c>
      <c r="AG115" s="12">
        <f>AVERAGE(All_India_Index_Upto_April23__1___13[[#This Row],[Miscellaneous]],All_India_Index_Upto_April23__1___13[[#This Row],[Personal care and effects]],All_India_Index_Upto_April23__1___13[[#This Row],[Education]],All_India_Index_Upto_April23__1___13[[#This Row],[Recreation and amusement]])</f>
        <v>120.64999999999999</v>
      </c>
    </row>
    <row r="116" spans="1:33" hidden="1" x14ac:dyDescent="0.3">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s="12">
        <f>'Handle Missing Value Sheet only'!$F$5</f>
        <v>139.27096774193564</v>
      </c>
      <c r="V116">
        <v>127</v>
      </c>
      <c r="W116">
        <v>127.7</v>
      </c>
      <c r="X116">
        <v>124.8</v>
      </c>
      <c r="Y116">
        <v>113.6</v>
      </c>
      <c r="Z116">
        <v>122.5</v>
      </c>
      <c r="AA116">
        <v>127.5</v>
      </c>
      <c r="AB116">
        <v>117.4</v>
      </c>
      <c r="AC116">
        <v>121.1</v>
      </c>
      <c r="AD116">
        <v>128</v>
      </c>
      <c r="AE116" s="12">
        <f>AVERAGE(All_India_Index_Upto_April23__1___13[[#This Row],[Cereals and products]:[Pan, tobacco and intoxicants]])</f>
        <v>129.83571428571432</v>
      </c>
      <c r="AF116" s="12">
        <f>AVERAGE(All_India_Index_Upto_April23__1___13[[#This Row],[Household goods and services]],All_India_Index_Upto_April23__1___13[[#This Row],[Housing]])</f>
        <v>133.48548387096781</v>
      </c>
      <c r="AG116" s="12">
        <f>AVERAGE(All_India_Index_Upto_April23__1___13[[#This Row],[Miscellaneous]],All_India_Index_Upto_April23__1___13[[#This Row],[Personal care and effects]],All_India_Index_Upto_April23__1___13[[#This Row],[Education]],All_India_Index_Upto_April23__1___13[[#This Row],[Recreation and amusement]])</f>
        <v>122.125</v>
      </c>
    </row>
    <row r="117" spans="1:33" hidden="1" x14ac:dyDescent="0.3">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s="12">
        <f>AVERAGE(All_India_Index_Upto_April23__1___13[[#This Row],[Cereals and products]:[Pan, tobacco and intoxicants]])</f>
        <v>129.15714285714287</v>
      </c>
      <c r="AF117" s="12">
        <f>AVERAGE(All_India_Index_Upto_April23__1___13[[#This Row],[Household goods and services]],All_India_Index_Upto_April23__1___13[[#This Row],[Housing]])</f>
        <v>123.6</v>
      </c>
      <c r="AG117" s="12">
        <f>AVERAGE(All_India_Index_Upto_April23__1___13[[#This Row],[Miscellaneous]],All_India_Index_Upto_April23__1___13[[#This Row],[Personal care and effects]],All_India_Index_Upto_April23__1___13[[#This Row],[Education]],All_India_Index_Upto_April23__1___13[[#This Row],[Recreation and amusement]])</f>
        <v>119.97499999999999</v>
      </c>
    </row>
    <row r="118" spans="1:33" hidden="1" x14ac:dyDescent="0.3">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s="12">
        <f>AVERAGE(All_India_Index_Upto_April23__1___13[[#This Row],[Cereals and products]:[Pan, tobacco and intoxicants]])</f>
        <v>129.40714285714287</v>
      </c>
      <c r="AF118" s="12">
        <f>AVERAGE(All_India_Index_Upto_April23__1___13[[#This Row],[Household goods and services]],All_India_Index_Upto_April23__1___13[[#This Row],[Housing]])</f>
        <v>125</v>
      </c>
      <c r="AG118" s="12">
        <f>AVERAGE(All_India_Index_Upto_April23__1___13[[#This Row],[Miscellaneous]],All_India_Index_Upto_April23__1___13[[#This Row],[Personal care and effects]],All_India_Index_Upto_April23__1___13[[#This Row],[Education]],All_India_Index_Upto_April23__1___13[[#This Row],[Recreation and amusement]])</f>
        <v>121.02500000000001</v>
      </c>
    </row>
    <row r="119" spans="1:33" hidden="1" x14ac:dyDescent="0.3">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s="12">
        <f>'Handle Missing Value Sheet only'!$F$5</f>
        <v>139.27096774193564</v>
      </c>
      <c r="V119">
        <v>127</v>
      </c>
      <c r="W119">
        <v>128</v>
      </c>
      <c r="X119">
        <v>125.2</v>
      </c>
      <c r="Y119">
        <v>114.4</v>
      </c>
      <c r="Z119">
        <v>123.2</v>
      </c>
      <c r="AA119">
        <v>127.9</v>
      </c>
      <c r="AB119">
        <v>118.4</v>
      </c>
      <c r="AC119">
        <v>121.7</v>
      </c>
      <c r="AD119">
        <v>129</v>
      </c>
      <c r="AE119" s="12">
        <f>AVERAGE(All_India_Index_Upto_April23__1___13[[#This Row],[Cereals and products]:[Pan, tobacco and intoxicants]])</f>
        <v>131.22142857142859</v>
      </c>
      <c r="AF119" s="12">
        <f>AVERAGE(All_India_Index_Upto_April23__1___13[[#This Row],[Household goods and services]],All_India_Index_Upto_April23__1___13[[#This Row],[Housing]])</f>
        <v>133.63548387096782</v>
      </c>
      <c r="AG119" s="12">
        <f>AVERAGE(All_India_Index_Upto_April23__1___13[[#This Row],[Miscellaneous]],All_India_Index_Upto_April23__1___13[[#This Row],[Personal care and effects]],All_India_Index_Upto_April23__1___13[[#This Row],[Education]],All_India_Index_Upto_April23__1___13[[#This Row],[Recreation and amusement]])</f>
        <v>122.8</v>
      </c>
    </row>
    <row r="120" spans="1:33" hidden="1" x14ac:dyDescent="0.3">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s="12">
        <f>AVERAGE(All_India_Index_Upto_April23__1___13[[#This Row],[Cereals and products]:[Pan, tobacco and intoxicants]])</f>
        <v>131.98571428571429</v>
      </c>
      <c r="AF120" s="12">
        <f>AVERAGE(All_India_Index_Upto_April23__1___13[[#This Row],[Household goods and services]],All_India_Index_Upto_April23__1___13[[#This Row],[Housing]])</f>
        <v>124.19999999999999</v>
      </c>
      <c r="AG120" s="12">
        <f>AVERAGE(All_India_Index_Upto_April23__1___13[[#This Row],[Miscellaneous]],All_India_Index_Upto_April23__1___13[[#This Row],[Personal care and effects]],All_India_Index_Upto_April23__1___13[[#This Row],[Education]],All_India_Index_Upto_April23__1___13[[#This Row],[Recreation and amusement]])</f>
        <v>120.72499999999999</v>
      </c>
    </row>
    <row r="121" spans="1:33" hidden="1" x14ac:dyDescent="0.3">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s="12">
        <f>AVERAGE(All_India_Index_Upto_April23__1___13[[#This Row],[Cereals and products]:[Pan, tobacco and intoxicants]])</f>
        <v>131.31428571428572</v>
      </c>
      <c r="AF121" s="12">
        <f>AVERAGE(All_India_Index_Upto_April23__1___13[[#This Row],[Household goods and services]],All_India_Index_Upto_April23__1___13[[#This Row],[Housing]])</f>
        <v>125.55</v>
      </c>
      <c r="AG121" s="12">
        <f>AVERAGE(All_India_Index_Upto_April23__1___13[[#This Row],[Miscellaneous]],All_India_Index_Upto_April23__1___13[[#This Row],[Personal care and effects]],All_India_Index_Upto_April23__1___13[[#This Row],[Education]],All_India_Index_Upto_April23__1___13[[#This Row],[Recreation and amusement]])</f>
        <v>121.72499999999999</v>
      </c>
    </row>
    <row r="122" spans="1:33" hidden="1" x14ac:dyDescent="0.3">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s="12">
        <f>'Handle Missing Value Sheet only'!$F$5</f>
        <v>139.27096774193564</v>
      </c>
      <c r="V122">
        <v>127.4</v>
      </c>
      <c r="W122">
        <v>128.5</v>
      </c>
      <c r="X122">
        <v>125.8</v>
      </c>
      <c r="Y122">
        <v>115.1</v>
      </c>
      <c r="Z122">
        <v>123.6</v>
      </c>
      <c r="AA122">
        <v>129.1</v>
      </c>
      <c r="AB122">
        <v>119.7</v>
      </c>
      <c r="AC122">
        <v>122.5</v>
      </c>
      <c r="AD122">
        <v>130.30000000000001</v>
      </c>
      <c r="AE122" s="12">
        <f>AVERAGE(All_India_Index_Upto_April23__1___13[[#This Row],[Cereals and products]:[Pan, tobacco and intoxicants]])</f>
        <v>132.83571428571426</v>
      </c>
      <c r="AF122" s="12">
        <f>AVERAGE(All_India_Index_Upto_April23__1___13[[#This Row],[Household goods and services]],All_India_Index_Upto_April23__1___13[[#This Row],[Housing]])</f>
        <v>133.88548387096782</v>
      </c>
      <c r="AG122" s="12">
        <f>AVERAGE(All_India_Index_Upto_April23__1___13[[#This Row],[Miscellaneous]],All_India_Index_Upto_April23__1___13[[#This Row],[Personal care and effects]],All_India_Index_Upto_April23__1___13[[#This Row],[Education]],All_India_Index_Upto_April23__1___13[[#This Row],[Recreation and amusement]])</f>
        <v>123.72499999999999</v>
      </c>
    </row>
    <row r="123" spans="1:33" hidden="1" x14ac:dyDescent="0.3">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s="12">
        <f>AVERAGE(All_India_Index_Upto_April23__1___13[[#This Row],[Cereals and products]:[Pan, tobacco and intoxicants]])</f>
        <v>134.92857142857142</v>
      </c>
      <c r="AF123" s="12">
        <f>AVERAGE(All_India_Index_Upto_April23__1___13[[#This Row],[Household goods and services]],All_India_Index_Upto_April23__1___13[[#This Row],[Housing]])</f>
        <v>124.6</v>
      </c>
      <c r="AG123" s="12">
        <f>AVERAGE(All_India_Index_Upto_April23__1___13[[#This Row],[Miscellaneous]],All_India_Index_Upto_April23__1___13[[#This Row],[Personal care and effects]],All_India_Index_Upto_April23__1___13[[#This Row],[Education]],All_India_Index_Upto_April23__1___13[[#This Row],[Recreation and amusement]])</f>
        <v>121.25</v>
      </c>
    </row>
    <row r="124" spans="1:33" hidden="1" x14ac:dyDescent="0.3">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s="12">
        <f>AVERAGE(All_India_Index_Upto_April23__1___13[[#This Row],[Cereals and products]:[Pan, tobacco and intoxicants]])</f>
        <v>133.43571428571428</v>
      </c>
      <c r="AF124" s="12">
        <f>AVERAGE(All_India_Index_Upto_April23__1___13[[#This Row],[Household goods and services]],All_India_Index_Upto_April23__1___13[[#This Row],[Housing]])</f>
        <v>126</v>
      </c>
      <c r="AG124" s="12">
        <f>AVERAGE(All_India_Index_Upto_April23__1___13[[#This Row],[Miscellaneous]],All_India_Index_Upto_April23__1___13[[#This Row],[Personal care and effects]],All_India_Index_Upto_April23__1___13[[#This Row],[Education]],All_India_Index_Upto_April23__1___13[[#This Row],[Recreation and amusement]])</f>
        <v>122.47499999999999</v>
      </c>
    </row>
    <row r="125" spans="1:33" hidden="1" x14ac:dyDescent="0.3">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s="12">
        <f>'Handle Missing Value Sheet only'!$F$5</f>
        <v>139.27096774193564</v>
      </c>
      <c r="V125">
        <v>128</v>
      </c>
      <c r="W125">
        <v>129.30000000000001</v>
      </c>
      <c r="X125">
        <v>126.2</v>
      </c>
      <c r="Y125">
        <v>116.3</v>
      </c>
      <c r="Z125">
        <v>124.1</v>
      </c>
      <c r="AA125">
        <v>130.19999999999999</v>
      </c>
      <c r="AB125">
        <v>119.9</v>
      </c>
      <c r="AC125">
        <v>123.3</v>
      </c>
      <c r="AD125">
        <v>131.9</v>
      </c>
      <c r="AE125" s="12">
        <f>AVERAGE(All_India_Index_Upto_April23__1___13[[#This Row],[Cereals and products]:[Pan, tobacco and intoxicants]])</f>
        <v>134.69999999999999</v>
      </c>
      <c r="AF125" s="12">
        <f>AVERAGE(All_India_Index_Upto_April23__1___13[[#This Row],[Household goods and services]],All_India_Index_Upto_April23__1___13[[#This Row],[Housing]])</f>
        <v>134.28548387096782</v>
      </c>
      <c r="AG125" s="12">
        <f>AVERAGE(All_India_Index_Upto_April23__1___13[[#This Row],[Miscellaneous]],All_India_Index_Upto_April23__1___13[[#This Row],[Personal care and effects]],All_India_Index_Upto_April23__1___13[[#This Row],[Education]],All_India_Index_Upto_April23__1___13[[#This Row],[Recreation and amusement]])</f>
        <v>124.375</v>
      </c>
    </row>
    <row r="126" spans="1:33" hidden="1" x14ac:dyDescent="0.3">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s="12">
        <f>AVERAGE(All_India_Index_Upto_April23__1___13[[#This Row],[Cereals and products]:[Pan, tobacco and intoxicants]])</f>
        <v>137.83571428571432</v>
      </c>
      <c r="AF126" s="12">
        <f>AVERAGE(All_India_Index_Upto_April23__1___13[[#This Row],[Household goods and services]],All_India_Index_Upto_April23__1___13[[#This Row],[Housing]])</f>
        <v>124.35</v>
      </c>
      <c r="AG126" s="12">
        <f>AVERAGE(All_India_Index_Upto_April23__1___13[[#This Row],[Miscellaneous]],All_India_Index_Upto_April23__1___13[[#This Row],[Personal care and effects]],All_India_Index_Upto_April23__1___13[[#This Row],[Education]],All_India_Index_Upto_April23__1___13[[#This Row],[Recreation and amusement]])</f>
        <v>121.9</v>
      </c>
    </row>
    <row r="127" spans="1:33" hidden="1" x14ac:dyDescent="0.3">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s="12">
        <f>AVERAGE(All_India_Index_Upto_April23__1___13[[#This Row],[Cereals and products]:[Pan, tobacco and intoxicants]])</f>
        <v>135.66428571428571</v>
      </c>
      <c r="AF127" s="12">
        <f>AVERAGE(All_India_Index_Upto_April23__1___13[[#This Row],[Household goods and services]],All_India_Index_Upto_April23__1___13[[#This Row],[Housing]])</f>
        <v>125.95</v>
      </c>
      <c r="AG127" s="12">
        <f>AVERAGE(All_India_Index_Upto_April23__1___13[[#This Row],[Miscellaneous]],All_India_Index_Upto_April23__1___13[[#This Row],[Personal care and effects]],All_India_Index_Upto_April23__1___13[[#This Row],[Education]],All_India_Index_Upto_April23__1___13[[#This Row],[Recreation and amusement]])</f>
        <v>123.075</v>
      </c>
    </row>
    <row r="128" spans="1:33" hidden="1" x14ac:dyDescent="0.3">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s="12">
        <f>'Handle Missing Value Sheet only'!$F$5</f>
        <v>139.27096774193564</v>
      </c>
      <c r="V128">
        <v>128.19999999999999</v>
      </c>
      <c r="W128">
        <v>130</v>
      </c>
      <c r="X128">
        <v>126.7</v>
      </c>
      <c r="Y128">
        <v>116.4</v>
      </c>
      <c r="Z128">
        <v>125.2</v>
      </c>
      <c r="AA128">
        <v>130.80000000000001</v>
      </c>
      <c r="AB128">
        <v>120.9</v>
      </c>
      <c r="AC128">
        <v>123.8</v>
      </c>
      <c r="AD128">
        <v>133</v>
      </c>
      <c r="AE128" s="12">
        <f>AVERAGE(All_India_Index_Upto_April23__1___13[[#This Row],[Cereals and products]:[Pan, tobacco and intoxicants]])</f>
        <v>136.30714285714285</v>
      </c>
      <c r="AF128" s="12">
        <f>AVERAGE(All_India_Index_Upto_April23__1___13[[#This Row],[Household goods and services]],All_India_Index_Upto_April23__1___13[[#This Row],[Housing]])</f>
        <v>134.63548387096782</v>
      </c>
      <c r="AG128" s="12">
        <f>AVERAGE(All_India_Index_Upto_April23__1___13[[#This Row],[Miscellaneous]],All_India_Index_Upto_April23__1___13[[#This Row],[Personal care and effects]],All_India_Index_Upto_April23__1___13[[#This Row],[Education]],All_India_Index_Upto_April23__1___13[[#This Row],[Recreation and amusement]])</f>
        <v>125.175</v>
      </c>
    </row>
    <row r="129" spans="1:33" hidden="1" x14ac:dyDescent="0.3">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s="12">
        <f>AVERAGE(All_India_Index_Upto_April23__1___13[[#This Row],[Cereals and products]:[Pan, tobacco and intoxicants]])</f>
        <v>139.60000000000002</v>
      </c>
      <c r="AF129" s="12">
        <f>AVERAGE(All_India_Index_Upto_April23__1___13[[#This Row],[Household goods and services]],All_India_Index_Upto_April23__1___13[[#This Row],[Housing]])</f>
        <v>124.95</v>
      </c>
      <c r="AG129" s="12">
        <f>AVERAGE(All_India_Index_Upto_April23__1___13[[#This Row],[Miscellaneous]],All_India_Index_Upto_April23__1___13[[#This Row],[Personal care and effects]],All_India_Index_Upto_April23__1___13[[#This Row],[Education]],All_India_Index_Upto_April23__1___13[[#This Row],[Recreation and amusement]])</f>
        <v>122.75000000000001</v>
      </c>
    </row>
    <row r="130" spans="1:33" hidden="1" x14ac:dyDescent="0.3">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s="12">
        <f>AVERAGE(All_India_Index_Upto_April23__1___13[[#This Row],[Cereals and products]:[Pan, tobacco and intoxicants]])</f>
        <v>137.34285714285713</v>
      </c>
      <c r="AF130" s="12">
        <f>AVERAGE(All_India_Index_Upto_April23__1___13[[#This Row],[Household goods and services]],All_India_Index_Upto_April23__1___13[[#This Row],[Housing]])</f>
        <v>126.65</v>
      </c>
      <c r="AG130" s="12">
        <f>AVERAGE(All_India_Index_Upto_April23__1___13[[#This Row],[Miscellaneous]],All_India_Index_Upto_April23__1___13[[#This Row],[Personal care and effects]],All_India_Index_Upto_April23__1___13[[#This Row],[Education]],All_India_Index_Upto_April23__1___13[[#This Row],[Recreation and amusement]])</f>
        <v>123.9</v>
      </c>
    </row>
    <row r="131" spans="1:33" hidden="1" x14ac:dyDescent="0.3">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s="12">
        <f>'Handle Missing Value Sheet only'!$F$5</f>
        <v>139.27096774193564</v>
      </c>
      <c r="V131">
        <v>129.1</v>
      </c>
      <c r="W131">
        <v>130.6</v>
      </c>
      <c r="X131">
        <v>127</v>
      </c>
      <c r="Y131">
        <v>116</v>
      </c>
      <c r="Z131">
        <v>125.5</v>
      </c>
      <c r="AA131">
        <v>131.9</v>
      </c>
      <c r="AB131">
        <v>122</v>
      </c>
      <c r="AC131">
        <v>124.2</v>
      </c>
      <c r="AD131">
        <v>133.5</v>
      </c>
      <c r="AE131" s="12">
        <f>AVERAGE(All_India_Index_Upto_April23__1___13[[#This Row],[Cereals and products]:[Pan, tobacco and intoxicants]])</f>
        <v>136.88571428571427</v>
      </c>
      <c r="AF131" s="12">
        <f>AVERAGE(All_India_Index_Upto_April23__1___13[[#This Row],[Household goods and services]],All_India_Index_Upto_April23__1___13[[#This Row],[Housing]])</f>
        <v>134.9354838709678</v>
      </c>
      <c r="AG131" s="12">
        <f>AVERAGE(All_India_Index_Upto_April23__1___13[[#This Row],[Miscellaneous]],All_India_Index_Upto_April23__1___13[[#This Row],[Personal care and effects]],All_India_Index_Upto_April23__1___13[[#This Row],[Education]],All_India_Index_Upto_April23__1___13[[#This Row],[Recreation and amusement]])</f>
        <v>125.9</v>
      </c>
    </row>
    <row r="132" spans="1:33" hidden="1" x14ac:dyDescent="0.3">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s="12">
        <f>AVERAGE(All_India_Index_Upto_April23__1___13[[#This Row],[Cereals and products]:[Pan, tobacco and intoxicants]])</f>
        <v>137.68571428571425</v>
      </c>
      <c r="AF132" s="12">
        <f>AVERAGE(All_India_Index_Upto_April23__1___13[[#This Row],[Household goods and services]],All_India_Index_Upto_April23__1___13[[#This Row],[Housing]])</f>
        <v>125.6</v>
      </c>
      <c r="AG132" s="12">
        <f>AVERAGE(All_India_Index_Upto_April23__1___13[[#This Row],[Miscellaneous]],All_India_Index_Upto_April23__1___13[[#This Row],[Personal care and effects]],All_India_Index_Upto_April23__1___13[[#This Row],[Education]],All_India_Index_Upto_April23__1___13[[#This Row],[Recreation and amusement]])</f>
        <v>123.22499999999999</v>
      </c>
    </row>
    <row r="133" spans="1:33" hidden="1" x14ac:dyDescent="0.3">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s="12">
        <f>AVERAGE(All_India_Index_Upto_April23__1___13[[#This Row],[Cereals and products]:[Pan, tobacco and intoxicants]])</f>
        <v>137.00714285714287</v>
      </c>
      <c r="AF133" s="12">
        <f>AVERAGE(All_India_Index_Upto_April23__1___13[[#This Row],[Household goods and services]],All_India_Index_Upto_April23__1___13[[#This Row],[Housing]])</f>
        <v>127.35</v>
      </c>
      <c r="AG133" s="12">
        <f>AVERAGE(All_India_Index_Upto_April23__1___13[[#This Row],[Miscellaneous]],All_India_Index_Upto_April23__1___13[[#This Row],[Personal care and effects]],All_India_Index_Upto_April23__1___13[[#This Row],[Education]],All_India_Index_Upto_April23__1___13[[#This Row],[Recreation and amusement]])</f>
        <v>124.49999999999999</v>
      </c>
    </row>
    <row r="134" spans="1:33" hidden="1" x14ac:dyDescent="0.3">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s="12">
        <f>'Handle Missing Value Sheet only'!$F$5</f>
        <v>139.27096774193564</v>
      </c>
      <c r="V134">
        <v>129.69999999999999</v>
      </c>
      <c r="W134">
        <v>131.1</v>
      </c>
      <c r="X134">
        <v>127.8</v>
      </c>
      <c r="Y134">
        <v>117</v>
      </c>
      <c r="Z134">
        <v>125.7</v>
      </c>
      <c r="AA134">
        <v>132.19999999999999</v>
      </c>
      <c r="AB134">
        <v>122.8</v>
      </c>
      <c r="AC134">
        <v>124.9</v>
      </c>
      <c r="AD134">
        <v>133.4</v>
      </c>
      <c r="AE134" s="12">
        <f>AVERAGE(All_India_Index_Upto_April23__1___13[[#This Row],[Cereals and products]:[Pan, tobacco and intoxicants]])</f>
        <v>136.47142857142859</v>
      </c>
      <c r="AF134" s="12">
        <f>AVERAGE(All_India_Index_Upto_April23__1___13[[#This Row],[Household goods and services]],All_India_Index_Upto_April23__1___13[[#This Row],[Housing]])</f>
        <v>135.1854838709678</v>
      </c>
      <c r="AG134" s="12">
        <f>AVERAGE(All_India_Index_Upto_April23__1___13[[#This Row],[Miscellaneous]],All_India_Index_Upto_April23__1___13[[#This Row],[Personal care and effects]],All_India_Index_Upto_April23__1___13[[#This Row],[Education]],All_India_Index_Upto_April23__1___13[[#This Row],[Recreation and amusement]])</f>
        <v>126.39999999999999</v>
      </c>
    </row>
    <row r="135" spans="1:33" hidden="1" x14ac:dyDescent="0.3">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s="12">
        <f>AVERAGE(All_India_Index_Upto_April23__1___13[[#This Row],[Cereals and products]:[Pan, tobacco and intoxicants]])</f>
        <v>135.73571428571427</v>
      </c>
      <c r="AF135" s="12">
        <f>AVERAGE(All_India_Index_Upto_April23__1___13[[#This Row],[Household goods and services]],All_India_Index_Upto_April23__1___13[[#This Row],[Housing]])</f>
        <v>126.1</v>
      </c>
      <c r="AG135" s="12">
        <f>AVERAGE(All_India_Index_Upto_April23__1___13[[#This Row],[Miscellaneous]],All_India_Index_Upto_April23__1___13[[#This Row],[Personal care and effects]],All_India_Index_Upto_April23__1___13[[#This Row],[Education]],All_India_Index_Upto_April23__1___13[[#This Row],[Recreation and amusement]])</f>
        <v>123.52499999999999</v>
      </c>
    </row>
    <row r="136" spans="1:33" hidden="1" x14ac:dyDescent="0.3">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s="12">
        <f>AVERAGE(All_India_Index_Upto_April23__1___13[[#This Row],[Cereals and products]:[Pan, tobacco and intoxicants]])</f>
        <v>136.04999999999998</v>
      </c>
      <c r="AF136" s="12">
        <f>AVERAGE(All_India_Index_Upto_April23__1___13[[#This Row],[Household goods and services]],All_India_Index_Upto_April23__1___13[[#This Row],[Housing]])</f>
        <v>127.9</v>
      </c>
      <c r="AG136" s="12">
        <f>AVERAGE(All_India_Index_Upto_April23__1___13[[#This Row],[Miscellaneous]],All_India_Index_Upto_April23__1___13[[#This Row],[Personal care and effects]],All_India_Index_Upto_April23__1___13[[#This Row],[Education]],All_India_Index_Upto_April23__1___13[[#This Row],[Recreation and amusement]])</f>
        <v>124.9</v>
      </c>
    </row>
    <row r="137" spans="1:33" hidden="1" x14ac:dyDescent="0.3">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s="12">
        <f>'Handle Missing Value Sheet only'!$F$5</f>
        <v>139.27096774193564</v>
      </c>
      <c r="V137">
        <v>129.80000000000001</v>
      </c>
      <c r="W137">
        <v>131.80000000000001</v>
      </c>
      <c r="X137">
        <v>128.69999999999999</v>
      </c>
      <c r="Y137">
        <v>117.8</v>
      </c>
      <c r="Z137">
        <v>126.5</v>
      </c>
      <c r="AA137">
        <v>133</v>
      </c>
      <c r="AB137">
        <v>123</v>
      </c>
      <c r="AC137">
        <v>125.7</v>
      </c>
      <c r="AD137">
        <v>133.80000000000001</v>
      </c>
      <c r="AE137" s="12">
        <f>AVERAGE(All_India_Index_Upto_April23__1___13[[#This Row],[Cereals and products]:[Pan, tobacco and intoxicants]])</f>
        <v>136.62142857142859</v>
      </c>
      <c r="AF137" s="12">
        <f>AVERAGE(All_India_Index_Upto_April23__1___13[[#This Row],[Household goods and services]],All_India_Index_Upto_April23__1___13[[#This Row],[Housing]])</f>
        <v>135.53548387096782</v>
      </c>
      <c r="AG137" s="12">
        <f>AVERAGE(All_India_Index_Upto_April23__1___13[[#This Row],[Miscellaneous]],All_India_Index_Upto_April23__1___13[[#This Row],[Personal care and effects]],All_India_Index_Upto_April23__1___13[[#This Row],[Education]],All_India_Index_Upto_April23__1___13[[#This Row],[Recreation and amusement]])</f>
        <v>127.05</v>
      </c>
    </row>
    <row r="138" spans="1:33" hidden="1" x14ac:dyDescent="0.3">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s="12">
        <f>AVERAGE(All_India_Index_Upto_April23__1___13[[#This Row],[Cereals and products]:[Pan, tobacco and intoxicants]])</f>
        <v>136.22857142857143</v>
      </c>
      <c r="AF138" s="12">
        <f>AVERAGE(All_India_Index_Upto_April23__1___13[[#This Row],[Household goods and services]],All_India_Index_Upto_April23__1___13[[#This Row],[Housing]])</f>
        <v>126.6</v>
      </c>
      <c r="AG138" s="12">
        <f>AVERAGE(All_India_Index_Upto_April23__1___13[[#This Row],[Miscellaneous]],All_India_Index_Upto_April23__1___13[[#This Row],[Personal care and effects]],All_India_Index_Upto_April23__1___13[[#This Row],[Education]],All_India_Index_Upto_April23__1___13[[#This Row],[Recreation and amusement]])</f>
        <v>123.7</v>
      </c>
    </row>
    <row r="139" spans="1:33" hidden="1" x14ac:dyDescent="0.3">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s="12">
        <f>AVERAGE(All_India_Index_Upto_April23__1___13[[#This Row],[Cereals and products]:[Pan, tobacco and intoxicants]])</f>
        <v>136.32857142857139</v>
      </c>
      <c r="AF139" s="12">
        <f>AVERAGE(All_India_Index_Upto_April23__1___13[[#This Row],[Household goods and services]],All_India_Index_Upto_April23__1___13[[#This Row],[Housing]])</f>
        <v>128.55000000000001</v>
      </c>
      <c r="AG139" s="12">
        <f>AVERAGE(All_India_Index_Upto_April23__1___13[[#This Row],[Miscellaneous]],All_India_Index_Upto_April23__1___13[[#This Row],[Personal care and effects]],All_India_Index_Upto_April23__1___13[[#This Row],[Education]],All_India_Index_Upto_April23__1___13[[#This Row],[Recreation and amusement]])</f>
        <v>125.35</v>
      </c>
    </row>
    <row r="140" spans="1:33" hidden="1"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s="12">
        <f>'Handle Missing Value Sheet only'!$F$5</f>
        <v>139.27096774193564</v>
      </c>
      <c r="V140">
        <v>130.30000000000001</v>
      </c>
      <c r="W140">
        <v>132.1</v>
      </c>
      <c r="X140">
        <v>129.1</v>
      </c>
      <c r="Y140">
        <v>118.2</v>
      </c>
      <c r="Z140">
        <v>126.9</v>
      </c>
      <c r="AA140">
        <v>133.69999999999999</v>
      </c>
      <c r="AB140">
        <v>123.5</v>
      </c>
      <c r="AC140">
        <v>126.1</v>
      </c>
      <c r="AD140">
        <v>133.6</v>
      </c>
      <c r="AE140" s="12">
        <f>AVERAGE(All_India_Index_Upto_April23__1___13[[#This Row],[Cereals and products]:[Pan, tobacco and intoxicants]])</f>
        <v>136.12857142857143</v>
      </c>
      <c r="AF140" s="12">
        <f>AVERAGE(All_India_Index_Upto_April23__1___13[[#This Row],[Household goods and services]],All_India_Index_Upto_April23__1___13[[#This Row],[Housing]])</f>
        <v>135.6854838709678</v>
      </c>
      <c r="AG140" s="12">
        <f>AVERAGE(All_India_Index_Upto_April23__1___13[[#This Row],[Miscellaneous]],All_India_Index_Upto_April23__1___13[[#This Row],[Personal care and effects]],All_India_Index_Upto_April23__1___13[[#This Row],[Education]],All_India_Index_Upto_April23__1___13[[#This Row],[Recreation and amusement]])</f>
        <v>127.54999999999998</v>
      </c>
    </row>
    <row r="141" spans="1:33" hidden="1" x14ac:dyDescent="0.3">
      <c r="A141" t="s">
        <v>32</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s="12">
        <f>AVERAGE(All_India_Index_Upto_April23__1___13[[#This Row],[Cereals and products]:[Pan, tobacco and intoxicants]])</f>
        <v>135.67857142857142</v>
      </c>
      <c r="AF141" s="12">
        <f>AVERAGE(All_India_Index_Upto_April23__1___13[[#This Row],[Household goods and services]],All_India_Index_Upto_April23__1___13[[#This Row],[Housing]])</f>
        <v>126.9</v>
      </c>
      <c r="AG141" s="12">
        <f>AVERAGE(All_India_Index_Upto_April23__1___13[[#This Row],[Miscellaneous]],All_India_Index_Upto_April23__1___13[[#This Row],[Personal care and effects]],All_India_Index_Upto_April23__1___13[[#This Row],[Education]],All_India_Index_Upto_April23__1___13[[#This Row],[Recreation and amusement]])</f>
        <v>124.1</v>
      </c>
    </row>
    <row r="142" spans="1:33" hidden="1" x14ac:dyDescent="0.3">
      <c r="A142" t="s">
        <v>33</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s="12">
        <f>AVERAGE(All_India_Index_Upto_April23__1___13[[#This Row],[Cereals and products]:[Pan, tobacco and intoxicants]])</f>
        <v>135.84285714285713</v>
      </c>
      <c r="AF142" s="12">
        <f>AVERAGE(All_India_Index_Upto_April23__1___13[[#This Row],[Household goods and services]],All_India_Index_Upto_April23__1___13[[#This Row],[Housing]])</f>
        <v>128.85</v>
      </c>
      <c r="AG142" s="12">
        <f>AVERAGE(All_India_Index_Upto_April23__1___13[[#This Row],[Miscellaneous]],All_India_Index_Upto_April23__1___13[[#This Row],[Personal care and effects]],All_India_Index_Upto_April23__1___13[[#This Row],[Education]],All_India_Index_Upto_April23__1___13[[#This Row],[Recreation and amusement]])</f>
        <v>125.8</v>
      </c>
    </row>
    <row r="143" spans="1:33" hidden="1"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s="12">
        <f>'Handle Missing Value Sheet only'!$F$5</f>
        <v>139.27096774193564</v>
      </c>
      <c r="V143">
        <v>132</v>
      </c>
      <c r="W143">
        <v>132.9</v>
      </c>
      <c r="X143">
        <v>129.69999999999999</v>
      </c>
      <c r="Y143">
        <v>118.6</v>
      </c>
      <c r="Z143">
        <v>127.3</v>
      </c>
      <c r="AA143">
        <v>134.19999999999999</v>
      </c>
      <c r="AB143">
        <v>121.9</v>
      </c>
      <c r="AC143">
        <v>126.3</v>
      </c>
      <c r="AD143">
        <v>132.80000000000001</v>
      </c>
      <c r="AE143" s="12">
        <f>AVERAGE(All_India_Index_Upto_April23__1___13[[#This Row],[Cereals and products]:[Pan, tobacco and intoxicants]])</f>
        <v>135.10714285714286</v>
      </c>
      <c r="AF143" s="12">
        <f>AVERAGE(All_India_Index_Upto_April23__1___13[[#This Row],[Household goods and services]],All_India_Index_Upto_April23__1___13[[#This Row],[Housing]])</f>
        <v>136.08548387096783</v>
      </c>
      <c r="AG143" s="12">
        <f>AVERAGE(All_India_Index_Upto_April23__1___13[[#This Row],[Miscellaneous]],All_India_Index_Upto_April23__1___13[[#This Row],[Personal care and effects]],All_India_Index_Upto_April23__1___13[[#This Row],[Education]],All_India_Index_Upto_April23__1___13[[#This Row],[Recreation and amusement]])</f>
        <v>127.425</v>
      </c>
    </row>
    <row r="144" spans="1:33" hidden="1" x14ac:dyDescent="0.3">
      <c r="A144" t="s">
        <v>32</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s="12">
        <f>AVERAGE(All_India_Index_Upto_April23__1___13[[#This Row],[Cereals and products]:[Pan, tobacco and intoxicants]])</f>
        <v>133.91428571428571</v>
      </c>
      <c r="AF144" s="12">
        <f>AVERAGE(All_India_Index_Upto_April23__1___13[[#This Row],[Household goods and services]],All_India_Index_Upto_April23__1___13[[#This Row],[Housing]])</f>
        <v>126.75</v>
      </c>
      <c r="AG144" s="12">
        <f>AVERAGE(All_India_Index_Upto_April23__1___13[[#This Row],[Miscellaneous]],All_India_Index_Upto_April23__1___13[[#This Row],[Personal care and effects]],All_India_Index_Upto_April23__1___13[[#This Row],[Education]],All_India_Index_Upto_April23__1___13[[#This Row],[Recreation and amusement]])</f>
        <v>123.85000000000001</v>
      </c>
    </row>
    <row r="145" spans="1:33" hidden="1" x14ac:dyDescent="0.3">
      <c r="A145" t="s">
        <v>33</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s="12">
        <f>AVERAGE(All_India_Index_Upto_April23__1___13[[#This Row],[Cereals and products]:[Pan, tobacco and intoxicants]])</f>
        <v>134.55714285714285</v>
      </c>
      <c r="AF145" s="12">
        <f>AVERAGE(All_India_Index_Upto_April23__1___13[[#This Row],[Household goods and services]],All_India_Index_Upto_April23__1___13[[#This Row],[Housing]])</f>
        <v>128.85</v>
      </c>
      <c r="AG145" s="12">
        <f>AVERAGE(All_India_Index_Upto_April23__1___13[[#This Row],[Miscellaneous]],All_India_Index_Upto_April23__1___13[[#This Row],[Personal care and effects]],All_India_Index_Upto_April23__1___13[[#This Row],[Education]],All_India_Index_Upto_April23__1___13[[#This Row],[Recreation and amusement]])</f>
        <v>125.575</v>
      </c>
    </row>
    <row r="146" spans="1:33"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s="12">
        <f>'Handle Missing Value Sheet only'!$F$5</f>
        <v>139.27096774193564</v>
      </c>
      <c r="V146">
        <v>132.1</v>
      </c>
      <c r="W146">
        <v>133.19999999999999</v>
      </c>
      <c r="X146">
        <v>129.9</v>
      </c>
      <c r="Y146">
        <v>119.1</v>
      </c>
      <c r="Z146">
        <v>127</v>
      </c>
      <c r="AA146">
        <v>134.6</v>
      </c>
      <c r="AB146">
        <v>122.3</v>
      </c>
      <c r="AC146">
        <v>126.6</v>
      </c>
      <c r="AD146">
        <v>132.4</v>
      </c>
      <c r="AE146" s="12">
        <f>AVERAGE(All_India_Index_Upto_April23__1___13[[#This Row],[Cereals and products]:[Pan, tobacco and intoxicants]])</f>
        <v>134.31428571428572</v>
      </c>
      <c r="AF146" s="12">
        <f>AVERAGE(All_India_Index_Upto_April23__1___13[[#This Row],[Household goods and services]],All_India_Index_Upto_April23__1___13[[#This Row],[Housing]])</f>
        <v>136.23548387096781</v>
      </c>
      <c r="AG146" s="12">
        <f>AVERAGE(All_India_Index_Upto_April23__1___13[[#This Row],[Miscellaneous]],All_India_Index_Upto_April23__1___13[[#This Row],[Personal care and effects]],All_India_Index_Upto_April23__1___13[[#This Row],[Education]],All_India_Index_Upto_April23__1___13[[#This Row],[Recreation and amusement]])</f>
        <v>127.625</v>
      </c>
    </row>
    <row r="147" spans="1:33" hidden="1" x14ac:dyDescent="0.3">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s="12">
        <f>AVERAGE(All_India_Index_Upto_April23__1___13[[#This Row],[Cereals and products]:[Pan, tobacco and intoxicants]])</f>
        <v>132.77142857142857</v>
      </c>
      <c r="AF147" s="12">
        <f>AVERAGE(All_India_Index_Upto_April23__1___13[[#This Row],[Household goods and services]],All_India_Index_Upto_April23__1___13[[#This Row],[Housing]])</f>
        <v>127.35</v>
      </c>
      <c r="AG147" s="12">
        <f>AVERAGE(All_India_Index_Upto_April23__1___13[[#This Row],[Miscellaneous]],All_India_Index_Upto_April23__1___13[[#This Row],[Personal care and effects]],All_India_Index_Upto_April23__1___13[[#This Row],[Education]],All_India_Index_Upto_April23__1___13[[#This Row],[Recreation and amusement]])</f>
        <v>124.35</v>
      </c>
    </row>
    <row r="148" spans="1:33" hidden="1" x14ac:dyDescent="0.3">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s="12">
        <f>AVERAGE(All_India_Index_Upto_April23__1___13[[#This Row],[Cereals and products]:[Pan, tobacco and intoxicants]])</f>
        <v>133.64999999999995</v>
      </c>
      <c r="AF148" s="12">
        <f>AVERAGE(All_India_Index_Upto_April23__1___13[[#This Row],[Household goods and services]],All_India_Index_Upto_April23__1___13[[#This Row],[Housing]])</f>
        <v>129.5</v>
      </c>
      <c r="AG148" s="12">
        <f>AVERAGE(All_India_Index_Upto_April23__1___13[[#This Row],[Miscellaneous]],All_India_Index_Upto_April23__1___13[[#This Row],[Personal care and effects]],All_India_Index_Upto_April23__1___13[[#This Row],[Education]],All_India_Index_Upto_April23__1___13[[#This Row],[Recreation and amusement]])</f>
        <v>125.9</v>
      </c>
    </row>
    <row r="149" spans="1:33" hidden="1" x14ac:dyDescent="0.3">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s="12">
        <f>'Handle Missing Value Sheet only'!$F$5</f>
        <v>139.27096774193564</v>
      </c>
      <c r="V149">
        <v>133.19999999999999</v>
      </c>
      <c r="W149">
        <v>133.6</v>
      </c>
      <c r="X149">
        <v>130.1</v>
      </c>
      <c r="Y149">
        <v>119.5</v>
      </c>
      <c r="Z149">
        <v>127.7</v>
      </c>
      <c r="AA149">
        <v>134.9</v>
      </c>
      <c r="AB149">
        <v>123.2</v>
      </c>
      <c r="AC149">
        <v>127</v>
      </c>
      <c r="AD149">
        <v>132.6</v>
      </c>
      <c r="AE149" s="12">
        <f>AVERAGE(All_India_Index_Upto_April23__1___13[[#This Row],[Cereals and products]:[Pan, tobacco and intoxicants]])</f>
        <v>134.15714285714287</v>
      </c>
      <c r="AF149" s="12">
        <f>AVERAGE(All_India_Index_Upto_April23__1___13[[#This Row],[Household goods and services]],All_India_Index_Upto_April23__1___13[[#This Row],[Housing]])</f>
        <v>136.4354838709678</v>
      </c>
      <c r="AG149" s="12">
        <f>AVERAGE(All_India_Index_Upto_April23__1___13[[#This Row],[Miscellaneous]],All_India_Index_Upto_April23__1___13[[#This Row],[Personal care and effects]],All_India_Index_Upto_April23__1___13[[#This Row],[Education]],All_India_Index_Upto_April23__1___13[[#This Row],[Recreation and amusement]])</f>
        <v>128.20000000000002</v>
      </c>
    </row>
    <row r="150" spans="1:33" hidden="1" x14ac:dyDescent="0.3">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s="12">
        <f>AVERAGE(All_India_Index_Upto_April23__1___13[[#This Row],[Cereals and products]:[Pan, tobacco and intoxicants]])</f>
        <v>132.25714285714287</v>
      </c>
      <c r="AF150" s="12">
        <f>AVERAGE(All_India_Index_Upto_April23__1___13[[#This Row],[Household goods and services]],All_India_Index_Upto_April23__1___13[[#This Row],[Housing]])</f>
        <v>127.9</v>
      </c>
      <c r="AG150" s="12">
        <f>AVERAGE(All_India_Index_Upto_April23__1___13[[#This Row],[Miscellaneous]],All_India_Index_Upto_April23__1___13[[#This Row],[Personal care and effects]],All_India_Index_Upto_April23__1___13[[#This Row],[Education]],All_India_Index_Upto_April23__1___13[[#This Row],[Recreation and amusement]])</f>
        <v>124.675</v>
      </c>
    </row>
    <row r="151" spans="1:33" hidden="1" x14ac:dyDescent="0.3">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s="12">
        <f>AVERAGE(All_India_Index_Upto_April23__1___13[[#This Row],[Cereals and products]:[Pan, tobacco and intoxicants]])</f>
        <v>133.33571428571432</v>
      </c>
      <c r="AF151" s="12">
        <f>AVERAGE(All_India_Index_Upto_April23__1___13[[#This Row],[Household goods and services]],All_India_Index_Upto_April23__1___13[[#This Row],[Housing]])</f>
        <v>130.1</v>
      </c>
      <c r="AG151" s="12">
        <f>AVERAGE(All_India_Index_Upto_April23__1___13[[#This Row],[Miscellaneous]],All_India_Index_Upto_April23__1___13[[#This Row],[Personal care and effects]],All_India_Index_Upto_April23__1___13[[#This Row],[Education]],All_India_Index_Upto_April23__1___13[[#This Row],[Recreation and amusement]])</f>
        <v>126.35</v>
      </c>
    </row>
    <row r="152" spans="1:33" hidden="1" x14ac:dyDescent="0.3">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s="12">
        <f>'Handle Missing Value Sheet only'!$F$5</f>
        <v>139.27096774193564</v>
      </c>
      <c r="V152">
        <v>134.19999999999999</v>
      </c>
      <c r="W152">
        <v>134.1</v>
      </c>
      <c r="X152">
        <v>130.6</v>
      </c>
      <c r="Y152">
        <v>119.8</v>
      </c>
      <c r="Z152">
        <v>128.30000000000001</v>
      </c>
      <c r="AA152">
        <v>135.19999999999999</v>
      </c>
      <c r="AB152">
        <v>123.3</v>
      </c>
      <c r="AC152">
        <v>127.4</v>
      </c>
      <c r="AD152">
        <v>132.80000000000001</v>
      </c>
      <c r="AE152" s="12">
        <f>AVERAGE(All_India_Index_Upto_April23__1___13[[#This Row],[Cereals and products]:[Pan, tobacco and intoxicants]])</f>
        <v>133.76428571428573</v>
      </c>
      <c r="AF152" s="12">
        <f>AVERAGE(All_India_Index_Upto_April23__1___13[[#This Row],[Household goods and services]],All_India_Index_Upto_April23__1___13[[#This Row],[Housing]])</f>
        <v>136.6854838709678</v>
      </c>
      <c r="AG152" s="12">
        <f>AVERAGE(All_India_Index_Upto_April23__1___13[[#This Row],[Miscellaneous]],All_India_Index_Upto_April23__1___13[[#This Row],[Personal care and effects]],All_India_Index_Upto_April23__1___13[[#This Row],[Education]],All_India_Index_Upto_April23__1___13[[#This Row],[Recreation and amusement]])</f>
        <v>128.55000000000001</v>
      </c>
    </row>
    <row r="153" spans="1:33" hidden="1" x14ac:dyDescent="0.3">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s="12">
        <f>AVERAGE(All_India_Index_Upto_April23__1___13[[#This Row],[Cereals and products]:[Pan, tobacco and intoxicants]])</f>
        <v>132.37142857142857</v>
      </c>
      <c r="AF153" s="12">
        <f>AVERAGE(All_India_Index_Upto_April23__1___13[[#This Row],[Household goods and services]],All_India_Index_Upto_April23__1___13[[#This Row],[Housing]])</f>
        <v>128.35</v>
      </c>
      <c r="AG153" s="12">
        <f>AVERAGE(All_India_Index_Upto_April23__1___13[[#This Row],[Miscellaneous]],All_India_Index_Upto_April23__1___13[[#This Row],[Personal care and effects]],All_India_Index_Upto_April23__1___13[[#This Row],[Education]],All_India_Index_Upto_April23__1___13[[#This Row],[Recreation and amusement]])</f>
        <v>124.875</v>
      </c>
    </row>
    <row r="154" spans="1:33" hidden="1" x14ac:dyDescent="0.3">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s="12">
        <f>AVERAGE(All_India_Index_Upto_April23__1___13[[#This Row],[Cereals and products]:[Pan, tobacco and intoxicants]])</f>
        <v>133.14285714285714</v>
      </c>
      <c r="AF154" s="12">
        <f>AVERAGE(All_India_Index_Upto_April23__1___13[[#This Row],[Household goods and services]],All_India_Index_Upto_April23__1___13[[#This Row],[Housing]])</f>
        <v>130.6</v>
      </c>
      <c r="AG154" s="12">
        <f>AVERAGE(All_India_Index_Upto_April23__1___13[[#This Row],[Miscellaneous]],All_India_Index_Upto_April23__1___13[[#This Row],[Personal care and effects]],All_India_Index_Upto_April23__1___13[[#This Row],[Education]],All_India_Index_Upto_April23__1___13[[#This Row],[Recreation and amusement]])</f>
        <v>126.625</v>
      </c>
    </row>
    <row r="155" spans="1:33" hidden="1" x14ac:dyDescent="0.3">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s="12">
        <f>'Handle Missing Value Sheet only'!$F$5</f>
        <v>139.27096774193564</v>
      </c>
      <c r="V155">
        <v>135</v>
      </c>
      <c r="W155">
        <v>134.30000000000001</v>
      </c>
      <c r="X155">
        <v>131</v>
      </c>
      <c r="Y155">
        <v>119.2</v>
      </c>
      <c r="Z155">
        <v>128.30000000000001</v>
      </c>
      <c r="AA155">
        <v>135.69999999999999</v>
      </c>
      <c r="AB155">
        <v>123.7</v>
      </c>
      <c r="AC155">
        <v>127.5</v>
      </c>
      <c r="AD155">
        <v>132.9</v>
      </c>
      <c r="AE155" s="12">
        <f>AVERAGE(All_India_Index_Upto_April23__1___13[[#This Row],[Cereals and products]:[Pan, tobacco and intoxicants]])</f>
        <v>133.62142857142857</v>
      </c>
      <c r="AF155" s="12">
        <f>AVERAGE(All_India_Index_Upto_April23__1___13[[#This Row],[Household goods and services]],All_India_Index_Upto_April23__1___13[[#This Row],[Housing]])</f>
        <v>136.78548387096782</v>
      </c>
      <c r="AG155" s="12">
        <f>AVERAGE(All_India_Index_Upto_April23__1___13[[#This Row],[Miscellaneous]],All_India_Index_Upto_April23__1___13[[#This Row],[Personal care and effects]],All_India_Index_Upto_April23__1___13[[#This Row],[Education]],All_India_Index_Upto_April23__1___13[[#This Row],[Recreation and amusement]])</f>
        <v>128.80000000000001</v>
      </c>
    </row>
    <row r="156" spans="1:33" hidden="1" x14ac:dyDescent="0.3">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s="12">
        <f>AVERAGE(All_India_Index_Upto_April23__1___13[[#This Row],[Cereals and products]:[Pan, tobacco and intoxicants]])</f>
        <v>132.57857142857142</v>
      </c>
      <c r="AF156" s="12">
        <f>AVERAGE(All_India_Index_Upto_April23__1___13[[#This Row],[Household goods and services]],All_India_Index_Upto_April23__1___13[[#This Row],[Housing]])</f>
        <v>128.85</v>
      </c>
      <c r="AG156" s="12">
        <f>AVERAGE(All_India_Index_Upto_April23__1___13[[#This Row],[Miscellaneous]],All_India_Index_Upto_April23__1___13[[#This Row],[Personal care and effects]],All_India_Index_Upto_April23__1___13[[#This Row],[Education]],All_India_Index_Upto_April23__1___13[[#This Row],[Recreation and amusement]])</f>
        <v>125.22499999999999</v>
      </c>
    </row>
    <row r="157" spans="1:33" hidden="1" x14ac:dyDescent="0.3">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s="12">
        <f>AVERAGE(All_India_Index_Upto_April23__1___13[[#This Row],[Cereals and products]:[Pan, tobacco and intoxicants]])</f>
        <v>133.12857142857143</v>
      </c>
      <c r="AF157" s="12">
        <f>AVERAGE(All_India_Index_Upto_April23__1___13[[#This Row],[Household goods and services]],All_India_Index_Upto_April23__1___13[[#This Row],[Housing]])</f>
        <v>131.05000000000001</v>
      </c>
      <c r="AG157" s="12">
        <f>AVERAGE(All_India_Index_Upto_April23__1___13[[#This Row],[Miscellaneous]],All_India_Index_Upto_April23__1___13[[#This Row],[Personal care and effects]],All_India_Index_Upto_April23__1___13[[#This Row],[Education]],All_India_Index_Upto_April23__1___13[[#This Row],[Recreation and amusement]])</f>
        <v>126.94999999999999</v>
      </c>
    </row>
    <row r="158" spans="1:33" hidden="1" x14ac:dyDescent="0.3">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s="12">
        <f>'Handle Missing Value Sheet only'!$F$5</f>
        <v>139.27096774193564</v>
      </c>
      <c r="V158">
        <v>135</v>
      </c>
      <c r="W158">
        <v>134.9</v>
      </c>
      <c r="X158">
        <v>131.4</v>
      </c>
      <c r="Y158">
        <v>119.4</v>
      </c>
      <c r="Z158">
        <v>129.4</v>
      </c>
      <c r="AA158">
        <v>136.30000000000001</v>
      </c>
      <c r="AB158">
        <v>123.7</v>
      </c>
      <c r="AC158">
        <v>127.9</v>
      </c>
      <c r="AD158">
        <v>133.30000000000001</v>
      </c>
      <c r="AE158" s="12">
        <f>AVERAGE(All_India_Index_Upto_April23__1___13[[#This Row],[Cereals and products]:[Pan, tobacco and intoxicants]])</f>
        <v>133.78571428571425</v>
      </c>
      <c r="AF158" s="12">
        <f>AVERAGE(All_India_Index_Upto_April23__1___13[[#This Row],[Household goods and services]],All_India_Index_Upto_April23__1___13[[#This Row],[Housing]])</f>
        <v>137.08548387096783</v>
      </c>
      <c r="AG158" s="12">
        <f>AVERAGE(All_India_Index_Upto_April23__1___13[[#This Row],[Miscellaneous]],All_India_Index_Upto_April23__1___13[[#This Row],[Personal care and effects]],All_India_Index_Upto_April23__1___13[[#This Row],[Education]],All_India_Index_Upto_April23__1___13[[#This Row],[Recreation and amusement]])</f>
        <v>129.32500000000002</v>
      </c>
    </row>
    <row r="159" spans="1:33" hidden="1" x14ac:dyDescent="0.3">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s="12">
        <f>AVERAGE(All_India_Index_Upto_April23__1___13[[#This Row],[Cereals and products]:[Pan, tobacco and intoxicants]])</f>
        <v>132.70714285714286</v>
      </c>
      <c r="AF159" s="12">
        <f>AVERAGE(All_India_Index_Upto_April23__1___13[[#This Row],[Household goods and services]],All_India_Index_Upto_April23__1___13[[#This Row],[Housing]])</f>
        <v>129.30000000000001</v>
      </c>
      <c r="AG159" s="12">
        <f>AVERAGE(All_India_Index_Upto_April23__1___13[[#This Row],[Miscellaneous]],All_India_Index_Upto_April23__1___13[[#This Row],[Personal care and effects]],All_India_Index_Upto_April23__1___13[[#This Row],[Education]],All_India_Index_Upto_April23__1___13[[#This Row],[Recreation and amusement]])</f>
        <v>125.3</v>
      </c>
    </row>
    <row r="160" spans="1:33" hidden="1" x14ac:dyDescent="0.3">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s="12">
        <f>AVERAGE(All_India_Index_Upto_April23__1___13[[#This Row],[Cereals and products]:[Pan, tobacco and intoxicants]])</f>
        <v>133.27142857142857</v>
      </c>
      <c r="AF160" s="12">
        <f>AVERAGE(All_India_Index_Upto_April23__1___13[[#This Row],[Household goods and services]],All_India_Index_Upto_April23__1___13[[#This Row],[Housing]])</f>
        <v>131.5</v>
      </c>
      <c r="AG160" s="12">
        <f>AVERAGE(All_India_Index_Upto_April23__1___13[[#This Row],[Miscellaneous]],All_India_Index_Upto_April23__1___13[[#This Row],[Personal care and effects]],All_India_Index_Upto_April23__1___13[[#This Row],[Education]],All_India_Index_Upto_April23__1___13[[#This Row],[Recreation and amusement]])</f>
        <v>127.2</v>
      </c>
    </row>
    <row r="161" spans="1:33" hidden="1" x14ac:dyDescent="0.3">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s="12">
        <f>'Handle Missing Value Sheet only'!$F$5</f>
        <v>139.27096774193564</v>
      </c>
      <c r="V161">
        <v>134.80000000000001</v>
      </c>
      <c r="W161">
        <v>135.19999999999999</v>
      </c>
      <c r="X161">
        <v>131.30000000000001</v>
      </c>
      <c r="Y161">
        <v>119.4</v>
      </c>
      <c r="Z161">
        <v>129.80000000000001</v>
      </c>
      <c r="AA161">
        <v>136.9</v>
      </c>
      <c r="AB161">
        <v>124.1</v>
      </c>
      <c r="AC161">
        <v>128.1</v>
      </c>
      <c r="AD161">
        <v>133.9</v>
      </c>
      <c r="AE161" s="12">
        <f>AVERAGE(All_India_Index_Upto_April23__1___13[[#This Row],[Cereals and products]:[Pan, tobacco and intoxicants]])</f>
        <v>134.61428571428573</v>
      </c>
      <c r="AF161" s="12">
        <f>AVERAGE(All_India_Index_Upto_April23__1___13[[#This Row],[Household goods and services]],All_India_Index_Upto_April23__1___13[[#This Row],[Housing]])</f>
        <v>137.23548387096781</v>
      </c>
      <c r="AG161" s="12">
        <f>AVERAGE(All_India_Index_Upto_April23__1___13[[#This Row],[Miscellaneous]],All_India_Index_Upto_April23__1___13[[#This Row],[Personal care and effects]],All_India_Index_Upto_April23__1___13[[#This Row],[Education]],All_India_Index_Upto_April23__1___13[[#This Row],[Recreation and amusement]])</f>
        <v>129.72500000000002</v>
      </c>
    </row>
    <row r="162" spans="1:33" hidden="1" x14ac:dyDescent="0.3">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s="12">
        <f>AVERAGE(All_India_Index_Upto_April23__1___13[[#This Row],[Cereals and products]:[Pan, tobacco and intoxicants]])</f>
        <v>134.25714285714287</v>
      </c>
      <c r="AF162" s="12">
        <f>AVERAGE(All_India_Index_Upto_April23__1___13[[#This Row],[Household goods and services]],All_India_Index_Upto_April23__1___13[[#This Row],[Housing]])</f>
        <v>129.1</v>
      </c>
      <c r="AG162" s="12">
        <f>AVERAGE(All_India_Index_Upto_April23__1___13[[#This Row],[Miscellaneous]],All_India_Index_Upto_April23__1___13[[#This Row],[Personal care and effects]],All_India_Index_Upto_April23__1___13[[#This Row],[Education]],All_India_Index_Upto_April23__1___13[[#This Row],[Recreation and amusement]])</f>
        <v>125.6</v>
      </c>
    </row>
    <row r="163" spans="1:33" hidden="1" x14ac:dyDescent="0.3">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s="12">
        <f>AVERAGE(All_India_Index_Upto_April23__1___13[[#This Row],[Cereals and products]:[Pan, tobacco and intoxicants]])</f>
        <v>134.37142857142857</v>
      </c>
      <c r="AF163" s="12">
        <f>AVERAGE(All_India_Index_Upto_April23__1___13[[#This Row],[Household goods and services]],All_India_Index_Upto_April23__1___13[[#This Row],[Housing]])</f>
        <v>131.30000000000001</v>
      </c>
      <c r="AG163" s="12">
        <f>AVERAGE(All_India_Index_Upto_April23__1___13[[#This Row],[Miscellaneous]],All_India_Index_Upto_April23__1___13[[#This Row],[Personal care and effects]],All_India_Index_Upto_April23__1___13[[#This Row],[Education]],All_India_Index_Upto_April23__1___13[[#This Row],[Recreation and amusement]])</f>
        <v>127.55000000000001</v>
      </c>
    </row>
    <row r="164" spans="1:33" hidden="1" x14ac:dyDescent="0.3">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s="12">
        <f>'Handle Missing Value Sheet only'!$F$5</f>
        <v>139.27096774193564</v>
      </c>
      <c r="V164">
        <v>135.30000000000001</v>
      </c>
      <c r="W164">
        <v>136.1</v>
      </c>
      <c r="X164">
        <v>132.1</v>
      </c>
      <c r="Y164">
        <v>119.1</v>
      </c>
      <c r="Z164">
        <v>130.6</v>
      </c>
      <c r="AA164">
        <v>138.6</v>
      </c>
      <c r="AB164">
        <v>124.4</v>
      </c>
      <c r="AC164">
        <v>128.6</v>
      </c>
      <c r="AD164">
        <v>136.19999999999999</v>
      </c>
      <c r="AE164" s="12">
        <f>AVERAGE(All_India_Index_Upto_April23__1___13[[#This Row],[Cereals and products]:[Pan, tobacco and intoxicants]])</f>
        <v>137.16428571428574</v>
      </c>
      <c r="AF164" s="12">
        <f>AVERAGE(All_India_Index_Upto_April23__1___13[[#This Row],[Household goods and services]],All_India_Index_Upto_April23__1___13[[#This Row],[Housing]])</f>
        <v>137.6854838709678</v>
      </c>
      <c r="AG164" s="12">
        <f>AVERAGE(All_India_Index_Upto_April23__1___13[[#This Row],[Miscellaneous]],All_India_Index_Upto_April23__1___13[[#This Row],[Personal care and effects]],All_India_Index_Upto_April23__1___13[[#This Row],[Education]],All_India_Index_Upto_April23__1___13[[#This Row],[Recreation and amusement]])</f>
        <v>130.55000000000001</v>
      </c>
    </row>
    <row r="165" spans="1:33" hidden="1" x14ac:dyDescent="0.3">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s="12">
        <f>AVERAGE(All_India_Index_Upto_April23__1___13[[#This Row],[Cereals and products]:[Pan, tobacco and intoxicants]])</f>
        <v>137.04285714285714</v>
      </c>
      <c r="AF165" s="12">
        <f>AVERAGE(All_India_Index_Upto_April23__1___13[[#This Row],[Household goods and services]],All_India_Index_Upto_April23__1___13[[#This Row],[Housing]])</f>
        <v>129.9</v>
      </c>
      <c r="AG165" s="12">
        <f>AVERAGE(All_India_Index_Upto_April23__1___13[[#This Row],[Miscellaneous]],All_India_Index_Upto_April23__1___13[[#This Row],[Personal care and effects]],All_India_Index_Upto_April23__1___13[[#This Row],[Education]],All_India_Index_Upto_April23__1___13[[#This Row],[Recreation and amusement]])</f>
        <v>126.1</v>
      </c>
    </row>
    <row r="166" spans="1:33" hidden="1" x14ac:dyDescent="0.3">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s="12">
        <f>AVERAGE(All_India_Index_Upto_April23__1___13[[#This Row],[Cereals and products]:[Pan, tobacco and intoxicants]])</f>
        <v>136.97142857142856</v>
      </c>
      <c r="AF166" s="12">
        <f>AVERAGE(All_India_Index_Upto_April23__1___13[[#This Row],[Household goods and services]],All_India_Index_Upto_April23__1___13[[#This Row],[Housing]])</f>
        <v>132.25</v>
      </c>
      <c r="AG166" s="12">
        <f>AVERAGE(All_India_Index_Upto_April23__1___13[[#This Row],[Miscellaneous]],All_India_Index_Upto_April23__1___13[[#This Row],[Personal care and effects]],All_India_Index_Upto_April23__1___13[[#This Row],[Education]],All_India_Index_Upto_April23__1___13[[#This Row],[Recreation and amusement]])</f>
        <v>128.22499999999999</v>
      </c>
    </row>
    <row r="167" spans="1:33" hidden="1" x14ac:dyDescent="0.3">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s="12">
        <f>'Handle Missing Value Sheet only'!$F$5</f>
        <v>139.27096774193564</v>
      </c>
      <c r="V167">
        <v>136.4</v>
      </c>
      <c r="W167">
        <v>137.30000000000001</v>
      </c>
      <c r="X167">
        <v>133</v>
      </c>
      <c r="Y167">
        <v>120.3</v>
      </c>
      <c r="Z167">
        <v>131.5</v>
      </c>
      <c r="AA167">
        <v>140.19999999999999</v>
      </c>
      <c r="AB167">
        <v>125.4</v>
      </c>
      <c r="AC167">
        <v>129.69999999999999</v>
      </c>
      <c r="AD167">
        <v>137.80000000000001</v>
      </c>
      <c r="AE167" s="12">
        <f>AVERAGE(All_India_Index_Upto_April23__1___13[[#This Row],[Cereals and products]:[Pan, tobacco and intoxicants]])</f>
        <v>138.67857142857142</v>
      </c>
      <c r="AF167" s="12">
        <f>AVERAGE(All_India_Index_Upto_April23__1___13[[#This Row],[Household goods and services]],All_India_Index_Upto_April23__1___13[[#This Row],[Housing]])</f>
        <v>138.28548387096782</v>
      </c>
      <c r="AG167" s="12">
        <f>AVERAGE(All_India_Index_Upto_April23__1___13[[#This Row],[Miscellaneous]],All_India_Index_Upto_April23__1___13[[#This Row],[Personal care and effects]],All_India_Index_Upto_April23__1___13[[#This Row],[Education]],All_India_Index_Upto_April23__1___13[[#This Row],[Recreation and amusement]])</f>
        <v>131.69999999999999</v>
      </c>
    </row>
    <row r="168" spans="1:33" hidden="1" x14ac:dyDescent="0.3">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s="12">
        <f>AVERAGE(All_India_Index_Upto_April23__1___13[[#This Row],[Cereals and products]:[Pan, tobacco and intoxicants]])</f>
        <v>137.50714285714284</v>
      </c>
      <c r="AF168" s="12">
        <f>AVERAGE(All_India_Index_Upto_April23__1___13[[#This Row],[Household goods and services]],All_India_Index_Upto_April23__1___13[[#This Row],[Housing]])</f>
        <v>131.05000000000001</v>
      </c>
      <c r="AG168" s="12">
        <f>AVERAGE(All_India_Index_Upto_April23__1___13[[#This Row],[Miscellaneous]],All_India_Index_Upto_April23__1___13[[#This Row],[Personal care and effects]],All_India_Index_Upto_April23__1___13[[#This Row],[Education]],All_India_Index_Upto_April23__1___13[[#This Row],[Recreation and amusement]])</f>
        <v>126.72499999999999</v>
      </c>
    </row>
    <row r="169" spans="1:33" hidden="1" x14ac:dyDescent="0.3">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s="12">
        <f>AVERAGE(All_India_Index_Upto_April23__1___13[[#This Row],[Cereals and products]:[Pan, tobacco and intoxicants]])</f>
        <v>138.1142857142857</v>
      </c>
      <c r="AF169" s="12">
        <f>AVERAGE(All_India_Index_Upto_April23__1___13[[#This Row],[Household goods and services]],All_India_Index_Upto_April23__1___13[[#This Row],[Housing]])</f>
        <v>133.60000000000002</v>
      </c>
      <c r="AG169" s="12">
        <f>AVERAGE(All_India_Index_Upto_April23__1___13[[#This Row],[Miscellaneous]],All_India_Index_Upto_April23__1___13[[#This Row],[Personal care and effects]],All_India_Index_Upto_April23__1___13[[#This Row],[Education]],All_India_Index_Upto_April23__1___13[[#This Row],[Recreation and amusement]])</f>
        <v>129.04999999999998</v>
      </c>
    </row>
    <row r="170" spans="1:33" hidden="1" x14ac:dyDescent="0.3">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s="12">
        <f>'Handle Missing Value Sheet only'!$F$5</f>
        <v>139.27096774193564</v>
      </c>
      <c r="V170">
        <v>137.4</v>
      </c>
      <c r="W170">
        <v>137.9</v>
      </c>
      <c r="X170">
        <v>133.4</v>
      </c>
      <c r="Y170">
        <v>121.2</v>
      </c>
      <c r="Z170">
        <v>132.30000000000001</v>
      </c>
      <c r="AA170">
        <v>139.6</v>
      </c>
      <c r="AB170">
        <v>126.7</v>
      </c>
      <c r="AC170">
        <v>130.30000000000001</v>
      </c>
      <c r="AD170">
        <v>137.6</v>
      </c>
      <c r="AE170" s="12">
        <f>AVERAGE(All_India_Index_Upto_April23__1___13[[#This Row],[Cereals and products]:[Pan, tobacco and intoxicants]])</f>
        <v>138.15</v>
      </c>
      <c r="AF170" s="12">
        <f>AVERAGE(All_India_Index_Upto_April23__1___13[[#This Row],[Household goods and services]],All_India_Index_Upto_April23__1___13[[#This Row],[Housing]])</f>
        <v>138.58548387096783</v>
      </c>
      <c r="AG170" s="12">
        <f>AVERAGE(All_India_Index_Upto_April23__1___13[[#This Row],[Miscellaneous]],All_India_Index_Upto_April23__1___13[[#This Row],[Personal care and effects]],All_India_Index_Upto_April23__1___13[[#This Row],[Education]],All_India_Index_Upto_April23__1___13[[#This Row],[Recreation and amusement]])</f>
        <v>132.22500000000002</v>
      </c>
    </row>
    <row r="171" spans="1:33" hidden="1" x14ac:dyDescent="0.3">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s="12">
        <f>AVERAGE(All_India_Index_Upto_April23__1___13[[#This Row],[Cereals and products]:[Pan, tobacco and intoxicants]])</f>
        <v>135.94999999999999</v>
      </c>
      <c r="AF171" s="12">
        <f>AVERAGE(All_India_Index_Upto_April23__1___13[[#This Row],[Household goods and services]],All_India_Index_Upto_April23__1___13[[#This Row],[Housing]])</f>
        <v>131.89999999999998</v>
      </c>
      <c r="AG171" s="12">
        <f>AVERAGE(All_India_Index_Upto_April23__1___13[[#This Row],[Miscellaneous]],All_India_Index_Upto_April23__1___13[[#This Row],[Personal care and effects]],All_India_Index_Upto_April23__1___13[[#This Row],[Education]],All_India_Index_Upto_April23__1___13[[#This Row],[Recreation and amusement]])</f>
        <v>127.325</v>
      </c>
    </row>
    <row r="172" spans="1:33" hidden="1" x14ac:dyDescent="0.3">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s="12">
        <f>AVERAGE(All_India_Index_Upto_April23__1___13[[#This Row],[Cereals and products]:[Pan, tobacco and intoxicants]])</f>
        <v>137.19999999999999</v>
      </c>
      <c r="AF172" s="12">
        <f>AVERAGE(All_India_Index_Upto_April23__1___13[[#This Row],[Household goods and services]],All_India_Index_Upto_April23__1___13[[#This Row],[Housing]])</f>
        <v>134.5</v>
      </c>
      <c r="AG172" s="12">
        <f>AVERAGE(All_India_Index_Upto_April23__1___13[[#This Row],[Miscellaneous]],All_India_Index_Upto_April23__1___13[[#This Row],[Personal care and effects]],All_India_Index_Upto_April23__1___13[[#This Row],[Education]],All_India_Index_Upto_April23__1___13[[#This Row],[Recreation and amusement]])</f>
        <v>129.625</v>
      </c>
    </row>
    <row r="173" spans="1:33" hidden="1" x14ac:dyDescent="0.3">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s="12">
        <f>'Handle Missing Value Sheet only'!$F$5</f>
        <v>139.27096774193564</v>
      </c>
      <c r="V173">
        <v>138.1</v>
      </c>
      <c r="W173">
        <v>138.4</v>
      </c>
      <c r="X173">
        <v>134.19999999999999</v>
      </c>
      <c r="Y173">
        <v>121</v>
      </c>
      <c r="Z173">
        <v>133</v>
      </c>
      <c r="AA173">
        <v>140.1</v>
      </c>
      <c r="AB173">
        <v>127.4</v>
      </c>
      <c r="AC173">
        <v>130.69999999999999</v>
      </c>
      <c r="AD173">
        <v>138.30000000000001</v>
      </c>
      <c r="AE173" s="12">
        <f>AVERAGE(All_India_Index_Upto_April23__1___13[[#This Row],[Cereals and products]:[Pan, tobacco and intoxicants]])</f>
        <v>138.67142857142855</v>
      </c>
      <c r="AF173" s="12">
        <f>AVERAGE(All_India_Index_Upto_April23__1___13[[#This Row],[Household goods and services]],All_India_Index_Upto_April23__1___13[[#This Row],[Housing]])</f>
        <v>138.83548387096783</v>
      </c>
      <c r="AG173" s="12">
        <f>AVERAGE(All_India_Index_Upto_April23__1___13[[#This Row],[Miscellaneous]],All_India_Index_Upto_April23__1___13[[#This Row],[Personal care and effects]],All_India_Index_Upto_April23__1___13[[#This Row],[Education]],All_India_Index_Upto_April23__1___13[[#This Row],[Recreation and amusement]])</f>
        <v>132.80000000000001</v>
      </c>
    </row>
    <row r="174" spans="1:33" hidden="1" x14ac:dyDescent="0.3">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s="12">
        <f>AVERAGE(All_India_Index_Upto_April23__1___13[[#This Row],[Cereals and products]:[Pan, tobacco and intoxicants]])</f>
        <v>137.16428571428568</v>
      </c>
      <c r="AF174" s="12">
        <f>AVERAGE(All_India_Index_Upto_April23__1___13[[#This Row],[Household goods and services]],All_India_Index_Upto_April23__1___13[[#This Row],[Housing]])</f>
        <v>132.80000000000001</v>
      </c>
      <c r="AG174" s="12">
        <f>AVERAGE(All_India_Index_Upto_April23__1___13[[#This Row],[Miscellaneous]],All_India_Index_Upto_April23__1___13[[#This Row],[Personal care and effects]],All_India_Index_Upto_April23__1___13[[#This Row],[Education]],All_India_Index_Upto_April23__1___13[[#This Row],[Recreation and amusement]])</f>
        <v>127.55</v>
      </c>
    </row>
    <row r="175" spans="1:33" hidden="1" x14ac:dyDescent="0.3">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s="12">
        <f>AVERAGE(All_India_Index_Upto_April23__1___13[[#This Row],[Cereals and products]:[Pan, tobacco and intoxicants]])</f>
        <v>137.94999999999999</v>
      </c>
      <c r="AF175" s="12">
        <f>AVERAGE(All_India_Index_Upto_April23__1___13[[#This Row],[Household goods and services]],All_India_Index_Upto_April23__1___13[[#This Row],[Housing]])</f>
        <v>135.44999999999999</v>
      </c>
      <c r="AG175" s="12">
        <f>AVERAGE(All_India_Index_Upto_April23__1___13[[#This Row],[Miscellaneous]],All_India_Index_Upto_April23__1___13[[#This Row],[Personal care and effects]],All_India_Index_Upto_April23__1___13[[#This Row],[Education]],All_India_Index_Upto_April23__1___13[[#This Row],[Recreation and amusement]])</f>
        <v>130.05000000000001</v>
      </c>
    </row>
    <row r="176" spans="1:33" hidden="1"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s="12">
        <f>'Handle Missing Value Sheet only'!$F$5</f>
        <v>139.27096774193564</v>
      </c>
      <c r="V176">
        <v>141.1</v>
      </c>
      <c r="W176">
        <v>139.4</v>
      </c>
      <c r="X176">
        <v>135.80000000000001</v>
      </c>
      <c r="Y176">
        <v>121.6</v>
      </c>
      <c r="Z176">
        <v>133.69999999999999</v>
      </c>
      <c r="AA176">
        <v>141.5</v>
      </c>
      <c r="AB176">
        <v>128.1</v>
      </c>
      <c r="AC176">
        <v>131.69999999999999</v>
      </c>
      <c r="AD176">
        <v>140</v>
      </c>
      <c r="AE176" s="12">
        <f>AVERAGE(All_India_Index_Upto_April23__1___13[[#This Row],[Cereals and products]:[Pan, tobacco and intoxicants]])</f>
        <v>140.70000000000002</v>
      </c>
      <c r="AF176" s="12">
        <f>AVERAGE(All_India_Index_Upto_April23__1___13[[#This Row],[Household goods and services]],All_India_Index_Upto_April23__1___13[[#This Row],[Housing]])</f>
        <v>139.33548387096783</v>
      </c>
      <c r="AG176" s="12">
        <f>AVERAGE(All_India_Index_Upto_April23__1___13[[#This Row],[Miscellaneous]],All_India_Index_Upto_April23__1___13[[#This Row],[Personal care and effects]],All_India_Index_Upto_April23__1___13[[#This Row],[Education]],All_India_Index_Upto_April23__1___13[[#This Row],[Recreation and amusement]])</f>
        <v>133.75</v>
      </c>
    </row>
    <row r="177" spans="1:33" hidden="1" x14ac:dyDescent="0.3">
      <c r="A177" t="s">
        <v>32</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s="12">
        <f>AVERAGE(All_India_Index_Upto_April23__1___13[[#This Row],[Cereals and products]:[Pan, tobacco and intoxicants]])</f>
        <v>139.49285714285716</v>
      </c>
      <c r="AF177" s="12">
        <f>AVERAGE(All_India_Index_Upto_April23__1___13[[#This Row],[Household goods and services]],All_India_Index_Upto_April23__1___13[[#This Row],[Housing]])</f>
        <v>133.69999999999999</v>
      </c>
      <c r="AG177" s="12">
        <f>AVERAGE(All_India_Index_Upto_April23__1___13[[#This Row],[Miscellaneous]],All_India_Index_Upto_April23__1___13[[#This Row],[Personal care and effects]],All_India_Index_Upto_April23__1___13[[#This Row],[Education]],All_India_Index_Upto_April23__1___13[[#This Row],[Recreation and amusement]])</f>
        <v>127.875</v>
      </c>
    </row>
    <row r="178" spans="1:33" hidden="1" x14ac:dyDescent="0.3">
      <c r="A178" t="s">
        <v>33</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s="12">
        <f>AVERAGE(All_India_Index_Upto_April23__1___13[[#This Row],[Cereals and products]:[Pan, tobacco and intoxicants]])</f>
        <v>140.1</v>
      </c>
      <c r="AF178" s="12">
        <f>AVERAGE(All_India_Index_Upto_April23__1___13[[#This Row],[Household goods and services]],All_India_Index_Upto_April23__1___13[[#This Row],[Housing]])</f>
        <v>136.5</v>
      </c>
      <c r="AG178" s="12">
        <f>AVERAGE(All_India_Index_Upto_April23__1___13[[#This Row],[Miscellaneous]],All_India_Index_Upto_April23__1___13[[#This Row],[Personal care and effects]],All_India_Index_Upto_April23__1___13[[#This Row],[Education]],All_India_Index_Upto_April23__1___13[[#This Row],[Recreation and amusement]])</f>
        <v>130.67499999999998</v>
      </c>
    </row>
    <row r="179" spans="1:33" hidden="1"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s="12">
        <f>'Handle Missing Value Sheet only'!$F$5</f>
        <v>139.27096774193564</v>
      </c>
      <c r="V179">
        <v>142.6</v>
      </c>
      <c r="W179">
        <v>139.5</v>
      </c>
      <c r="X179">
        <v>136.1</v>
      </c>
      <c r="Y179">
        <v>122</v>
      </c>
      <c r="Z179">
        <v>133.4</v>
      </c>
      <c r="AA179">
        <v>141.1</v>
      </c>
      <c r="AB179">
        <v>127.8</v>
      </c>
      <c r="AC179">
        <v>131.9</v>
      </c>
      <c r="AD179">
        <v>139.80000000000001</v>
      </c>
      <c r="AE179" s="12">
        <f>AVERAGE(All_India_Index_Upto_April23__1___13[[#This Row],[Cereals and products]:[Pan, tobacco and intoxicants]])</f>
        <v>140.48571428571429</v>
      </c>
      <c r="AF179" s="12">
        <f>AVERAGE(All_India_Index_Upto_April23__1___13[[#This Row],[Household goods and services]],All_India_Index_Upto_April23__1___13[[#This Row],[Housing]])</f>
        <v>139.38548387096782</v>
      </c>
      <c r="AG179" s="12">
        <f>AVERAGE(All_India_Index_Upto_April23__1___13[[#This Row],[Miscellaneous]],All_India_Index_Upto_April23__1___13[[#This Row],[Personal care and effects]],All_India_Index_Upto_April23__1___13[[#This Row],[Education]],All_India_Index_Upto_April23__1___13[[#This Row],[Recreation and amusement]])</f>
        <v>133.54999999999998</v>
      </c>
    </row>
    <row r="180" spans="1:33" hidden="1" x14ac:dyDescent="0.3">
      <c r="A180" t="s">
        <v>32</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s="12">
        <f>AVERAGE(All_India_Index_Upto_April23__1___13[[#This Row],[Cereals and products]:[Pan, tobacco and intoxicants]])</f>
        <v>137.46428571428572</v>
      </c>
      <c r="AF180" s="12">
        <f>AVERAGE(All_India_Index_Upto_April23__1___13[[#This Row],[Household goods and services]],All_India_Index_Upto_April23__1___13[[#This Row],[Housing]])</f>
        <v>134.19999999999999</v>
      </c>
      <c r="AG180" s="12">
        <f>AVERAGE(All_India_Index_Upto_April23__1___13[[#This Row],[Miscellaneous]],All_India_Index_Upto_April23__1___13[[#This Row],[Personal care and effects]],All_India_Index_Upto_April23__1___13[[#This Row],[Education]],All_India_Index_Upto_April23__1___13[[#This Row],[Recreation and amusement]])</f>
        <v>128</v>
      </c>
    </row>
    <row r="181" spans="1:33" hidden="1" x14ac:dyDescent="0.3">
      <c r="A181" t="s">
        <v>33</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s="12">
        <f>AVERAGE(All_India_Index_Upto_April23__1___13[[#This Row],[Cereals and products]:[Pan, tobacco and intoxicants]])</f>
        <v>139.22857142857143</v>
      </c>
      <c r="AF181" s="12">
        <f>AVERAGE(All_India_Index_Upto_April23__1___13[[#This Row],[Household goods and services]],All_India_Index_Upto_April23__1___13[[#This Row],[Housing]])</f>
        <v>136.89999999999998</v>
      </c>
      <c r="AG181" s="12">
        <f>AVERAGE(All_India_Index_Upto_April23__1___13[[#This Row],[Miscellaneous]],All_India_Index_Upto_April23__1___13[[#This Row],[Personal care and effects]],All_India_Index_Upto_April23__1___13[[#This Row],[Education]],All_India_Index_Upto_April23__1___13[[#This Row],[Recreation and amusement]])</f>
        <v>130.65</v>
      </c>
    </row>
    <row r="182" spans="1:33"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s="12">
        <f>'Handle Missing Value Sheet only'!$F$5</f>
        <v>139.27096774193564</v>
      </c>
      <c r="V182">
        <v>142.30000000000001</v>
      </c>
      <c r="W182">
        <v>139.80000000000001</v>
      </c>
      <c r="X182">
        <v>136</v>
      </c>
      <c r="Y182">
        <v>122.7</v>
      </c>
      <c r="Z182">
        <v>134.30000000000001</v>
      </c>
      <c r="AA182">
        <v>141.6</v>
      </c>
      <c r="AB182">
        <v>128.6</v>
      </c>
      <c r="AC182">
        <v>132.30000000000001</v>
      </c>
      <c r="AD182">
        <v>139.30000000000001</v>
      </c>
      <c r="AE182" s="12">
        <f>AVERAGE(All_India_Index_Upto_April23__1___13[[#This Row],[Cereals and products]:[Pan, tobacco and intoxicants]])</f>
        <v>139.59285714285713</v>
      </c>
      <c r="AF182" s="12">
        <f>AVERAGE(All_India_Index_Upto_April23__1___13[[#This Row],[Household goods and services]],All_India_Index_Upto_April23__1___13[[#This Row],[Housing]])</f>
        <v>139.53548387096782</v>
      </c>
      <c r="AG182" s="12">
        <f>AVERAGE(All_India_Index_Upto_April23__1___13[[#This Row],[Miscellaneous]],All_India_Index_Upto_April23__1___13[[#This Row],[Personal care and effects]],All_India_Index_Upto_April23__1___13[[#This Row],[Education]],All_India_Index_Upto_April23__1___13[[#This Row],[Recreation and amusement]])</f>
        <v>134.19999999999999</v>
      </c>
    </row>
    <row r="183" spans="1:33" hidden="1" x14ac:dyDescent="0.3">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s="12">
        <f>AVERAGE(All_India_Index_Upto_April23__1___13[[#This Row],[Cereals and products]:[Pan, tobacco and intoxicants]])</f>
        <v>136.14285714285717</v>
      </c>
      <c r="AF183" s="12">
        <f>AVERAGE(All_India_Index_Upto_April23__1___13[[#This Row],[Household goods and services]],All_India_Index_Upto_April23__1___13[[#This Row],[Housing]])</f>
        <v>134.94999999999999</v>
      </c>
      <c r="AG183" s="12">
        <f>AVERAGE(All_India_Index_Upto_April23__1___13[[#This Row],[Miscellaneous]],All_India_Index_Upto_April23__1___13[[#This Row],[Personal care and effects]],All_India_Index_Upto_April23__1___13[[#This Row],[Education]],All_India_Index_Upto_April23__1___13[[#This Row],[Recreation and amusement]])</f>
        <v>128.65</v>
      </c>
    </row>
    <row r="184" spans="1:33" hidden="1" x14ac:dyDescent="0.3">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s="12">
        <f>AVERAGE(All_India_Index_Upto_April23__1___13[[#This Row],[Cereals and products]:[Pan, tobacco and intoxicants]])</f>
        <v>138.18571428571428</v>
      </c>
      <c r="AF184" s="12">
        <f>AVERAGE(All_India_Index_Upto_April23__1___13[[#This Row],[Household goods and services]],All_India_Index_Upto_April23__1___13[[#This Row],[Housing]])</f>
        <v>137.65</v>
      </c>
      <c r="AG184" s="12">
        <f>AVERAGE(All_India_Index_Upto_April23__1___13[[#This Row],[Miscellaneous]],All_India_Index_Upto_April23__1___13[[#This Row],[Personal care and effects]],All_India_Index_Upto_April23__1___13[[#This Row],[Education]],All_India_Index_Upto_April23__1___13[[#This Row],[Recreation and amusement]])</f>
        <v>131.27499999999998</v>
      </c>
    </row>
    <row r="185" spans="1:33" hidden="1" x14ac:dyDescent="0.3">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s="12">
        <f>'Handle Missing Value Sheet only'!$F$5</f>
        <v>139.27096774193564</v>
      </c>
      <c r="V185">
        <v>142.4</v>
      </c>
      <c r="W185">
        <v>139.9</v>
      </c>
      <c r="X185">
        <v>136.19999999999999</v>
      </c>
      <c r="Y185">
        <v>123.3</v>
      </c>
      <c r="Z185">
        <v>134.30000000000001</v>
      </c>
      <c r="AA185">
        <v>141.5</v>
      </c>
      <c r="AB185">
        <v>128.80000000000001</v>
      </c>
      <c r="AC185">
        <v>132.5</v>
      </c>
      <c r="AD185">
        <v>138.5</v>
      </c>
      <c r="AE185" s="12">
        <f>AVERAGE(All_India_Index_Upto_April23__1___13[[#This Row],[Cereals and products]:[Pan, tobacco and intoxicants]])</f>
        <v>138.19999999999999</v>
      </c>
      <c r="AF185" s="12">
        <f>AVERAGE(All_India_Index_Upto_April23__1___13[[#This Row],[Household goods and services]],All_India_Index_Upto_April23__1___13[[#This Row],[Housing]])</f>
        <v>139.58548387096783</v>
      </c>
      <c r="AG185" s="12">
        <f>AVERAGE(All_India_Index_Upto_April23__1___13[[#This Row],[Miscellaneous]],All_India_Index_Upto_April23__1___13[[#This Row],[Personal care and effects]],All_India_Index_Upto_April23__1___13[[#This Row],[Education]],All_India_Index_Upto_April23__1___13[[#This Row],[Recreation and amusement]])</f>
        <v>134.27500000000001</v>
      </c>
    </row>
    <row r="186" spans="1:33" hidden="1" x14ac:dyDescent="0.3">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s="12">
        <f>AVERAGE(All_India_Index_Upto_April23__1___13[[#This Row],[Cereals and products]:[Pan, tobacco and intoxicants]])</f>
        <v>134.80000000000001</v>
      </c>
      <c r="AF186" s="12">
        <f>AVERAGE(All_India_Index_Upto_April23__1___13[[#This Row],[Household goods and services]],All_India_Index_Upto_April23__1___13[[#This Row],[Housing]])</f>
        <v>135.60000000000002</v>
      </c>
      <c r="AG186" s="12">
        <f>AVERAGE(All_India_Index_Upto_April23__1___13[[#This Row],[Miscellaneous]],All_India_Index_Upto_April23__1___13[[#This Row],[Personal care and effects]],All_India_Index_Upto_April23__1___13[[#This Row],[Education]],All_India_Index_Upto_April23__1___13[[#This Row],[Recreation and amusement]])</f>
        <v>129.1</v>
      </c>
    </row>
    <row r="187" spans="1:33" hidden="1" x14ac:dyDescent="0.3">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s="12">
        <f>AVERAGE(All_India_Index_Upto_April23__1___13[[#This Row],[Cereals and products]:[Pan, tobacco and intoxicants]])</f>
        <v>136.80714285714285</v>
      </c>
      <c r="AF187" s="12">
        <f>AVERAGE(All_India_Index_Upto_April23__1___13[[#This Row],[Household goods and services]],All_India_Index_Upto_April23__1___13[[#This Row],[Housing]])</f>
        <v>138.25</v>
      </c>
      <c r="AG187" s="12">
        <f>AVERAGE(All_India_Index_Upto_April23__1___13[[#This Row],[Miscellaneous]],All_India_Index_Upto_April23__1___13[[#This Row],[Personal care and effects]],All_India_Index_Upto_April23__1___13[[#This Row],[Education]],All_India_Index_Upto_April23__1___13[[#This Row],[Recreation and amusement]])</f>
        <v>131.55000000000001</v>
      </c>
    </row>
    <row r="188" spans="1:33" hidden="1" x14ac:dyDescent="0.3">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s="12">
        <f>'Handle Missing Value Sheet only'!$F$5</f>
        <v>139.27096774193564</v>
      </c>
      <c r="V188">
        <v>142.6</v>
      </c>
      <c r="W188">
        <v>139.9</v>
      </c>
      <c r="X188">
        <v>136.69999999999999</v>
      </c>
      <c r="Y188">
        <v>124.6</v>
      </c>
      <c r="Z188">
        <v>135.1</v>
      </c>
      <c r="AA188">
        <v>142.69999999999999</v>
      </c>
      <c r="AB188">
        <v>129.30000000000001</v>
      </c>
      <c r="AC188">
        <v>133.30000000000001</v>
      </c>
      <c r="AD188">
        <v>138.69999999999999</v>
      </c>
      <c r="AE188" s="12">
        <f>AVERAGE(All_India_Index_Upto_April23__1___13[[#This Row],[Cereals and products]:[Pan, tobacco and intoxicants]])</f>
        <v>138.3642857142857</v>
      </c>
      <c r="AF188" s="12">
        <f>AVERAGE(All_India_Index_Upto_April23__1___13[[#This Row],[Household goods and services]],All_India_Index_Upto_April23__1___13[[#This Row],[Housing]])</f>
        <v>139.58548387096783</v>
      </c>
      <c r="AG188" s="12">
        <f>AVERAGE(All_India_Index_Upto_April23__1___13[[#This Row],[Miscellaneous]],All_India_Index_Upto_April23__1___13[[#This Row],[Personal care and effects]],All_India_Index_Upto_April23__1___13[[#This Row],[Education]],All_India_Index_Upto_April23__1___13[[#This Row],[Recreation and amusement]])</f>
        <v>135.1</v>
      </c>
    </row>
    <row r="189" spans="1:33" hidden="1" x14ac:dyDescent="0.3">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s="12">
        <f>AVERAGE(All_India_Index_Upto_April23__1___13[[#This Row],[Cereals and products]:[Pan, tobacco and intoxicants]])</f>
        <v>133.94285714285715</v>
      </c>
      <c r="AF189" s="12">
        <f>AVERAGE(All_India_Index_Upto_April23__1___13[[#This Row],[Household goods and services]],All_India_Index_Upto_April23__1___13[[#This Row],[Housing]])</f>
        <v>136.4</v>
      </c>
      <c r="AG189" s="12">
        <f>AVERAGE(All_India_Index_Upto_April23__1___13[[#This Row],[Miscellaneous]],All_India_Index_Upto_April23__1___13[[#This Row],[Personal care and effects]],All_India_Index_Upto_April23__1___13[[#This Row],[Education]],All_India_Index_Upto_April23__1___13[[#This Row],[Recreation and amusement]])</f>
        <v>129.6</v>
      </c>
    </row>
    <row r="190" spans="1:33" hidden="1" x14ac:dyDescent="0.3">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s="12">
        <f>AVERAGE(All_India_Index_Upto_April23__1___13[[#This Row],[Cereals and products]:[Pan, tobacco and intoxicants]])</f>
        <v>136.59285714285713</v>
      </c>
      <c r="AF190" s="12">
        <f>AVERAGE(All_India_Index_Upto_April23__1___13[[#This Row],[Household goods and services]],All_India_Index_Upto_April23__1___13[[#This Row],[Housing]])</f>
        <v>138.80000000000001</v>
      </c>
      <c r="AG190" s="12">
        <f>AVERAGE(All_India_Index_Upto_April23__1___13[[#This Row],[Miscellaneous]],All_India_Index_Upto_April23__1___13[[#This Row],[Personal care and effects]],All_India_Index_Upto_April23__1___13[[#This Row],[Education]],All_India_Index_Upto_April23__1___13[[#This Row],[Recreation and amusement]])</f>
        <v>132.17500000000001</v>
      </c>
    </row>
    <row r="191" spans="1:33" hidden="1" x14ac:dyDescent="0.3">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s="12">
        <f>'Handle Missing Value Sheet only'!$F$5</f>
        <v>139.27096774193564</v>
      </c>
      <c r="V191">
        <v>143.80000000000001</v>
      </c>
      <c r="W191">
        <v>140.9</v>
      </c>
      <c r="X191">
        <v>137.6</v>
      </c>
      <c r="Y191">
        <v>125.3</v>
      </c>
      <c r="Z191">
        <v>136</v>
      </c>
      <c r="AA191">
        <v>143.69999999999999</v>
      </c>
      <c r="AB191">
        <v>130.4</v>
      </c>
      <c r="AC191">
        <v>134.19999999999999</v>
      </c>
      <c r="AD191">
        <v>139.1</v>
      </c>
      <c r="AE191" s="12">
        <f>AVERAGE(All_India_Index_Upto_April23__1___13[[#This Row],[Cereals and products]:[Pan, tobacco and intoxicants]])</f>
        <v>138.29285714285714</v>
      </c>
      <c r="AF191" s="12">
        <f>AVERAGE(All_India_Index_Upto_April23__1___13[[#This Row],[Household goods and services]],All_India_Index_Upto_April23__1___13[[#This Row],[Housing]])</f>
        <v>140.08548387096783</v>
      </c>
      <c r="AG191" s="12">
        <f>AVERAGE(All_India_Index_Upto_April23__1___13[[#This Row],[Miscellaneous]],All_India_Index_Upto_April23__1___13[[#This Row],[Personal care and effects]],All_India_Index_Upto_April23__1___13[[#This Row],[Education]],All_India_Index_Upto_April23__1___13[[#This Row],[Recreation and amusement]])</f>
        <v>136.07499999999999</v>
      </c>
    </row>
    <row r="192" spans="1:33" hidden="1" x14ac:dyDescent="0.3">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s="12">
        <f>AVERAGE(All_India_Index_Upto_April23__1___13[[#This Row],[Cereals and products]:[Pan, tobacco and intoxicants]])</f>
        <v>134.22857142857146</v>
      </c>
      <c r="AF192" s="12">
        <f>AVERAGE(All_India_Index_Upto_April23__1___13[[#This Row],[Household goods and services]],All_India_Index_Upto_April23__1___13[[#This Row],[Housing]])</f>
        <v>137.35000000000002</v>
      </c>
      <c r="AG192" s="12">
        <f>AVERAGE(All_India_Index_Upto_April23__1___13[[#This Row],[Miscellaneous]],All_India_Index_Upto_April23__1___13[[#This Row],[Personal care and effects]],All_India_Index_Upto_April23__1___13[[#This Row],[Education]],All_India_Index_Upto_April23__1___13[[#This Row],[Recreation and amusement]])</f>
        <v>130.77500000000001</v>
      </c>
    </row>
    <row r="193" spans="1:33" hidden="1" x14ac:dyDescent="0.3">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s="12">
        <f>AVERAGE(All_India_Index_Upto_April23__1___13[[#This Row],[Cereals and products]:[Pan, tobacco and intoxicants]])</f>
        <v>136.71428571428572</v>
      </c>
      <c r="AF193" s="12">
        <f>AVERAGE(All_India_Index_Upto_April23__1___13[[#This Row],[Household goods and services]],All_India_Index_Upto_April23__1___13[[#This Row],[Housing]])</f>
        <v>139.75</v>
      </c>
      <c r="AG193" s="12">
        <f>AVERAGE(All_India_Index_Upto_April23__1___13[[#This Row],[Miscellaneous]],All_India_Index_Upto_April23__1___13[[#This Row],[Personal care and effects]],All_India_Index_Upto_April23__1___13[[#This Row],[Education]],All_India_Index_Upto_April23__1___13[[#This Row],[Recreation and amusement]])</f>
        <v>133.30000000000001</v>
      </c>
    </row>
    <row r="194" spans="1:33" hidden="1" x14ac:dyDescent="0.3">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s="12">
        <f>'Handle Missing Value Sheet only'!$F$5</f>
        <v>139.27096774193564</v>
      </c>
      <c r="V194">
        <v>144.30000000000001</v>
      </c>
      <c r="W194">
        <v>141.80000000000001</v>
      </c>
      <c r="X194">
        <v>138.4</v>
      </c>
      <c r="Y194">
        <v>126.4</v>
      </c>
      <c r="Z194">
        <v>136.80000000000001</v>
      </c>
      <c r="AA194">
        <v>144.4</v>
      </c>
      <c r="AB194">
        <v>131.19999999999999</v>
      </c>
      <c r="AC194">
        <v>135.1</v>
      </c>
      <c r="AD194">
        <v>139.80000000000001</v>
      </c>
      <c r="AE194" s="12">
        <f>AVERAGE(All_India_Index_Upto_April23__1___13[[#This Row],[Cereals and products]:[Pan, tobacco and intoxicants]])</f>
        <v>138.52857142857144</v>
      </c>
      <c r="AF194" s="12">
        <f>AVERAGE(All_India_Index_Upto_April23__1___13[[#This Row],[Household goods and services]],All_India_Index_Upto_April23__1___13[[#This Row],[Housing]])</f>
        <v>140.53548387096782</v>
      </c>
      <c r="AG194" s="12">
        <f>AVERAGE(All_India_Index_Upto_April23__1___13[[#This Row],[Miscellaneous]],All_India_Index_Upto_April23__1___13[[#This Row],[Personal care and effects]],All_India_Index_Upto_April23__1___13[[#This Row],[Education]],All_India_Index_Upto_April23__1___13[[#This Row],[Recreation and amusement]])</f>
        <v>136.875</v>
      </c>
    </row>
    <row r="195" spans="1:33" hidden="1" x14ac:dyDescent="0.3">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s="12">
        <f>AVERAGE(All_India_Index_Upto_April23__1___13[[#This Row],[Cereals and products]:[Pan, tobacco and intoxicants]])</f>
        <v>134.51428571428571</v>
      </c>
      <c r="AF195" s="12">
        <f>AVERAGE(All_India_Index_Upto_April23__1___13[[#This Row],[Household goods and services]],All_India_Index_Upto_April23__1___13[[#This Row],[Housing]])</f>
        <v>137.85</v>
      </c>
      <c r="AG195" s="12">
        <f>AVERAGE(All_India_Index_Upto_April23__1___13[[#This Row],[Miscellaneous]],All_India_Index_Upto_April23__1___13[[#This Row],[Personal care and effects]],All_India_Index_Upto_April23__1___13[[#This Row],[Education]],All_India_Index_Upto_April23__1___13[[#This Row],[Recreation and amusement]])</f>
        <v>131.35</v>
      </c>
    </row>
    <row r="196" spans="1:33" hidden="1" x14ac:dyDescent="0.3">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s="12">
        <f>AVERAGE(All_India_Index_Upto_April23__1___13[[#This Row],[Cereals and products]:[Pan, tobacco and intoxicants]])</f>
        <v>136.97857142857143</v>
      </c>
      <c r="AF196" s="12">
        <f>AVERAGE(All_India_Index_Upto_April23__1___13[[#This Row],[Household goods and services]],All_India_Index_Upto_April23__1___13[[#This Row],[Housing]])</f>
        <v>140.30000000000001</v>
      </c>
      <c r="AG196" s="12">
        <f>AVERAGE(All_India_Index_Upto_April23__1___13[[#This Row],[Miscellaneous]],All_India_Index_Upto_April23__1___13[[#This Row],[Personal care and effects]],All_India_Index_Upto_April23__1___13[[#This Row],[Education]],All_India_Index_Upto_April23__1___13[[#This Row],[Recreation and amusement]])</f>
        <v>133.97500000000002</v>
      </c>
    </row>
    <row r="197" spans="1:33" hidden="1" x14ac:dyDescent="0.3">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s="12">
        <f>'Handle Missing Value Sheet only'!$F$5</f>
        <v>139.27096774193564</v>
      </c>
      <c r="V197">
        <v>145.1</v>
      </c>
      <c r="W197">
        <v>142.19999999999999</v>
      </c>
      <c r="X197">
        <v>138.4</v>
      </c>
      <c r="Y197">
        <v>127.4</v>
      </c>
      <c r="Z197">
        <v>137.80000000000001</v>
      </c>
      <c r="AA197">
        <v>145.1</v>
      </c>
      <c r="AB197">
        <v>131.4</v>
      </c>
      <c r="AC197">
        <v>135.6</v>
      </c>
      <c r="AD197">
        <v>140.5</v>
      </c>
      <c r="AE197" s="12">
        <f>AVERAGE(All_India_Index_Upto_April23__1___13[[#This Row],[Cereals and products]:[Pan, tobacco and intoxicants]])</f>
        <v>139.1142857142857</v>
      </c>
      <c r="AF197" s="12">
        <f>AVERAGE(All_India_Index_Upto_April23__1___13[[#This Row],[Household goods and services]],All_India_Index_Upto_April23__1___13[[#This Row],[Housing]])</f>
        <v>140.73548387096781</v>
      </c>
      <c r="AG197" s="12">
        <f>AVERAGE(All_India_Index_Upto_April23__1___13[[#This Row],[Miscellaneous]],All_India_Index_Upto_April23__1___13[[#This Row],[Personal care and effects]],All_India_Index_Upto_April23__1___13[[#This Row],[Education]],All_India_Index_Upto_April23__1___13[[#This Row],[Recreation and amusement]])</f>
        <v>137.47500000000002</v>
      </c>
    </row>
    <row r="198" spans="1:33" hidden="1" x14ac:dyDescent="0.3">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s="12">
        <f>AVERAGE(All_India_Index_Upto_April23__1___13[[#This Row],[Cereals and products]:[Pan, tobacco and intoxicants]])</f>
        <v>136.30714285714288</v>
      </c>
      <c r="AF198" s="12">
        <f>AVERAGE(All_India_Index_Upto_April23__1___13[[#This Row],[Household goods and services]],All_India_Index_Upto_April23__1___13[[#This Row],[Housing]])</f>
        <v>137.80000000000001</v>
      </c>
      <c r="AG198" s="12">
        <f>AVERAGE(All_India_Index_Upto_April23__1___13[[#This Row],[Miscellaneous]],All_India_Index_Upto_April23__1___13[[#This Row],[Personal care and effects]],All_India_Index_Upto_April23__1___13[[#This Row],[Education]],All_India_Index_Upto_April23__1___13[[#This Row],[Recreation and amusement]])</f>
        <v>131.85</v>
      </c>
    </row>
    <row r="199" spans="1:33" hidden="1" x14ac:dyDescent="0.3">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s="12">
        <f>AVERAGE(All_India_Index_Upto_April23__1___13[[#This Row],[Cereals and products]:[Pan, tobacco and intoxicants]])</f>
        <v>138.02857142857144</v>
      </c>
      <c r="AF199" s="12">
        <f>AVERAGE(All_India_Index_Upto_April23__1___13[[#This Row],[Household goods and services]],All_India_Index_Upto_April23__1___13[[#This Row],[Housing]])</f>
        <v>140.19999999999999</v>
      </c>
      <c r="AG199" s="12">
        <f>AVERAGE(All_India_Index_Upto_April23__1___13[[#This Row],[Miscellaneous]],All_India_Index_Upto_April23__1___13[[#This Row],[Personal care and effects]],All_India_Index_Upto_April23__1___13[[#This Row],[Education]],All_India_Index_Upto_April23__1___13[[#This Row],[Recreation and amusement]])</f>
        <v>134.52500000000001</v>
      </c>
    </row>
    <row r="200" spans="1:33" hidden="1" x14ac:dyDescent="0.3">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s="12">
        <f>'Handle Missing Value Sheet only'!$F$5</f>
        <v>139.27096774193564</v>
      </c>
      <c r="V200">
        <v>146.80000000000001</v>
      </c>
      <c r="W200">
        <v>143.1</v>
      </c>
      <c r="X200">
        <v>139</v>
      </c>
      <c r="Y200">
        <v>127.5</v>
      </c>
      <c r="Z200">
        <v>138.4</v>
      </c>
      <c r="AA200">
        <v>145.80000000000001</v>
      </c>
      <c r="AB200">
        <v>131.4</v>
      </c>
      <c r="AC200">
        <v>136</v>
      </c>
      <c r="AD200">
        <v>141.80000000000001</v>
      </c>
      <c r="AE200" s="12">
        <f>AVERAGE(All_India_Index_Upto_April23__1___13[[#This Row],[Cereals and products]:[Pan, tobacco and intoxicants]])</f>
        <v>140.47142857142859</v>
      </c>
      <c r="AF200" s="12">
        <f>AVERAGE(All_India_Index_Upto_April23__1___13[[#This Row],[Household goods and services]],All_India_Index_Upto_April23__1___13[[#This Row],[Housing]])</f>
        <v>141.1854838709678</v>
      </c>
      <c r="AG200" s="12">
        <f>AVERAGE(All_India_Index_Upto_April23__1___13[[#This Row],[Miscellaneous]],All_India_Index_Upto_April23__1___13[[#This Row],[Personal care and effects]],All_India_Index_Upto_April23__1___13[[#This Row],[Education]],All_India_Index_Upto_April23__1___13[[#This Row],[Recreation and amusement]])</f>
        <v>137.9</v>
      </c>
    </row>
    <row r="201" spans="1:33" hidden="1" x14ac:dyDescent="0.3">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s="12">
        <f>AVERAGE(All_India_Index_Upto_April23__1___13[[#This Row],[Cereals and products]:[Pan, tobacco and intoxicants]])</f>
        <v>138.03571428571428</v>
      </c>
      <c r="AF201" s="12">
        <f>AVERAGE(All_India_Index_Upto_April23__1___13[[#This Row],[Household goods and services]],All_India_Index_Upto_April23__1___13[[#This Row],[Housing]])</f>
        <v>138.6</v>
      </c>
      <c r="AG201" s="12">
        <f>AVERAGE(All_India_Index_Upto_April23__1___13[[#This Row],[Miscellaneous]],All_India_Index_Upto_April23__1___13[[#This Row],[Personal care and effects]],All_India_Index_Upto_April23__1___13[[#This Row],[Education]],All_India_Index_Upto_April23__1___13[[#This Row],[Recreation and amusement]])</f>
        <v>132.85</v>
      </c>
    </row>
    <row r="202" spans="1:33" hidden="1" x14ac:dyDescent="0.3">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s="12">
        <f>AVERAGE(All_India_Index_Upto_April23__1___13[[#This Row],[Cereals and products]:[Pan, tobacco and intoxicants]])</f>
        <v>139.48571428571429</v>
      </c>
      <c r="AF202" s="12">
        <f>AVERAGE(All_India_Index_Upto_April23__1___13[[#This Row],[Household goods and services]],All_India_Index_Upto_April23__1___13[[#This Row],[Housing]])</f>
        <v>141.1</v>
      </c>
      <c r="AG202" s="12">
        <f>AVERAGE(All_India_Index_Upto_April23__1___13[[#This Row],[Miscellaneous]],All_India_Index_Upto_April23__1___13[[#This Row],[Personal care and effects]],All_India_Index_Upto_April23__1___13[[#This Row],[Education]],All_India_Index_Upto_April23__1___13[[#This Row],[Recreation and amusement]])</f>
        <v>135.27499999999998</v>
      </c>
    </row>
    <row r="203" spans="1:33" hidden="1" x14ac:dyDescent="0.3">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s="12">
        <f>'Handle Missing Value Sheet only'!$F$5</f>
        <v>139.27096774193564</v>
      </c>
      <c r="V203">
        <v>147.69999999999999</v>
      </c>
      <c r="W203">
        <v>143.80000000000001</v>
      </c>
      <c r="X203">
        <v>139.4</v>
      </c>
      <c r="Y203">
        <v>128.30000000000001</v>
      </c>
      <c r="Z203">
        <v>138.6</v>
      </c>
      <c r="AA203">
        <v>146.9</v>
      </c>
      <c r="AB203">
        <v>131.30000000000001</v>
      </c>
      <c r="AC203">
        <v>136.6</v>
      </c>
      <c r="AD203">
        <v>142.5</v>
      </c>
      <c r="AE203" s="12">
        <f>AVERAGE(All_India_Index_Upto_April23__1___13[[#This Row],[Cereals and products]:[Pan, tobacco and intoxicants]])</f>
        <v>141.08571428571429</v>
      </c>
      <c r="AF203" s="12">
        <f>AVERAGE(All_India_Index_Upto_April23__1___13[[#This Row],[Household goods and services]],All_India_Index_Upto_April23__1___13[[#This Row],[Housing]])</f>
        <v>141.53548387096782</v>
      </c>
      <c r="AG203" s="12">
        <f>AVERAGE(All_India_Index_Upto_April23__1___13[[#This Row],[Miscellaneous]],All_India_Index_Upto_April23__1___13[[#This Row],[Personal care and effects]],All_India_Index_Upto_April23__1___13[[#This Row],[Education]],All_India_Index_Upto_April23__1___13[[#This Row],[Recreation and amusement]])</f>
        <v>138.35</v>
      </c>
    </row>
    <row r="204" spans="1:33" hidden="1" x14ac:dyDescent="0.3">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s="12">
        <f>AVERAGE(All_India_Index_Upto_April23__1___13[[#This Row],[Cereals and products]:[Pan, tobacco and intoxicants]])</f>
        <v>137.83571428571426</v>
      </c>
      <c r="AF204" s="12">
        <f>AVERAGE(All_India_Index_Upto_April23__1___13[[#This Row],[Household goods and services]],All_India_Index_Upto_April23__1___13[[#This Row],[Housing]])</f>
        <v>139.5</v>
      </c>
      <c r="AG204" s="12">
        <f>AVERAGE(All_India_Index_Upto_April23__1___13[[#This Row],[Miscellaneous]],All_India_Index_Upto_April23__1___13[[#This Row],[Personal care and effects]],All_India_Index_Upto_April23__1___13[[#This Row],[Education]],All_India_Index_Upto_April23__1___13[[#This Row],[Recreation and amusement]])</f>
        <v>133.60000000000002</v>
      </c>
    </row>
    <row r="205" spans="1:33" hidden="1" x14ac:dyDescent="0.3">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s="12">
        <f>AVERAGE(All_India_Index_Upto_April23__1___13[[#This Row],[Cereals and products]:[Pan, tobacco and intoxicants]])</f>
        <v>139.7571428571429</v>
      </c>
      <c r="AF205" s="12">
        <f>AVERAGE(All_India_Index_Upto_April23__1___13[[#This Row],[Household goods and services]],All_India_Index_Upto_April23__1___13[[#This Row],[Housing]])</f>
        <v>142</v>
      </c>
      <c r="AG205" s="12">
        <f>AVERAGE(All_India_Index_Upto_April23__1___13[[#This Row],[Miscellaneous]],All_India_Index_Upto_April23__1___13[[#This Row],[Personal care and effects]],All_India_Index_Upto_April23__1___13[[#This Row],[Education]],All_India_Index_Upto_April23__1___13[[#This Row],[Recreation and amusement]])</f>
        <v>135.9</v>
      </c>
    </row>
    <row r="206" spans="1:33" hidden="1" x14ac:dyDescent="0.3">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s="12">
        <f>'Handle Missing Value Sheet only'!$F$5</f>
        <v>139.27096774193564</v>
      </c>
      <c r="V206">
        <v>149</v>
      </c>
      <c r="W206">
        <v>144</v>
      </c>
      <c r="X206">
        <v>140</v>
      </c>
      <c r="Y206">
        <v>129.9</v>
      </c>
      <c r="Z206">
        <v>140</v>
      </c>
      <c r="AA206">
        <v>147.6</v>
      </c>
      <c r="AB206">
        <v>132</v>
      </c>
      <c r="AC206">
        <v>137.4</v>
      </c>
      <c r="AD206">
        <v>142.1</v>
      </c>
      <c r="AE206" s="12">
        <f>AVERAGE(All_India_Index_Upto_April23__1___13[[#This Row],[Cereals and products]:[Pan, tobacco and intoxicants]])</f>
        <v>139.82142857142858</v>
      </c>
      <c r="AF206" s="12">
        <f>AVERAGE(All_India_Index_Upto_April23__1___13[[#This Row],[Household goods and services]],All_India_Index_Upto_April23__1___13[[#This Row],[Housing]])</f>
        <v>141.63548387096782</v>
      </c>
      <c r="AG206" s="12">
        <f>AVERAGE(All_India_Index_Upto_April23__1___13[[#This Row],[Miscellaneous]],All_India_Index_Upto_April23__1___13[[#This Row],[Personal care and effects]],All_India_Index_Upto_April23__1___13[[#This Row],[Education]],All_India_Index_Upto_April23__1___13[[#This Row],[Recreation and amusement]])</f>
        <v>139.25</v>
      </c>
    </row>
    <row r="207" spans="1:33" hidden="1" x14ac:dyDescent="0.3">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s="12">
        <f>AVERAGE(All_India_Index_Upto_April23__1___13[[#This Row],[Cereals and products]:[Pan, tobacco and intoxicants]])</f>
        <v>136.55000000000001</v>
      </c>
      <c r="AF207" s="12">
        <f>AVERAGE(All_India_Index_Upto_April23__1___13[[#This Row],[Household goods and services]],All_India_Index_Upto_April23__1___13[[#This Row],[Housing]])</f>
        <v>140.10000000000002</v>
      </c>
      <c r="AG207" s="12">
        <f>AVERAGE(All_India_Index_Upto_April23__1___13[[#This Row],[Miscellaneous]],All_India_Index_Upto_April23__1___13[[#This Row],[Personal care and effects]],All_India_Index_Upto_April23__1___13[[#This Row],[Education]],All_India_Index_Upto_April23__1___13[[#This Row],[Recreation and amusement]])</f>
        <v>134.15</v>
      </c>
    </row>
    <row r="208" spans="1:33" hidden="1" x14ac:dyDescent="0.3">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s="12">
        <f>AVERAGE(All_India_Index_Upto_April23__1___13[[#This Row],[Cereals and products]:[Pan, tobacco and intoxicants]])</f>
        <v>138.47857142857143</v>
      </c>
      <c r="AF208" s="12">
        <f>AVERAGE(All_India_Index_Upto_April23__1___13[[#This Row],[Household goods and services]],All_India_Index_Upto_April23__1___13[[#This Row],[Housing]])</f>
        <v>142.5</v>
      </c>
      <c r="AG208" s="12">
        <f>AVERAGE(All_India_Index_Upto_April23__1___13[[#This Row],[Miscellaneous]],All_India_Index_Upto_April23__1___13[[#This Row],[Personal care and effects]],All_India_Index_Upto_April23__1___13[[#This Row],[Education]],All_India_Index_Upto_April23__1___13[[#This Row],[Recreation and amusement]])</f>
        <v>136.57499999999999</v>
      </c>
    </row>
    <row r="209" spans="1:33" hidden="1" x14ac:dyDescent="0.3">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s="12">
        <f>'Handle Missing Value Sheet only'!$F$5</f>
        <v>139.27096774193564</v>
      </c>
      <c r="V209">
        <v>149.69999999999999</v>
      </c>
      <c r="W209">
        <v>147.5</v>
      </c>
      <c r="X209">
        <v>144.80000000000001</v>
      </c>
      <c r="Y209">
        <v>130.80000000000001</v>
      </c>
      <c r="Z209">
        <v>140.1</v>
      </c>
      <c r="AA209">
        <v>148</v>
      </c>
      <c r="AB209">
        <v>134.4</v>
      </c>
      <c r="AC209">
        <v>139.80000000000001</v>
      </c>
      <c r="AD209">
        <v>142.19999999999999</v>
      </c>
      <c r="AE209" s="12">
        <f>AVERAGE(All_India_Index_Upto_April23__1___13[[#This Row],[Cereals and products]:[Pan, tobacco and intoxicants]])</f>
        <v>138.69999999999999</v>
      </c>
      <c r="AF209" s="12">
        <f>AVERAGE(All_India_Index_Upto_April23__1___13[[#This Row],[Household goods and services]],All_India_Index_Upto_April23__1___13[[#This Row],[Housing]])</f>
        <v>143.38548387096782</v>
      </c>
      <c r="AG209" s="12">
        <f>AVERAGE(All_India_Index_Upto_April23__1___13[[#This Row],[Miscellaneous]],All_India_Index_Upto_April23__1___13[[#This Row],[Personal care and effects]],All_India_Index_Upto_April23__1___13[[#This Row],[Education]],All_India_Index_Upto_April23__1___13[[#This Row],[Recreation and amusement]])</f>
        <v>140.57500000000002</v>
      </c>
    </row>
    <row r="210" spans="1:33" hidden="1" x14ac:dyDescent="0.3">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s="12">
        <f>AVERAGE(All_India_Index_Upto_April23__1___13[[#This Row],[Cereals and products]:[Pan, tobacco and intoxicants]])</f>
        <v>137.00714285714284</v>
      </c>
      <c r="AF210" s="12">
        <f>AVERAGE(All_India_Index_Upto_April23__1___13[[#This Row],[Household goods and services]],All_India_Index_Upto_April23__1___13[[#This Row],[Housing]])</f>
        <v>140.69999999999999</v>
      </c>
      <c r="AG210" s="12">
        <f>AVERAGE(All_India_Index_Upto_April23__1___13[[#This Row],[Miscellaneous]],All_India_Index_Upto_April23__1___13[[#This Row],[Personal care and effects]],All_India_Index_Upto_April23__1___13[[#This Row],[Education]],All_India_Index_Upto_April23__1___13[[#This Row],[Recreation and amusement]])</f>
        <v>134.77499999999998</v>
      </c>
    </row>
    <row r="211" spans="1:33" hidden="1" x14ac:dyDescent="0.3">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s="12">
        <f>AVERAGE(All_India_Index_Upto_April23__1___13[[#This Row],[Cereals and products]:[Pan, tobacco and intoxicants]])</f>
        <v>138.48571428571429</v>
      </c>
      <c r="AF211" s="12">
        <f>AVERAGE(All_India_Index_Upto_April23__1___13[[#This Row],[Household goods and services]],All_India_Index_Upto_April23__1___13[[#This Row],[Housing]])</f>
        <v>144.55000000000001</v>
      </c>
      <c r="AG211" s="12">
        <f>AVERAGE(All_India_Index_Upto_April23__1___13[[#This Row],[Miscellaneous]],All_India_Index_Upto_April23__1___13[[#This Row],[Personal care and effects]],All_India_Index_Upto_April23__1___13[[#This Row],[Education]],All_India_Index_Upto_April23__1___13[[#This Row],[Recreation and amusement]])</f>
        <v>138.15</v>
      </c>
    </row>
    <row r="212" spans="1:33" hidden="1"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s="12">
        <f>'Handle Missing Value Sheet only'!$F$5</f>
        <v>139.27096774193564</v>
      </c>
      <c r="V212">
        <v>150.30000000000001</v>
      </c>
      <c r="W212">
        <v>148</v>
      </c>
      <c r="X212">
        <v>145.4</v>
      </c>
      <c r="Y212">
        <v>130.30000000000001</v>
      </c>
      <c r="Z212">
        <v>143.1</v>
      </c>
      <c r="AA212">
        <v>150.19999999999999</v>
      </c>
      <c r="AB212">
        <v>133.1</v>
      </c>
      <c r="AC212">
        <v>140.1</v>
      </c>
      <c r="AD212">
        <v>142.4</v>
      </c>
      <c r="AE212" s="12">
        <f>AVERAGE(All_India_Index_Upto_April23__1___13[[#This Row],[Cereals and products]:[Pan, tobacco and intoxicants]])</f>
        <v>139.2428571428571</v>
      </c>
      <c r="AF212" s="12">
        <f>AVERAGE(All_India_Index_Upto_April23__1___13[[#This Row],[Household goods and services]],All_India_Index_Upto_April23__1___13[[#This Row],[Housing]])</f>
        <v>143.63548387096782</v>
      </c>
      <c r="AG212" s="12">
        <f>AVERAGE(All_India_Index_Upto_April23__1___13[[#This Row],[Miscellaneous]],All_India_Index_Upto_April23__1___13[[#This Row],[Personal care and effects]],All_India_Index_Upto_April23__1___13[[#This Row],[Education]],All_India_Index_Upto_April23__1___13[[#This Row],[Recreation and amusement]])</f>
        <v>141.625</v>
      </c>
    </row>
    <row r="213" spans="1:33" hidden="1" x14ac:dyDescent="0.3">
      <c r="A213" t="s">
        <v>32</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s="12">
        <f>AVERAGE(All_India_Index_Upto_April23__1___13[[#This Row],[Cereals and products]:[Pan, tobacco and intoxicants]])</f>
        <v>137.27857142857141</v>
      </c>
      <c r="AF213" s="12">
        <f>AVERAGE(All_India_Index_Upto_April23__1___13[[#This Row],[Household goods and services]],All_India_Index_Upto_April23__1___13[[#This Row],[Housing]])</f>
        <v>141.35000000000002</v>
      </c>
      <c r="AG213" s="12">
        <f>AVERAGE(All_India_Index_Upto_April23__1___13[[#This Row],[Miscellaneous]],All_India_Index_Upto_April23__1___13[[#This Row],[Personal care and effects]],All_India_Index_Upto_April23__1___13[[#This Row],[Education]],All_India_Index_Upto_April23__1___13[[#This Row],[Recreation and amusement]])</f>
        <v>135.02499999999998</v>
      </c>
    </row>
    <row r="214" spans="1:33" hidden="1" x14ac:dyDescent="0.3">
      <c r="A214" t="s">
        <v>33</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s="12">
        <f>AVERAGE(All_India_Index_Upto_April23__1___13[[#This Row],[Cereals and products]:[Pan, tobacco and intoxicants]])</f>
        <v>138.45000000000002</v>
      </c>
      <c r="AF214" s="12">
        <f>AVERAGE(All_India_Index_Upto_April23__1___13[[#This Row],[Household goods and services]],All_India_Index_Upto_April23__1___13[[#This Row],[Housing]])</f>
        <v>144.55000000000001</v>
      </c>
      <c r="AG214" s="12">
        <f>AVERAGE(All_India_Index_Upto_April23__1___13[[#This Row],[Miscellaneous]],All_India_Index_Upto_April23__1___13[[#This Row],[Personal care and effects]],All_India_Index_Upto_April23__1___13[[#This Row],[Education]],All_India_Index_Upto_April23__1___13[[#This Row],[Recreation and amusement]])</f>
        <v>138.15</v>
      </c>
    </row>
    <row r="215" spans="1:33" hidden="1"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s="12">
        <f>'Handle Missing Value Sheet only'!$F$5</f>
        <v>139.27096774193564</v>
      </c>
      <c r="V215">
        <v>149</v>
      </c>
      <c r="W215">
        <v>149.5</v>
      </c>
      <c r="X215">
        <v>149.6</v>
      </c>
      <c r="Y215">
        <v>128.9</v>
      </c>
      <c r="Z215">
        <v>143.30000000000001</v>
      </c>
      <c r="AA215">
        <v>155.1</v>
      </c>
      <c r="AB215">
        <v>133.19999999999999</v>
      </c>
      <c r="AC215">
        <v>141.6</v>
      </c>
      <c r="AD215">
        <v>141.9</v>
      </c>
      <c r="AE215" s="12">
        <f>AVERAGE(All_India_Index_Upto_April23__1___13[[#This Row],[Cereals and products]:[Pan, tobacco and intoxicants]])</f>
        <v>138.25000000000003</v>
      </c>
      <c r="AF215" s="12">
        <f>AVERAGE(All_India_Index_Upto_April23__1___13[[#This Row],[Household goods and services]],All_India_Index_Upto_April23__1___13[[#This Row],[Housing]])</f>
        <v>144.38548387096782</v>
      </c>
      <c r="AG215" s="12">
        <f>AVERAGE(All_India_Index_Upto_April23__1___13[[#This Row],[Miscellaneous]],All_India_Index_Upto_April23__1___13[[#This Row],[Personal care and effects]],All_India_Index_Upto_April23__1___13[[#This Row],[Education]],All_India_Index_Upto_April23__1___13[[#This Row],[Recreation and amusement]])</f>
        <v>143.30000000000001</v>
      </c>
    </row>
    <row r="216" spans="1:33" hidden="1" x14ac:dyDescent="0.3">
      <c r="A216" t="s">
        <v>32</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s="12">
        <f>AVERAGE(All_India_Index_Upto_April23__1___13[[#This Row],[Cereals and products]:[Pan, tobacco and intoxicants]])</f>
        <v>136.51428571428571</v>
      </c>
      <c r="AF216" s="12">
        <f>AVERAGE(All_India_Index_Upto_April23__1___13[[#This Row],[Household goods and services]],All_India_Index_Upto_April23__1___13[[#This Row],[Housing]])</f>
        <v>141.35</v>
      </c>
      <c r="AG216" s="12">
        <f>AVERAGE(All_India_Index_Upto_April23__1___13[[#This Row],[Miscellaneous]],All_India_Index_Upto_April23__1___13[[#This Row],[Personal care and effects]],All_India_Index_Upto_April23__1___13[[#This Row],[Education]],All_India_Index_Upto_April23__1___13[[#This Row],[Recreation and amusement]])</f>
        <v>135.17500000000001</v>
      </c>
    </row>
    <row r="217" spans="1:33" hidden="1" x14ac:dyDescent="0.3">
      <c r="A217" t="s">
        <v>33</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s="12">
        <f>AVERAGE(All_India_Index_Upto_April23__1___13[[#This Row],[Cereals and products]:[Pan, tobacco and intoxicants]])</f>
        <v>137.55714285714285</v>
      </c>
      <c r="AF217" s="12">
        <f>AVERAGE(All_India_Index_Upto_April23__1___13[[#This Row],[Household goods and services]],All_India_Index_Upto_April23__1___13[[#This Row],[Housing]])</f>
        <v>144.85</v>
      </c>
      <c r="AG217" s="12">
        <f>AVERAGE(All_India_Index_Upto_April23__1___13[[#This Row],[Miscellaneous]],All_India_Index_Upto_April23__1___13[[#This Row],[Personal care and effects]],All_India_Index_Upto_April23__1___13[[#This Row],[Education]],All_India_Index_Upto_April23__1___13[[#This Row],[Recreation and amusement]])</f>
        <v>138.97500000000002</v>
      </c>
    </row>
    <row r="218" spans="1:33"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s="12">
        <f>'Handle Missing Value Sheet only'!$F$5</f>
        <v>139.27096774193564</v>
      </c>
      <c r="V218">
        <v>146.19999999999999</v>
      </c>
      <c r="W218">
        <v>150.1</v>
      </c>
      <c r="X218">
        <v>149.6</v>
      </c>
      <c r="Y218">
        <v>128.6</v>
      </c>
      <c r="Z218">
        <v>142.9</v>
      </c>
      <c r="AA218">
        <v>155.19999999999999</v>
      </c>
      <c r="AB218">
        <v>133.5</v>
      </c>
      <c r="AC218">
        <v>141.69999999999999</v>
      </c>
      <c r="AD218">
        <v>141</v>
      </c>
      <c r="AE218" s="12">
        <f>AVERAGE(All_India_Index_Upto_April23__1___13[[#This Row],[Cereals and products]:[Pan, tobacco and intoxicants]])</f>
        <v>137.30714285714288</v>
      </c>
      <c r="AF218" s="12">
        <f>AVERAGE(All_India_Index_Upto_April23__1___13[[#This Row],[Household goods and services]],All_India_Index_Upto_April23__1___13[[#This Row],[Housing]])</f>
        <v>144.6854838709678</v>
      </c>
      <c r="AG218" s="12">
        <f>AVERAGE(All_India_Index_Upto_April23__1___13[[#This Row],[Miscellaneous]],All_India_Index_Upto_April23__1___13[[#This Row],[Personal care and effects]],All_India_Index_Upto_April23__1___13[[#This Row],[Education]],All_India_Index_Upto_April23__1___13[[#This Row],[Recreation and amusement]])</f>
        <v>143.32499999999999</v>
      </c>
    </row>
    <row r="219" spans="1:33" hidden="1" x14ac:dyDescent="0.3">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s="12">
        <f>AVERAGE(All_India_Index_Upto_April23__1___13[[#This Row],[Cereals and products]:[Pan, tobacco and intoxicants]])</f>
        <v>136.35714285714286</v>
      </c>
      <c r="AF219" s="12">
        <f>AVERAGE(All_India_Index_Upto_April23__1___13[[#This Row],[Household goods and services]],All_India_Index_Upto_April23__1___13[[#This Row],[Housing]])</f>
        <v>142</v>
      </c>
      <c r="AG219" s="12">
        <f>AVERAGE(All_India_Index_Upto_April23__1___13[[#This Row],[Miscellaneous]],All_India_Index_Upto_April23__1___13[[#This Row],[Personal care and effects]],All_India_Index_Upto_April23__1___13[[#This Row],[Education]],All_India_Index_Upto_April23__1___13[[#This Row],[Recreation and amusement]])</f>
        <v>135.5</v>
      </c>
    </row>
    <row r="220" spans="1:33" hidden="1" x14ac:dyDescent="0.3">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s="12">
        <f>AVERAGE(All_India_Index_Upto_April23__1___13[[#This Row],[Cereals and products]:[Pan, tobacco and intoxicants]])</f>
        <v>136.9</v>
      </c>
      <c r="AF220" s="12">
        <f>AVERAGE(All_India_Index_Upto_April23__1___13[[#This Row],[Household goods and services]],All_India_Index_Upto_April23__1___13[[#This Row],[Housing]])</f>
        <v>145.64999999999998</v>
      </c>
      <c r="AG220" s="12">
        <f>AVERAGE(All_India_Index_Upto_April23__1___13[[#This Row],[Miscellaneous]],All_India_Index_Upto_April23__1___13[[#This Row],[Personal care and effects]],All_India_Index_Upto_April23__1___13[[#This Row],[Education]],All_India_Index_Upto_April23__1___13[[#This Row],[Recreation and amusement]])</f>
        <v>139.15</v>
      </c>
    </row>
    <row r="221" spans="1:33" hidden="1" x14ac:dyDescent="0.3">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s="12">
        <f>'Handle Missing Value Sheet only'!$F$5</f>
        <v>139.27096774193564</v>
      </c>
      <c r="V221">
        <v>145.30000000000001</v>
      </c>
      <c r="W221">
        <v>150.1</v>
      </c>
      <c r="X221">
        <v>149.9</v>
      </c>
      <c r="Y221">
        <v>129.19999999999999</v>
      </c>
      <c r="Z221">
        <v>143.4</v>
      </c>
      <c r="AA221">
        <v>155.5</v>
      </c>
      <c r="AB221">
        <v>134.9</v>
      </c>
      <c r="AC221">
        <v>142.19999999999999</v>
      </c>
      <c r="AD221">
        <v>141</v>
      </c>
      <c r="AE221" s="12">
        <f>AVERAGE(All_India_Index_Upto_April23__1___13[[#This Row],[Cereals and products]:[Pan, tobacco and intoxicants]])</f>
        <v>137.32857142857145</v>
      </c>
      <c r="AF221" s="12">
        <f>AVERAGE(All_India_Index_Upto_April23__1___13[[#This Row],[Household goods and services]],All_India_Index_Upto_April23__1___13[[#This Row],[Housing]])</f>
        <v>144.6854838709678</v>
      </c>
      <c r="AG221" s="12">
        <f>AVERAGE(All_India_Index_Upto_April23__1___13[[#This Row],[Miscellaneous]],All_India_Index_Upto_April23__1___13[[#This Row],[Personal care and effects]],All_India_Index_Upto_April23__1___13[[#This Row],[Education]],All_India_Index_Upto_April23__1___13[[#This Row],[Recreation and amusement]])</f>
        <v>144</v>
      </c>
    </row>
    <row r="222" spans="1:33" hidden="1" x14ac:dyDescent="0.3">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s="12">
        <f>AVERAGE(All_India_Index_Upto_April23__1___13[[#This Row],[Cereals and products]:[Pan, tobacco and intoxicants]])</f>
        <v>137.09285714285716</v>
      </c>
      <c r="AF222" s="12">
        <f>AVERAGE(All_India_Index_Upto_April23__1___13[[#This Row],[Household goods and services]],All_India_Index_Upto_April23__1___13[[#This Row],[Housing]])</f>
        <v>142.55000000000001</v>
      </c>
      <c r="AG222" s="12">
        <f>AVERAGE(All_India_Index_Upto_April23__1___13[[#This Row],[Miscellaneous]],All_India_Index_Upto_April23__1___13[[#This Row],[Personal care and effects]],All_India_Index_Upto_April23__1___13[[#This Row],[Education]],All_India_Index_Upto_April23__1___13[[#This Row],[Recreation and amusement]])</f>
        <v>136.05000000000001</v>
      </c>
    </row>
    <row r="223" spans="1:33" hidden="1" x14ac:dyDescent="0.3">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s="12">
        <f>AVERAGE(All_India_Index_Upto_April23__1___13[[#This Row],[Cereals and products]:[Pan, tobacco and intoxicants]])</f>
        <v>137.17857142857142</v>
      </c>
      <c r="AF223" s="12">
        <f>AVERAGE(All_India_Index_Upto_April23__1___13[[#This Row],[Household goods and services]],All_India_Index_Upto_April23__1___13[[#This Row],[Housing]])</f>
        <v>146.1</v>
      </c>
      <c r="AG223" s="12">
        <f>AVERAGE(All_India_Index_Upto_April23__1___13[[#This Row],[Miscellaneous]],All_India_Index_Upto_April23__1___13[[#This Row],[Personal care and effects]],All_India_Index_Upto_April23__1___13[[#This Row],[Education]],All_India_Index_Upto_April23__1___13[[#This Row],[Recreation and amusement]])</f>
        <v>139.72499999999999</v>
      </c>
    </row>
    <row r="224" spans="1:33" hidden="1" x14ac:dyDescent="0.3">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s="12">
        <f>'Handle Missing Value Sheet only'!$F$5</f>
        <v>139.27096774193564</v>
      </c>
      <c r="V224">
        <v>146.4</v>
      </c>
      <c r="W224">
        <v>150</v>
      </c>
      <c r="X224">
        <v>150.4</v>
      </c>
      <c r="Y224">
        <v>129.9</v>
      </c>
      <c r="Z224">
        <v>143.80000000000001</v>
      </c>
      <c r="AA224">
        <v>155.5</v>
      </c>
      <c r="AB224">
        <v>134</v>
      </c>
      <c r="AC224">
        <v>142.4</v>
      </c>
      <c r="AD224">
        <v>141.19999999999999</v>
      </c>
      <c r="AE224" s="12">
        <f>AVERAGE(All_India_Index_Upto_April23__1___13[[#This Row],[Cereals and products]:[Pan, tobacco and intoxicants]])</f>
        <v>137.43571428571431</v>
      </c>
      <c r="AF224" s="12">
        <f>AVERAGE(All_India_Index_Upto_April23__1___13[[#This Row],[Household goods and services]],All_India_Index_Upto_April23__1___13[[#This Row],[Housing]])</f>
        <v>144.63548387096782</v>
      </c>
      <c r="AG224" s="12">
        <f>AVERAGE(All_India_Index_Upto_April23__1___13[[#This Row],[Miscellaneous]],All_India_Index_Upto_April23__1___13[[#This Row],[Personal care and effects]],All_India_Index_Upto_April23__1___13[[#This Row],[Education]],All_India_Index_Upto_April23__1___13[[#This Row],[Recreation and amusement]])</f>
        <v>143.92500000000001</v>
      </c>
    </row>
    <row r="225" spans="1:33" hidden="1" x14ac:dyDescent="0.3">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s="12">
        <f>AVERAGE(All_India_Index_Upto_April23__1___13[[#This Row],[Cereals and products]:[Pan, tobacco and intoxicants]])</f>
        <v>138.12142857142857</v>
      </c>
      <c r="AF225" s="12">
        <f>AVERAGE(All_India_Index_Upto_April23__1___13[[#This Row],[Household goods and services]],All_India_Index_Upto_April23__1___13[[#This Row],[Housing]])</f>
        <v>142.9</v>
      </c>
      <c r="AG225" s="12">
        <f>AVERAGE(All_India_Index_Upto_April23__1___13[[#This Row],[Miscellaneous]],All_India_Index_Upto_April23__1___13[[#This Row],[Personal care and effects]],All_India_Index_Upto_April23__1___13[[#This Row],[Education]],All_India_Index_Upto_April23__1___13[[#This Row],[Recreation and amusement]])</f>
        <v>136.25</v>
      </c>
    </row>
    <row r="226" spans="1:33" hidden="1" x14ac:dyDescent="0.3">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s="12">
        <f>AVERAGE(All_India_Index_Upto_April23__1___13[[#This Row],[Cereals and products]:[Pan, tobacco and intoxicants]])</f>
        <v>137.6</v>
      </c>
      <c r="AF226" s="12">
        <f>AVERAGE(All_India_Index_Upto_April23__1___13[[#This Row],[Household goods and services]],All_India_Index_Upto_April23__1___13[[#This Row],[Housing]])</f>
        <v>146.4</v>
      </c>
      <c r="AG226" s="12">
        <f>AVERAGE(All_India_Index_Upto_April23__1___13[[#This Row],[Miscellaneous]],All_India_Index_Upto_April23__1___13[[#This Row],[Personal care and effects]],All_India_Index_Upto_April23__1___13[[#This Row],[Education]],All_India_Index_Upto_April23__1___13[[#This Row],[Recreation and amusement]])</f>
        <v>139.77500000000001</v>
      </c>
    </row>
    <row r="227" spans="1:33" hidden="1" x14ac:dyDescent="0.3">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s="12">
        <f>'Handle Missing Value Sheet only'!$F$5</f>
        <v>139.27096774193564</v>
      </c>
      <c r="V227">
        <v>146.9</v>
      </c>
      <c r="W227">
        <v>149.5</v>
      </c>
      <c r="X227">
        <v>151.30000000000001</v>
      </c>
      <c r="Y227">
        <v>130.19999999999999</v>
      </c>
      <c r="Z227">
        <v>145.9</v>
      </c>
      <c r="AA227">
        <v>156.69999999999999</v>
      </c>
      <c r="AB227">
        <v>133.9</v>
      </c>
      <c r="AC227">
        <v>142.9</v>
      </c>
      <c r="AD227">
        <v>142.4</v>
      </c>
      <c r="AE227" s="12">
        <f>AVERAGE(All_India_Index_Upto_April23__1___13[[#This Row],[Cereals and products]:[Pan, tobacco and intoxicants]])</f>
        <v>138.95714285714286</v>
      </c>
      <c r="AF227" s="12">
        <f>AVERAGE(All_India_Index_Upto_April23__1___13[[#This Row],[Household goods and services]],All_India_Index_Upto_April23__1___13[[#This Row],[Housing]])</f>
        <v>144.38548387096782</v>
      </c>
      <c r="AG227" s="12">
        <f>AVERAGE(All_India_Index_Upto_April23__1___13[[#This Row],[Miscellaneous]],All_India_Index_Upto_April23__1___13[[#This Row],[Personal care and effects]],All_India_Index_Upto_April23__1___13[[#This Row],[Education]],All_India_Index_Upto_April23__1___13[[#This Row],[Recreation and amusement]])</f>
        <v>144.85</v>
      </c>
    </row>
    <row r="228" spans="1:33" hidden="1" x14ac:dyDescent="0.3">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s="12">
        <f>AVERAGE(All_India_Index_Upto_April23__1___13[[#This Row],[Cereals and products]:[Pan, tobacco and intoxicants]])</f>
        <v>141.26428571428573</v>
      </c>
      <c r="AF228" s="12">
        <f>AVERAGE(All_India_Index_Upto_April23__1___13[[#This Row],[Household goods and services]],All_India_Index_Upto_April23__1___13[[#This Row],[Housing]])</f>
        <v>143.64999999999998</v>
      </c>
      <c r="AG228" s="12">
        <f>AVERAGE(All_India_Index_Upto_April23__1___13[[#This Row],[Miscellaneous]],All_India_Index_Upto_April23__1___13[[#This Row],[Personal care and effects]],All_India_Index_Upto_April23__1___13[[#This Row],[Education]],All_India_Index_Upto_April23__1___13[[#This Row],[Recreation and amusement]])</f>
        <v>136.97499999999999</v>
      </c>
    </row>
    <row r="229" spans="1:33" hidden="1" x14ac:dyDescent="0.3">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s="12">
        <f>AVERAGE(All_India_Index_Upto_April23__1___13[[#This Row],[Cereals and products]:[Pan, tobacco and intoxicants]])</f>
        <v>139.71428571428572</v>
      </c>
      <c r="AF229" s="12">
        <f>AVERAGE(All_India_Index_Upto_April23__1___13[[#This Row],[Household goods and services]],All_India_Index_Upto_April23__1___13[[#This Row],[Housing]])</f>
        <v>146.89999999999998</v>
      </c>
      <c r="AG229" s="12">
        <f>AVERAGE(All_India_Index_Upto_April23__1___13[[#This Row],[Miscellaneous]],All_India_Index_Upto_April23__1___13[[#This Row],[Personal care and effects]],All_India_Index_Upto_April23__1___13[[#This Row],[Education]],All_India_Index_Upto_April23__1___13[[#This Row],[Recreation and amusement]])</f>
        <v>140.60000000000002</v>
      </c>
    </row>
    <row r="230" spans="1:33" hidden="1" x14ac:dyDescent="0.3">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s="12">
        <f>'Handle Missing Value Sheet only'!$F$5</f>
        <v>139.27096774193564</v>
      </c>
      <c r="V230">
        <v>147.80000000000001</v>
      </c>
      <c r="W230">
        <v>149.6</v>
      </c>
      <c r="X230">
        <v>151.69999999999999</v>
      </c>
      <c r="Y230">
        <v>130.19999999999999</v>
      </c>
      <c r="Z230">
        <v>146.4</v>
      </c>
      <c r="AA230">
        <v>157.69999999999999</v>
      </c>
      <c r="AB230">
        <v>134.80000000000001</v>
      </c>
      <c r="AC230">
        <v>143.30000000000001</v>
      </c>
      <c r="AD230">
        <v>143.6</v>
      </c>
      <c r="AE230" s="12">
        <f>AVERAGE(All_India_Index_Upto_April23__1___13[[#This Row],[Cereals and products]:[Pan, tobacco and intoxicants]])</f>
        <v>140.6</v>
      </c>
      <c r="AF230" s="12">
        <f>AVERAGE(All_India_Index_Upto_April23__1___13[[#This Row],[Household goods and services]],All_India_Index_Upto_April23__1___13[[#This Row],[Housing]])</f>
        <v>144.4354838709678</v>
      </c>
      <c r="AG230" s="12">
        <f>AVERAGE(All_India_Index_Upto_April23__1___13[[#This Row],[Miscellaneous]],All_India_Index_Upto_April23__1___13[[#This Row],[Personal care and effects]],All_India_Index_Upto_April23__1___13[[#This Row],[Education]],All_India_Index_Upto_April23__1___13[[#This Row],[Recreation and amusement]])</f>
        <v>145.55000000000001</v>
      </c>
    </row>
    <row r="231" spans="1:33" hidden="1" x14ac:dyDescent="0.3">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s="12">
        <f>AVERAGE(All_India_Index_Upto_April23__1___13[[#This Row],[Cereals and products]:[Pan, tobacco and intoxicants]])</f>
        <v>142.85714285714283</v>
      </c>
      <c r="AF231" s="12">
        <f>AVERAGE(All_India_Index_Upto_April23__1___13[[#This Row],[Household goods and services]],All_India_Index_Upto_April23__1___13[[#This Row],[Housing]])</f>
        <v>143.4</v>
      </c>
      <c r="AG231" s="12">
        <f>AVERAGE(All_India_Index_Upto_April23__1___13[[#This Row],[Miscellaneous]],All_India_Index_Upto_April23__1___13[[#This Row],[Personal care and effects]],All_India_Index_Upto_April23__1___13[[#This Row],[Education]],All_India_Index_Upto_April23__1___13[[#This Row],[Recreation and amusement]])</f>
        <v>137.625</v>
      </c>
    </row>
    <row r="232" spans="1:33" hidden="1" x14ac:dyDescent="0.3">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s="12">
        <f>AVERAGE(All_India_Index_Upto_April23__1___13[[#This Row],[Cereals and products]:[Pan, tobacco and intoxicants]])</f>
        <v>141.35714285714286</v>
      </c>
      <c r="AF232" s="12">
        <f>AVERAGE(All_India_Index_Upto_April23__1___13[[#This Row],[Household goods and services]],All_India_Index_Upto_April23__1___13[[#This Row],[Housing]])</f>
        <v>146.60000000000002</v>
      </c>
      <c r="AG232" s="12">
        <f>AVERAGE(All_India_Index_Upto_April23__1___13[[#This Row],[Miscellaneous]],All_India_Index_Upto_April23__1___13[[#This Row],[Personal care and effects]],All_India_Index_Upto_April23__1___13[[#This Row],[Education]],All_India_Index_Upto_April23__1___13[[#This Row],[Recreation and amusement]])</f>
        <v>141.25</v>
      </c>
    </row>
    <row r="233" spans="1:33" hidden="1" x14ac:dyDescent="0.3">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s="12">
        <f>'Handle Missing Value Sheet only'!$F$5</f>
        <v>139.27096774193564</v>
      </c>
      <c r="V233">
        <v>146.80000000000001</v>
      </c>
      <c r="W233">
        <v>150</v>
      </c>
      <c r="X233">
        <v>152.19999999999999</v>
      </c>
      <c r="Y233">
        <v>131.19999999999999</v>
      </c>
      <c r="Z233">
        <v>147.5</v>
      </c>
      <c r="AA233">
        <v>159.1</v>
      </c>
      <c r="AB233">
        <v>136.1</v>
      </c>
      <c r="AC233">
        <v>144.19999999999999</v>
      </c>
      <c r="AD233">
        <v>144.9</v>
      </c>
      <c r="AE233" s="12">
        <f>AVERAGE(All_India_Index_Upto_April23__1___13[[#This Row],[Cereals and products]:[Pan, tobacco and intoxicants]])</f>
        <v>142.24285714285713</v>
      </c>
      <c r="AF233" s="12">
        <f>AVERAGE(All_India_Index_Upto_April23__1___13[[#This Row],[Household goods and services]],All_India_Index_Upto_April23__1___13[[#This Row],[Housing]])</f>
        <v>144.63548387096782</v>
      </c>
      <c r="AG233" s="12">
        <f>AVERAGE(All_India_Index_Upto_April23__1___13[[#This Row],[Miscellaneous]],All_India_Index_Upto_April23__1___13[[#This Row],[Personal care and effects]],All_India_Index_Upto_April23__1___13[[#This Row],[Education]],All_India_Index_Upto_April23__1___13[[#This Row],[Recreation and amusement]])</f>
        <v>146.72499999999999</v>
      </c>
    </row>
    <row r="234" spans="1:33" hidden="1" x14ac:dyDescent="0.3">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s="12">
        <f>AVERAGE(All_India_Index_Upto_April23__1___13[[#This Row],[Cereals and products]:[Pan, tobacco and intoxicants]])</f>
        <v>144.6142857142857</v>
      </c>
      <c r="AF234" s="12">
        <f>AVERAGE(All_India_Index_Upto_April23__1___13[[#This Row],[Household goods and services]],All_India_Index_Upto_April23__1___13[[#This Row],[Housing]])</f>
        <v>144.14999999999998</v>
      </c>
      <c r="AG234" s="12">
        <f>AVERAGE(All_India_Index_Upto_April23__1___13[[#This Row],[Miscellaneous]],All_India_Index_Upto_April23__1___13[[#This Row],[Personal care and effects]],All_India_Index_Upto_April23__1___13[[#This Row],[Education]],All_India_Index_Upto_April23__1___13[[#This Row],[Recreation and amusement]])</f>
        <v>138.75</v>
      </c>
    </row>
    <row r="235" spans="1:33" hidden="1" x14ac:dyDescent="0.3">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s="12">
        <f>AVERAGE(All_India_Index_Upto_April23__1___13[[#This Row],[Cereals and products]:[Pan, tobacco and intoxicants]])</f>
        <v>143.05000000000001</v>
      </c>
      <c r="AF235" s="12">
        <f>AVERAGE(All_India_Index_Upto_April23__1___13[[#This Row],[Household goods and services]],All_India_Index_Upto_April23__1___13[[#This Row],[Housing]])</f>
        <v>147.39999999999998</v>
      </c>
      <c r="AG235" s="12">
        <f>AVERAGE(All_India_Index_Upto_April23__1___13[[#This Row],[Miscellaneous]],All_India_Index_Upto_April23__1___13[[#This Row],[Personal care and effects]],All_India_Index_Upto_April23__1___13[[#This Row],[Education]],All_India_Index_Upto_April23__1___13[[#This Row],[Recreation and amusement]])</f>
        <v>142.42500000000001</v>
      </c>
    </row>
    <row r="236" spans="1:33" hidden="1" x14ac:dyDescent="0.3">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s="12">
        <f>'Handle Missing Value Sheet only'!$F$5</f>
        <v>139.27096774193564</v>
      </c>
      <c r="V236">
        <v>146.4</v>
      </c>
      <c r="W236">
        <v>150.19999999999999</v>
      </c>
      <c r="X236">
        <v>152.69999999999999</v>
      </c>
      <c r="Y236">
        <v>131.4</v>
      </c>
      <c r="Z236">
        <v>148</v>
      </c>
      <c r="AA236">
        <v>159.69999999999999</v>
      </c>
      <c r="AB236">
        <v>138.80000000000001</v>
      </c>
      <c r="AC236">
        <v>144.9</v>
      </c>
      <c r="AD236">
        <v>145.69999999999999</v>
      </c>
      <c r="AE236" s="12">
        <f>AVERAGE(All_India_Index_Upto_April23__1___13[[#This Row],[Cereals and products]:[Pan, tobacco and intoxicants]])</f>
        <v>142.82857142857145</v>
      </c>
      <c r="AF236" s="12">
        <f>AVERAGE(All_India_Index_Upto_April23__1___13[[#This Row],[Household goods and services]],All_India_Index_Upto_April23__1___13[[#This Row],[Housing]])</f>
        <v>144.73548387096781</v>
      </c>
      <c r="AG236" s="12">
        <f>AVERAGE(All_India_Index_Upto_April23__1___13[[#This Row],[Miscellaneous]],All_India_Index_Upto_April23__1___13[[#This Row],[Personal care and effects]],All_India_Index_Upto_April23__1___13[[#This Row],[Education]],All_India_Index_Upto_April23__1___13[[#This Row],[Recreation and amusement]])</f>
        <v>147.85000000000002</v>
      </c>
    </row>
    <row r="237" spans="1:33" hidden="1" x14ac:dyDescent="0.3">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s="12">
        <f>AVERAGE(All_India_Index_Upto_April23__1___13[[#This Row],[Cereals and products]:[Pan, tobacco and intoxicants]])</f>
        <v>145.5</v>
      </c>
      <c r="AF237" s="12">
        <f>AVERAGE(All_India_Index_Upto_April23__1___13[[#This Row],[Household goods and services]],All_India_Index_Upto_April23__1___13[[#This Row],[Housing]])</f>
        <v>144.85</v>
      </c>
      <c r="AG237" s="12">
        <f>AVERAGE(All_India_Index_Upto_April23__1___13[[#This Row],[Miscellaneous]],All_India_Index_Upto_April23__1___13[[#This Row],[Personal care and effects]],All_India_Index_Upto_April23__1___13[[#This Row],[Education]],All_India_Index_Upto_April23__1___13[[#This Row],[Recreation and amusement]])</f>
        <v>140</v>
      </c>
    </row>
    <row r="238" spans="1:33" hidden="1" x14ac:dyDescent="0.3">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s="12">
        <f>AVERAGE(All_India_Index_Upto_April23__1___13[[#This Row],[Cereals and products]:[Pan, tobacco and intoxicants]])</f>
        <v>143.73571428571429</v>
      </c>
      <c r="AF238" s="12">
        <f>AVERAGE(All_India_Index_Upto_April23__1___13[[#This Row],[Household goods and services]],All_India_Index_Upto_April23__1___13[[#This Row],[Housing]])</f>
        <v>148.05000000000001</v>
      </c>
      <c r="AG238" s="12">
        <f>AVERAGE(All_India_Index_Upto_April23__1___13[[#This Row],[Miscellaneous]],All_India_Index_Upto_April23__1___13[[#This Row],[Personal care and effects]],All_India_Index_Upto_April23__1___13[[#This Row],[Education]],All_India_Index_Upto_April23__1___13[[#This Row],[Recreation and amusement]])</f>
        <v>143.6</v>
      </c>
    </row>
    <row r="239" spans="1:33" hidden="1" x14ac:dyDescent="0.3">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s="12">
        <f>'Handle Missing Value Sheet only'!$F$5</f>
        <v>139.27096774193564</v>
      </c>
      <c r="V239">
        <v>146.9</v>
      </c>
      <c r="W239">
        <v>150.30000000000001</v>
      </c>
      <c r="X239">
        <v>153.4</v>
      </c>
      <c r="Y239">
        <v>131.6</v>
      </c>
      <c r="Z239">
        <v>148.30000000000001</v>
      </c>
      <c r="AA239">
        <v>160.19999999999999</v>
      </c>
      <c r="AB239">
        <v>140.19999999999999</v>
      </c>
      <c r="AC239">
        <v>145.4</v>
      </c>
      <c r="AD239">
        <v>146.69999999999999</v>
      </c>
      <c r="AE239" s="12">
        <f>AVERAGE(All_India_Index_Upto_April23__1___13[[#This Row],[Cereals and products]:[Pan, tobacco and intoxicants]])</f>
        <v>143.8857142857143</v>
      </c>
      <c r="AF239" s="12">
        <f>AVERAGE(All_India_Index_Upto_April23__1___13[[#This Row],[Household goods and services]],All_India_Index_Upto_April23__1___13[[#This Row],[Housing]])</f>
        <v>144.78548387096782</v>
      </c>
      <c r="AG239" s="12">
        <f>AVERAGE(All_India_Index_Upto_April23__1___13[[#This Row],[Miscellaneous]],All_India_Index_Upto_April23__1___13[[#This Row],[Personal care and effects]],All_India_Index_Upto_April23__1___13[[#This Row],[Education]],All_India_Index_Upto_April23__1___13[[#This Row],[Recreation and amusement]])</f>
        <v>148.52500000000001</v>
      </c>
    </row>
    <row r="240" spans="1:33" hidden="1" x14ac:dyDescent="0.3">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s="12">
        <f>AVERAGE(All_India_Index_Upto_April23__1___13[[#This Row],[Cereals and products]:[Pan, tobacco and intoxicants]])</f>
        <v>145.96428571428572</v>
      </c>
      <c r="AF240" s="12">
        <f>AVERAGE(All_India_Index_Upto_April23__1___13[[#This Row],[Household goods and services]],All_India_Index_Upto_April23__1___13[[#This Row],[Housing]])</f>
        <v>145.25</v>
      </c>
      <c r="AG240" s="12">
        <f>AVERAGE(All_India_Index_Upto_April23__1___13[[#This Row],[Miscellaneous]],All_India_Index_Upto_April23__1___13[[#This Row],[Personal care and effects]],All_India_Index_Upto_April23__1___13[[#This Row],[Education]],All_India_Index_Upto_April23__1___13[[#This Row],[Recreation and amusement]])</f>
        <v>140.54999999999998</v>
      </c>
    </row>
    <row r="241" spans="1:33" hidden="1" x14ac:dyDescent="0.3">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s="12">
        <f>AVERAGE(All_India_Index_Upto_April23__1___13[[#This Row],[Cereals and products]:[Pan, tobacco and intoxicants]])</f>
        <v>144.58571428571426</v>
      </c>
      <c r="AF241" s="12">
        <f>AVERAGE(All_India_Index_Upto_April23__1___13[[#This Row],[Household goods and services]],All_India_Index_Upto_April23__1___13[[#This Row],[Housing]])</f>
        <v>148.39999999999998</v>
      </c>
      <c r="AG241" s="12">
        <f>AVERAGE(All_India_Index_Upto_April23__1___13[[#This Row],[Miscellaneous]],All_India_Index_Upto_April23__1___13[[#This Row],[Personal care and effects]],All_India_Index_Upto_April23__1___13[[#This Row],[Education]],All_India_Index_Upto_April23__1___13[[#This Row],[Recreation and amusement]])</f>
        <v>144.22499999999999</v>
      </c>
    </row>
    <row r="242" spans="1:33" hidden="1" x14ac:dyDescent="0.3">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s="12">
        <f>'Handle Missing Value Sheet only'!$F$5</f>
        <v>139.27096774193564</v>
      </c>
      <c r="V242">
        <v>147.69999999999999</v>
      </c>
      <c r="W242">
        <v>150.6</v>
      </c>
      <c r="X242">
        <v>153.69999999999999</v>
      </c>
      <c r="Y242">
        <v>131.69999999999999</v>
      </c>
      <c r="Z242">
        <v>148.69999999999999</v>
      </c>
      <c r="AA242">
        <v>160.69999999999999</v>
      </c>
      <c r="AB242">
        <v>140.30000000000001</v>
      </c>
      <c r="AC242">
        <v>145.69999999999999</v>
      </c>
      <c r="AD242">
        <v>148.30000000000001</v>
      </c>
      <c r="AE242" s="12">
        <f>AVERAGE(All_India_Index_Upto_April23__1___13[[#This Row],[Cereals and products]:[Pan, tobacco and intoxicants]])</f>
        <v>145.94285714285712</v>
      </c>
      <c r="AF242" s="12">
        <f>AVERAGE(All_India_Index_Upto_April23__1___13[[#This Row],[Household goods and services]],All_India_Index_Upto_April23__1___13[[#This Row],[Housing]])</f>
        <v>144.9354838709678</v>
      </c>
      <c r="AG242" s="12">
        <f>AVERAGE(All_India_Index_Upto_April23__1___13[[#This Row],[Miscellaneous]],All_India_Index_Upto_April23__1___13[[#This Row],[Personal care and effects]],All_India_Index_Upto_April23__1___13[[#This Row],[Education]],All_India_Index_Upto_April23__1___13[[#This Row],[Recreation and amusement]])</f>
        <v>148.85</v>
      </c>
    </row>
    <row r="243" spans="1:33" hidden="1" x14ac:dyDescent="0.3">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s="12">
        <f>AVERAGE(All_India_Index_Upto_April23__1___13[[#This Row],[Cereals and products]:[Pan, tobacco and intoxicants]])</f>
        <v>147.99285714285716</v>
      </c>
      <c r="AF243" s="12">
        <f>AVERAGE(All_India_Index_Upto_April23__1___13[[#This Row],[Household goods and services]],All_India_Index_Upto_April23__1___13[[#This Row],[Housing]])</f>
        <v>145.85</v>
      </c>
      <c r="AG243" s="12">
        <f>AVERAGE(All_India_Index_Upto_April23__1___13[[#This Row],[Miscellaneous]],All_India_Index_Upto_April23__1___13[[#This Row],[Personal care and effects]],All_India_Index_Upto_April23__1___13[[#This Row],[Education]],All_India_Index_Upto_April23__1___13[[#This Row],[Recreation and amusement]])</f>
        <v>140.85</v>
      </c>
    </row>
    <row r="244" spans="1:33" hidden="1" x14ac:dyDescent="0.3">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s="12">
        <f>AVERAGE(All_India_Index_Upto_April23__1___13[[#This Row],[Cereals and products]:[Pan, tobacco and intoxicants]])</f>
        <v>146.62142857142857</v>
      </c>
      <c r="AF244" s="12">
        <f>AVERAGE(All_India_Index_Upto_April23__1___13[[#This Row],[Household goods and services]],All_India_Index_Upto_April23__1___13[[#This Row],[Housing]])</f>
        <v>149</v>
      </c>
      <c r="AG244" s="12">
        <f>AVERAGE(All_India_Index_Upto_April23__1___13[[#This Row],[Miscellaneous]],All_India_Index_Upto_April23__1___13[[#This Row],[Personal care and effects]],All_India_Index_Upto_April23__1___13[[#This Row],[Education]],All_India_Index_Upto_April23__1___13[[#This Row],[Recreation and amusement]])</f>
        <v>144.52499999999998</v>
      </c>
    </row>
    <row r="245" spans="1:33" hidden="1"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s="12">
        <f>'Handle Missing Value Sheet only'!$F$5</f>
        <v>139.27096774193564</v>
      </c>
      <c r="V245">
        <v>148.4</v>
      </c>
      <c r="W245">
        <v>150.9</v>
      </c>
      <c r="X245">
        <v>154.30000000000001</v>
      </c>
      <c r="Y245">
        <v>132.1</v>
      </c>
      <c r="Z245">
        <v>149.1</v>
      </c>
      <c r="AA245">
        <v>160.80000000000001</v>
      </c>
      <c r="AB245">
        <v>140.6</v>
      </c>
      <c r="AC245">
        <v>146.1</v>
      </c>
      <c r="AD245">
        <v>149.9</v>
      </c>
      <c r="AE245" s="12">
        <f>AVERAGE(All_India_Index_Upto_April23__1___13[[#This Row],[Cereals and products]:[Pan, tobacco and intoxicants]])</f>
        <v>147.98571428571429</v>
      </c>
      <c r="AF245" s="12">
        <f>AVERAGE(All_India_Index_Upto_April23__1___13[[#This Row],[Household goods and services]],All_India_Index_Upto_April23__1___13[[#This Row],[Housing]])</f>
        <v>145.08548387096783</v>
      </c>
      <c r="AG245" s="12">
        <f>AVERAGE(All_India_Index_Upto_April23__1___13[[#This Row],[Miscellaneous]],All_India_Index_Upto_April23__1___13[[#This Row],[Personal care and effects]],All_India_Index_Upto_April23__1___13[[#This Row],[Education]],All_India_Index_Upto_April23__1___13[[#This Row],[Recreation and amusement]])</f>
        <v>149.15</v>
      </c>
    </row>
    <row r="246" spans="1:33" hidden="1" x14ac:dyDescent="0.3">
      <c r="A246" t="s">
        <v>32</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s="12">
        <f>AVERAGE(All_India_Index_Upto_April23__1___13[[#This Row],[Cereals and products]:[Pan, tobacco and intoxicants]])</f>
        <v>149.56428571428569</v>
      </c>
      <c r="AF246" s="12">
        <f>AVERAGE(All_India_Index_Upto_April23__1___13[[#This Row],[Household goods and services]],All_India_Index_Upto_April23__1___13[[#This Row],[Housing]])</f>
        <v>146.30000000000001</v>
      </c>
      <c r="AG246" s="12">
        <f>AVERAGE(All_India_Index_Upto_April23__1___13[[#This Row],[Miscellaneous]],All_India_Index_Upto_April23__1___13[[#This Row],[Personal care and effects]],All_India_Index_Upto_April23__1___13[[#This Row],[Education]],All_India_Index_Upto_April23__1___13[[#This Row],[Recreation and amusement]])</f>
        <v>141.15</v>
      </c>
    </row>
    <row r="247" spans="1:33" hidden="1" x14ac:dyDescent="0.3">
      <c r="A247" t="s">
        <v>33</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s="12">
        <f>AVERAGE(All_India_Index_Upto_April23__1___13[[#This Row],[Cereals and products]:[Pan, tobacco and intoxicants]])</f>
        <v>148.48571428571429</v>
      </c>
      <c r="AF247" s="12">
        <f>AVERAGE(All_India_Index_Upto_April23__1___13[[#This Row],[Household goods and services]],All_India_Index_Upto_April23__1___13[[#This Row],[Housing]])</f>
        <v>149.4</v>
      </c>
      <c r="AG247" s="12">
        <f>AVERAGE(All_India_Index_Upto_April23__1___13[[#This Row],[Miscellaneous]],All_India_Index_Upto_April23__1___13[[#This Row],[Personal care and effects]],All_India_Index_Upto_April23__1___13[[#This Row],[Education]],All_India_Index_Upto_April23__1___13[[#This Row],[Recreation and amusement]])</f>
        <v>144.80000000000001</v>
      </c>
    </row>
    <row r="248" spans="1:33" hidden="1"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s="12">
        <f>'Handle Missing Value Sheet only'!$F$5</f>
        <v>139.27096774193564</v>
      </c>
      <c r="V248">
        <v>149.9</v>
      </c>
      <c r="W248">
        <v>151.19999999999999</v>
      </c>
      <c r="X248">
        <v>154.80000000000001</v>
      </c>
      <c r="Y248">
        <v>135</v>
      </c>
      <c r="Z248">
        <v>149.5</v>
      </c>
      <c r="AA248">
        <v>161.1</v>
      </c>
      <c r="AB248">
        <v>140.6</v>
      </c>
      <c r="AC248">
        <v>147.1</v>
      </c>
      <c r="AD248">
        <v>152.30000000000001</v>
      </c>
      <c r="AE248" s="12">
        <f>AVERAGE(All_India_Index_Upto_April23__1___13[[#This Row],[Cereals and products]:[Pan, tobacco and intoxicants]])</f>
        <v>150.62857142857141</v>
      </c>
      <c r="AF248" s="12">
        <f>AVERAGE(All_India_Index_Upto_April23__1___13[[#This Row],[Household goods and services]],All_India_Index_Upto_April23__1___13[[#This Row],[Housing]])</f>
        <v>145.23548387096781</v>
      </c>
      <c r="AG248" s="12">
        <f>AVERAGE(All_India_Index_Upto_April23__1___13[[#This Row],[Miscellaneous]],All_India_Index_Upto_April23__1___13[[#This Row],[Personal care and effects]],All_India_Index_Upto_April23__1___13[[#This Row],[Education]],All_India_Index_Upto_April23__1___13[[#This Row],[Recreation and amusement]])</f>
        <v>149.57499999999999</v>
      </c>
    </row>
    <row r="249" spans="1:33" hidden="1" x14ac:dyDescent="0.3">
      <c r="A249" t="s">
        <v>32</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s="12">
        <f>AVERAGE(All_India_Index_Upto_April23__1___13[[#This Row],[Cereals and products]:[Pan, tobacco and intoxicants]])</f>
        <v>151.93571428571428</v>
      </c>
      <c r="AF249" s="12">
        <f>AVERAGE(All_India_Index_Upto_April23__1___13[[#This Row],[Household goods and services]],All_India_Index_Upto_April23__1___13[[#This Row],[Housing]])</f>
        <v>146.30000000000001</v>
      </c>
      <c r="AG249" s="12">
        <f>AVERAGE(All_India_Index_Upto_April23__1___13[[#This Row],[Miscellaneous]],All_India_Index_Upto_April23__1___13[[#This Row],[Personal care and effects]],All_India_Index_Upto_April23__1___13[[#This Row],[Education]],All_India_Index_Upto_April23__1___13[[#This Row],[Recreation and amusement]])</f>
        <v>141.64999999999998</v>
      </c>
    </row>
    <row r="250" spans="1:33" hidden="1" x14ac:dyDescent="0.3">
      <c r="A250" t="s">
        <v>33</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s="12">
        <f>AVERAGE(All_India_Index_Upto_April23__1___13[[#This Row],[Cereals and products]:[Pan, tobacco and intoxicants]])</f>
        <v>151.04285714285717</v>
      </c>
      <c r="AF250" s="12">
        <f>AVERAGE(All_India_Index_Upto_April23__1___13[[#This Row],[Household goods and services]],All_India_Index_Upto_April23__1___13[[#This Row],[Housing]])</f>
        <v>149.30000000000001</v>
      </c>
      <c r="AG250" s="12">
        <f>AVERAGE(All_India_Index_Upto_April23__1___13[[#This Row],[Miscellaneous]],All_India_Index_Upto_April23__1___13[[#This Row],[Personal care and effects]],All_India_Index_Upto_April23__1___13[[#This Row],[Education]],All_India_Index_Upto_April23__1___13[[#This Row],[Recreation and amusement]])</f>
        <v>145.22499999999999</v>
      </c>
    </row>
    <row r="251" spans="1:33"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s="12">
        <f>'Handle Missing Value Sheet only'!$F$5</f>
        <v>139.27096774193564</v>
      </c>
      <c r="V251">
        <v>150.4</v>
      </c>
      <c r="W251">
        <v>151.69999999999999</v>
      </c>
      <c r="X251">
        <v>155.69999999999999</v>
      </c>
      <c r="Y251">
        <v>136.30000000000001</v>
      </c>
      <c r="Z251">
        <v>150.1</v>
      </c>
      <c r="AA251">
        <v>161.69999999999999</v>
      </c>
      <c r="AB251">
        <v>142.5</v>
      </c>
      <c r="AC251">
        <v>148.1</v>
      </c>
      <c r="AD251">
        <v>151.9</v>
      </c>
      <c r="AE251" s="12">
        <f>AVERAGE(All_India_Index_Upto_April23__1___13[[#This Row],[Cereals and products]:[Pan, tobacco and intoxicants]])</f>
        <v>150.51428571428571</v>
      </c>
      <c r="AF251" s="12">
        <f>AVERAGE(All_India_Index_Upto_April23__1___13[[#This Row],[Household goods and services]],All_India_Index_Upto_April23__1___13[[#This Row],[Housing]])</f>
        <v>145.48548387096781</v>
      </c>
      <c r="AG251" s="12">
        <f>AVERAGE(All_India_Index_Upto_April23__1___13[[#This Row],[Miscellaneous]],All_India_Index_Upto_April23__1___13[[#This Row],[Personal care and effects]],All_India_Index_Upto_April23__1___13[[#This Row],[Education]],All_India_Index_Upto_April23__1___13[[#This Row],[Recreation and amusement]])</f>
        <v>150.6</v>
      </c>
    </row>
    <row r="252" spans="1:33" hidden="1" x14ac:dyDescent="0.3">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s="12">
        <f>AVERAGE(All_India_Index_Upto_April23__1___13[[#This Row],[Cereals and products]:[Pan, tobacco and intoxicants]])</f>
        <v>151.15714285714284</v>
      </c>
      <c r="AF252" s="12">
        <f>AVERAGE(All_India_Index_Upto_April23__1___13[[#This Row],[Household goods and services]],All_India_Index_Upto_April23__1___13[[#This Row],[Housing]])</f>
        <v>147</v>
      </c>
      <c r="AG252" s="12">
        <f>AVERAGE(All_India_Index_Upto_April23__1___13[[#This Row],[Miscellaneous]],All_India_Index_Upto_April23__1___13[[#This Row],[Personal care and effects]],All_India_Index_Upto_April23__1___13[[#This Row],[Education]],All_India_Index_Upto_April23__1___13[[#This Row],[Recreation and amusement]])</f>
        <v>142.44999999999999</v>
      </c>
    </row>
    <row r="253" spans="1:33" hidden="1" x14ac:dyDescent="0.3">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s="12">
        <f>AVERAGE(All_India_Index_Upto_April23__1___13[[#This Row],[Cereals and products]:[Pan, tobacco and intoxicants]])</f>
        <v>150.68571428571428</v>
      </c>
      <c r="AF253" s="12">
        <f>AVERAGE(All_India_Index_Upto_April23__1___13[[#This Row],[Household goods and services]],All_India_Index_Upto_April23__1___13[[#This Row],[Housing]])</f>
        <v>150.05000000000001</v>
      </c>
      <c r="AG253" s="12">
        <f>AVERAGE(All_India_Index_Upto_April23__1___13[[#This Row],[Miscellaneous]],All_India_Index_Upto_April23__1___13[[#This Row],[Personal care and effects]],All_India_Index_Upto_April23__1___13[[#This Row],[Education]],All_India_Index_Upto_April23__1___13[[#This Row],[Recreation and amusement]])</f>
        <v>146.15000000000003</v>
      </c>
    </row>
    <row r="254" spans="1:33" hidden="1" x14ac:dyDescent="0.3">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s="12">
        <f>'Handle Missing Value Sheet only'!$F$5</f>
        <v>139.27096774193564</v>
      </c>
      <c r="V254">
        <v>152.30000000000001</v>
      </c>
      <c r="W254">
        <v>151.80000000000001</v>
      </c>
      <c r="X254">
        <v>156.19999999999999</v>
      </c>
      <c r="Y254">
        <v>136</v>
      </c>
      <c r="Z254">
        <v>150.4</v>
      </c>
      <c r="AA254">
        <v>161.9</v>
      </c>
      <c r="AB254">
        <v>143.4</v>
      </c>
      <c r="AC254">
        <v>148.4</v>
      </c>
      <c r="AD254">
        <v>150.4</v>
      </c>
      <c r="AE254" s="12">
        <f>AVERAGE(All_India_Index_Upto_April23__1___13[[#This Row],[Cereals and products]:[Pan, tobacco and intoxicants]])</f>
        <v>148.51428571428571</v>
      </c>
      <c r="AF254" s="12">
        <f>AVERAGE(All_India_Index_Upto_April23__1___13[[#This Row],[Household goods and services]],All_India_Index_Upto_April23__1___13[[#This Row],[Housing]])</f>
        <v>145.53548387096782</v>
      </c>
      <c r="AG254" s="12">
        <f>AVERAGE(All_India_Index_Upto_April23__1___13[[#This Row],[Miscellaneous]],All_India_Index_Upto_April23__1___13[[#This Row],[Personal care and effects]],All_India_Index_Upto_April23__1___13[[#This Row],[Education]],All_India_Index_Upto_April23__1___13[[#This Row],[Recreation and amusement]])</f>
        <v>151.02500000000001</v>
      </c>
    </row>
    <row r="255" spans="1:33" hidden="1" x14ac:dyDescent="0.3">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s="12">
        <f>AVERAGE(All_India_Index_Upto_April23__1___13[[#This Row],[Cereals and products]:[Pan, tobacco and intoxicants]])</f>
        <v>149.18571428571428</v>
      </c>
      <c r="AF255" s="12">
        <f>AVERAGE(All_India_Index_Upto_April23__1___13[[#This Row],[Household goods and services]],All_India_Index_Upto_April23__1___13[[#This Row],[Housing]])</f>
        <v>147.60000000000002</v>
      </c>
      <c r="AG255" s="12">
        <f>AVERAGE(All_India_Index_Upto_April23__1___13[[#This Row],[Miscellaneous]],All_India_Index_Upto_April23__1___13[[#This Row],[Personal care and effects]],All_India_Index_Upto_April23__1___13[[#This Row],[Education]],All_India_Index_Upto_April23__1___13[[#This Row],[Recreation and amusement]])</f>
        <v>142.94999999999999</v>
      </c>
    </row>
    <row r="256" spans="1:33" hidden="1" x14ac:dyDescent="0.3">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s="12">
        <f>AVERAGE(All_India_Index_Upto_April23__1___13[[#This Row],[Cereals and products]:[Pan, tobacco and intoxicants]])</f>
        <v>148.69285714285712</v>
      </c>
      <c r="AF256" s="12">
        <f>AVERAGE(All_India_Index_Upto_April23__1___13[[#This Row],[Household goods and services]],All_India_Index_Upto_April23__1___13[[#This Row],[Housing]])</f>
        <v>150.60000000000002</v>
      </c>
      <c r="AG256" s="12">
        <f>AVERAGE(All_India_Index_Upto_April23__1___13[[#This Row],[Miscellaneous]],All_India_Index_Upto_April23__1___13[[#This Row],[Personal care and effects]],All_India_Index_Upto_April23__1___13[[#This Row],[Education]],All_India_Index_Upto_April23__1___13[[#This Row],[Recreation and amusement]])</f>
        <v>146.6</v>
      </c>
    </row>
    <row r="257" spans="1:33" hidden="1" x14ac:dyDescent="0.3">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s="12">
        <f>'Handle Missing Value Sheet only'!$F$5</f>
        <v>139.27096774193564</v>
      </c>
      <c r="V257">
        <v>153.4</v>
      </c>
      <c r="W257">
        <v>151.5</v>
      </c>
      <c r="X257">
        <v>156.69999999999999</v>
      </c>
      <c r="Y257">
        <v>135.80000000000001</v>
      </c>
      <c r="Z257">
        <v>151.19999999999999</v>
      </c>
      <c r="AA257">
        <v>161.19999999999999</v>
      </c>
      <c r="AB257">
        <v>145.1</v>
      </c>
      <c r="AC257">
        <v>148.6</v>
      </c>
      <c r="AD257">
        <v>149.80000000000001</v>
      </c>
      <c r="AE257" s="12">
        <f>AVERAGE(All_India_Index_Upto_April23__1___13[[#This Row],[Cereals and products]:[Pan, tobacco and intoxicants]])</f>
        <v>147.50714285714281</v>
      </c>
      <c r="AF257" s="12">
        <f>AVERAGE(All_India_Index_Upto_April23__1___13[[#This Row],[Household goods and services]],All_India_Index_Upto_April23__1___13[[#This Row],[Housing]])</f>
        <v>145.38548387096782</v>
      </c>
      <c r="AG257" s="12">
        <f>AVERAGE(All_India_Index_Upto_April23__1___13[[#This Row],[Miscellaneous]],All_India_Index_Upto_April23__1___13[[#This Row],[Personal care and effects]],All_India_Index_Upto_April23__1___13[[#This Row],[Education]],All_India_Index_Upto_April23__1___13[[#This Row],[Recreation and amusement]])</f>
        <v>151.52499999999998</v>
      </c>
    </row>
    <row r="258" spans="1:33" hidden="1" x14ac:dyDescent="0.3">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s="12">
        <f>AVERAGE(All_India_Index_Upto_April23__1___13[[#This Row],[Cereals and products]:[Pan, tobacco and intoxicants]])</f>
        <v>147.98571428571429</v>
      </c>
      <c r="AF258" s="12">
        <f>AVERAGE(All_India_Index_Upto_April23__1___13[[#This Row],[Household goods and services]],All_India_Index_Upto_April23__1___13[[#This Row],[Housing]])</f>
        <v>147.65</v>
      </c>
      <c r="AG258" s="12">
        <f>AVERAGE(All_India_Index_Upto_April23__1___13[[#This Row],[Miscellaneous]],All_India_Index_Upto_April23__1___13[[#This Row],[Personal care and effects]],All_India_Index_Upto_April23__1___13[[#This Row],[Education]],All_India_Index_Upto_April23__1___13[[#This Row],[Recreation and amusement]])</f>
        <v>143.6</v>
      </c>
    </row>
    <row r="259" spans="1:33" hidden="1" x14ac:dyDescent="0.3">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s="12">
        <f>AVERAGE(All_India_Index_Upto_April23__1___13[[#This Row],[Cereals and products]:[Pan, tobacco and intoxicants]])</f>
        <v>147.6142857142857</v>
      </c>
      <c r="AF259" s="12">
        <f>AVERAGE(All_India_Index_Upto_April23__1___13[[#This Row],[Household goods and services]],All_India_Index_Upto_April23__1___13[[#This Row],[Housing]])</f>
        <v>150.44999999999999</v>
      </c>
      <c r="AG259" s="12">
        <f>AVERAGE(All_India_Index_Upto_April23__1___13[[#This Row],[Miscellaneous]],All_India_Index_Upto_April23__1___13[[#This Row],[Personal care and effects]],All_India_Index_Upto_April23__1___13[[#This Row],[Education]],All_India_Index_Upto_April23__1___13[[#This Row],[Recreation and amusement]])</f>
        <v>147.19999999999999</v>
      </c>
    </row>
    <row r="260" spans="1:33" hidden="1" x14ac:dyDescent="0.3">
      <c r="A260" t="s">
        <v>30</v>
      </c>
      <c r="B260">
        <v>2020</v>
      </c>
      <c r="C260" t="s">
        <v>36</v>
      </c>
      <c r="D260">
        <v>147.19999999999999</v>
      </c>
      <c r="F260">
        <v>146.9</v>
      </c>
      <c r="G260">
        <v>155.6</v>
      </c>
      <c r="H260">
        <v>137.1</v>
      </c>
      <c r="I260">
        <v>147.30000000000001</v>
      </c>
      <c r="J260">
        <v>162.69999999999999</v>
      </c>
      <c r="K260">
        <v>150.19999999999999</v>
      </c>
      <c r="L260">
        <v>119.8</v>
      </c>
      <c r="M260">
        <v>158.69999999999999</v>
      </c>
      <c r="N260">
        <v>139.19999999999999</v>
      </c>
      <c r="P260">
        <v>150.1</v>
      </c>
      <c r="U260" s="12">
        <f>'Handle Missing Value Sheet only'!$F$5</f>
        <v>139.27096774193564</v>
      </c>
      <c r="V260">
        <v>148.4</v>
      </c>
      <c r="X260">
        <v>154.30000000000001</v>
      </c>
      <c r="AE260" s="12">
        <f>AVERAGE(All_India_Index_Upto_April23__1___13[[#This Row],[Cereals and products]:[Pan, tobacco and intoxicants]])</f>
        <v>146.80000000000001</v>
      </c>
      <c r="AF260" s="12">
        <f>AVERAGE(All_India_Index_Upto_April23__1___13[[#This Row],[Household goods and services]],All_India_Index_Upto_April23__1___13[[#This Row],[Housing]])</f>
        <v>139.27096774193564</v>
      </c>
      <c r="AG260"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1" spans="1:33" hidden="1" x14ac:dyDescent="0.3">
      <c r="A261" t="s">
        <v>32</v>
      </c>
      <c r="B261">
        <v>2020</v>
      </c>
      <c r="C261" t="s">
        <v>36</v>
      </c>
      <c r="D261">
        <v>151.80000000000001</v>
      </c>
      <c r="F261">
        <v>151.9</v>
      </c>
      <c r="G261">
        <v>155.5</v>
      </c>
      <c r="H261">
        <v>131.6</v>
      </c>
      <c r="I261">
        <v>152.9</v>
      </c>
      <c r="J261">
        <v>180</v>
      </c>
      <c r="K261">
        <v>150.80000000000001</v>
      </c>
      <c r="L261">
        <v>121.2</v>
      </c>
      <c r="M261">
        <v>154</v>
      </c>
      <c r="N261">
        <v>133.5</v>
      </c>
      <c r="P261">
        <v>153.5</v>
      </c>
      <c r="U261">
        <v>155.6</v>
      </c>
      <c r="V261">
        <v>137.1</v>
      </c>
      <c r="X261">
        <v>144.80000000000001</v>
      </c>
      <c r="AE261" s="12">
        <f>AVERAGE(All_India_Index_Upto_April23__1___13[[#This Row],[Cereals and products]:[Pan, tobacco and intoxicants]])</f>
        <v>148.79090909090908</v>
      </c>
      <c r="AF261" s="12">
        <f>AVERAGE(All_India_Index_Upto_April23__1___13[[#This Row],[Household goods and services]],All_India_Index_Upto_April23__1___13[[#This Row],[Housing]])</f>
        <v>155.6</v>
      </c>
      <c r="AG261"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2" spans="1:33" hidden="1" x14ac:dyDescent="0.3">
      <c r="A262" t="s">
        <v>33</v>
      </c>
      <c r="B262">
        <v>2020</v>
      </c>
      <c r="C262" t="s">
        <v>36</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c r="AE262" s="12">
        <f>AVERAGE(All_India_Index_Upto_April23__1___13[[#This Row],[Cereals and products]:[Pan, tobacco and intoxicants]])</f>
        <v>147.51818181818183</v>
      </c>
      <c r="AF262" s="12">
        <f>AVERAGE(All_India_Index_Upto_April23__1___13[[#This Row],[Household goods and services]],All_India_Index_Upto_April23__1___13[[#This Row],[Housing]])</f>
        <v>155.6</v>
      </c>
      <c r="AG262"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3" spans="1:33" hidden="1" x14ac:dyDescent="0.3">
      <c r="A263" t="s">
        <v>30</v>
      </c>
      <c r="B263">
        <v>2020</v>
      </c>
      <c r="C263" t="s">
        <v>37</v>
      </c>
      <c r="U263" s="12">
        <f>'Handle Missing Value Sheet only'!$F$5</f>
        <v>139.27096774193564</v>
      </c>
      <c r="AE263" s="12" t="e">
        <f>AVERAGE(All_India_Index_Upto_April23__1___13[[#This Row],[Cereals and products]:[Pan, tobacco and intoxicants]])</f>
        <v>#DIV/0!</v>
      </c>
      <c r="AF263" s="12">
        <f>AVERAGE(All_India_Index_Upto_April23__1___13[[#This Row],[Household goods and services]],All_India_Index_Upto_April23__1___13[[#This Row],[Housing]])</f>
        <v>139.27096774193564</v>
      </c>
      <c r="AG263"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4" spans="1:33" hidden="1" x14ac:dyDescent="0.3">
      <c r="A264" t="s">
        <v>32</v>
      </c>
      <c r="B264">
        <v>2020</v>
      </c>
      <c r="C264" t="s">
        <v>37</v>
      </c>
      <c r="U264" s="12">
        <f>'Handle Missing Value Sheet only'!$F$5</f>
        <v>139.27096774193564</v>
      </c>
      <c r="AE264" s="12" t="e">
        <f>AVERAGE(All_India_Index_Upto_April23__1___13[[#This Row],[Cereals and products]:[Pan, tobacco and intoxicants]])</f>
        <v>#DIV/0!</v>
      </c>
      <c r="AF264" s="12">
        <f>AVERAGE(All_India_Index_Upto_April23__1___13[[#This Row],[Household goods and services]],All_India_Index_Upto_April23__1___13[[#This Row],[Housing]])</f>
        <v>139.27096774193564</v>
      </c>
      <c r="AG264"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5" spans="1:33" hidden="1" x14ac:dyDescent="0.3">
      <c r="A265" t="s">
        <v>33</v>
      </c>
      <c r="B265">
        <v>2020</v>
      </c>
      <c r="C265" t="s">
        <v>37</v>
      </c>
      <c r="U265" s="12">
        <f>'Handle Missing Value Sheet only'!$F$5</f>
        <v>139.27096774193564</v>
      </c>
      <c r="AE265" s="12" t="e">
        <f>AVERAGE(All_India_Index_Upto_April23__1___13[[#This Row],[Cereals and products]:[Pan, tobacco and intoxicants]])</f>
        <v>#DIV/0!</v>
      </c>
      <c r="AF265" s="12">
        <f>AVERAGE(All_India_Index_Upto_April23__1___13[[#This Row],[Household goods and services]],All_India_Index_Upto_April23__1___13[[#This Row],[Housing]])</f>
        <v>139.27096774193564</v>
      </c>
      <c r="AG265" s="12" t="e">
        <f>AVERAGE(All_India_Index_Upto_April23__1___13[[#This Row],[Miscellaneous]],All_India_Index_Upto_April23__1___13[[#This Row],[Personal care and effects]],All_India_Index_Upto_April23__1___13[[#This Row],[Education]],All_India_Index_Upto_April23__1___13[[#This Row],[Recreation and amusement]])</f>
        <v>#DIV/0!</v>
      </c>
    </row>
    <row r="266" spans="1:33" hidden="1" x14ac:dyDescent="0.3">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s="12">
        <f>'Handle Missing Value Sheet only'!$F$5</f>
        <v>139.27096774193564</v>
      </c>
      <c r="V266">
        <v>144.9</v>
      </c>
      <c r="W266">
        <v>151.69999999999999</v>
      </c>
      <c r="X266">
        <v>158.19999999999999</v>
      </c>
      <c r="Y266">
        <v>141.4</v>
      </c>
      <c r="Z266">
        <v>153.19999999999999</v>
      </c>
      <c r="AA266">
        <v>161.80000000000001</v>
      </c>
      <c r="AB266">
        <v>151.19999999999999</v>
      </c>
      <c r="AC266">
        <v>151.69999999999999</v>
      </c>
      <c r="AD266">
        <v>152.69999999999999</v>
      </c>
      <c r="AE266" s="12">
        <f>AVERAGE(All_India_Index_Upto_April23__1___13[[#This Row],[Cereals and products]:[Pan, tobacco and intoxicants]])</f>
        <v>152.3857142857143</v>
      </c>
      <c r="AF266" s="12">
        <f>AVERAGE(All_India_Index_Upto_April23__1___13[[#This Row],[Household goods and services]],All_India_Index_Upto_April23__1___13[[#This Row],[Housing]])</f>
        <v>145.48548387096781</v>
      </c>
      <c r="AG266" s="12">
        <f>AVERAGE(All_India_Index_Upto_April23__1___13[[#This Row],[Miscellaneous]],All_India_Index_Upto_April23__1___13[[#This Row],[Personal care and effects]],All_India_Index_Upto_April23__1___13[[#This Row],[Education]],All_India_Index_Upto_April23__1___13[[#This Row],[Recreation and amusement]])</f>
        <v>154.47499999999999</v>
      </c>
    </row>
    <row r="267" spans="1:33" hidden="1" x14ac:dyDescent="0.3">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s="12">
        <f>AVERAGE(All_India_Index_Upto_April23__1___13[[#This Row],[Cereals and products]:[Pan, tobacco and intoxicants]])</f>
        <v>155.83571428571426</v>
      </c>
      <c r="AF267" s="12">
        <f>AVERAGE(All_India_Index_Upto_April23__1___13[[#This Row],[Household goods and services]],All_India_Index_Upto_April23__1___13[[#This Row],[Housing]])</f>
        <v>147.55000000000001</v>
      </c>
      <c r="AG267" s="12">
        <f>AVERAGE(All_India_Index_Upto_April23__1___13[[#This Row],[Miscellaneous]],All_India_Index_Upto_April23__1___13[[#This Row],[Personal care and effects]],All_India_Index_Upto_April23__1___13[[#This Row],[Education]],All_India_Index_Upto_April23__1___13[[#This Row],[Recreation and amusement]])</f>
        <v>147.80000000000001</v>
      </c>
    </row>
    <row r="268" spans="1:33" hidden="1" x14ac:dyDescent="0.3">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s="12">
        <f>AVERAGE(All_India_Index_Upto_April23__1___13[[#This Row],[Cereals and products]:[Pan, tobacco and intoxicants]])</f>
        <v>153.59285714285716</v>
      </c>
      <c r="AF268" s="12">
        <f>AVERAGE(All_India_Index_Upto_April23__1___13[[#This Row],[Household goods and services]],All_India_Index_Upto_April23__1___13[[#This Row],[Housing]])</f>
        <v>150.55000000000001</v>
      </c>
      <c r="AG268" s="12">
        <f>AVERAGE(All_India_Index_Upto_April23__1___13[[#This Row],[Miscellaneous]],All_India_Index_Upto_April23__1___13[[#This Row],[Personal care and effects]],All_India_Index_Upto_April23__1___13[[#This Row],[Education]],All_India_Index_Upto_April23__1___13[[#This Row],[Recreation and amusement]])</f>
        <v>150.82499999999999</v>
      </c>
    </row>
    <row r="269" spans="1:33" hidden="1"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s="12">
        <f>'Handle Missing Value Sheet only'!$F$5</f>
        <v>139.27096774193564</v>
      </c>
      <c r="V269">
        <v>144.9</v>
      </c>
      <c r="W269">
        <v>151.69999999999999</v>
      </c>
      <c r="X269">
        <v>158.19999999999999</v>
      </c>
      <c r="Y269">
        <v>141.4</v>
      </c>
      <c r="Z269">
        <v>153.19999999999999</v>
      </c>
      <c r="AA269">
        <v>161.80000000000001</v>
      </c>
      <c r="AB269">
        <v>151.19999999999999</v>
      </c>
      <c r="AC269">
        <v>151.69999999999999</v>
      </c>
      <c r="AD269">
        <v>152.69999999999999</v>
      </c>
      <c r="AE269" s="12">
        <f>AVERAGE(All_India_Index_Upto_April23__1___13[[#This Row],[Cereals and products]:[Pan, tobacco and intoxicants]])</f>
        <v>152.3857142857143</v>
      </c>
      <c r="AF269" s="12">
        <f>AVERAGE(All_India_Index_Upto_April23__1___13[[#This Row],[Household goods and services]],All_India_Index_Upto_April23__1___13[[#This Row],[Housing]])</f>
        <v>145.48548387096781</v>
      </c>
      <c r="AG269" s="12">
        <f>AVERAGE(All_India_Index_Upto_April23__1___13[[#This Row],[Miscellaneous]],All_India_Index_Upto_April23__1___13[[#This Row],[Personal care and effects]],All_India_Index_Upto_April23__1___13[[#This Row],[Education]],All_India_Index_Upto_April23__1___13[[#This Row],[Recreation and amusement]])</f>
        <v>154.47499999999999</v>
      </c>
    </row>
    <row r="270" spans="1:33" hidden="1" x14ac:dyDescent="0.3">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s="12">
        <f>AVERAGE(All_India_Index_Upto_April23__1___13[[#This Row],[Cereals and products]:[Pan, tobacco and intoxicants]])</f>
        <v>155.83571428571426</v>
      </c>
      <c r="AF270" s="12">
        <f>AVERAGE(All_India_Index_Upto_April23__1___13[[#This Row],[Household goods and services]],All_India_Index_Upto_April23__1___13[[#This Row],[Housing]])</f>
        <v>147.55000000000001</v>
      </c>
      <c r="AG270" s="12">
        <f>AVERAGE(All_India_Index_Upto_April23__1___13[[#This Row],[Miscellaneous]],All_India_Index_Upto_April23__1___13[[#This Row],[Personal care and effects]],All_India_Index_Upto_April23__1___13[[#This Row],[Education]],All_India_Index_Upto_April23__1___13[[#This Row],[Recreation and amusement]])</f>
        <v>147.80000000000001</v>
      </c>
    </row>
    <row r="271" spans="1:33" hidden="1" x14ac:dyDescent="0.3">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s="12">
        <f>AVERAGE(All_India_Index_Upto_April23__1___13[[#This Row],[Cereals and products]:[Pan, tobacco and intoxicants]])</f>
        <v>153.59285714285716</v>
      </c>
      <c r="AF271" s="12">
        <f>AVERAGE(All_India_Index_Upto_April23__1___13[[#This Row],[Household goods and services]],All_India_Index_Upto_April23__1___13[[#This Row],[Housing]])</f>
        <v>150.55000000000001</v>
      </c>
      <c r="AG271" s="12">
        <f>AVERAGE(All_India_Index_Upto_April23__1___13[[#This Row],[Miscellaneous]],All_India_Index_Upto_April23__1___13[[#This Row],[Personal care and effects]],All_India_Index_Upto_April23__1___13[[#This Row],[Education]],All_India_Index_Upto_April23__1___13[[#This Row],[Recreation and amusement]])</f>
        <v>150.82499999999999</v>
      </c>
    </row>
    <row r="272" spans="1:33" hidden="1" x14ac:dyDescent="0.3">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s="12">
        <f>'Handle Missing Value Sheet only'!$F$5</f>
        <v>139.27096774193564</v>
      </c>
      <c r="V272">
        <v>145.80000000000001</v>
      </c>
      <c r="W272">
        <v>151.9</v>
      </c>
      <c r="X272">
        <v>158.80000000000001</v>
      </c>
      <c r="Y272">
        <v>143.6</v>
      </c>
      <c r="Z272">
        <v>152.19999999999999</v>
      </c>
      <c r="AA272">
        <v>162.69999999999999</v>
      </c>
      <c r="AB272">
        <v>153.6</v>
      </c>
      <c r="AC272">
        <v>153</v>
      </c>
      <c r="AD272">
        <v>154.69999999999999</v>
      </c>
      <c r="AE272" s="12">
        <f>AVERAGE(All_India_Index_Upto_April23__1___13[[#This Row],[Cereals and products]:[Pan, tobacco and intoxicants]])</f>
        <v>154.25</v>
      </c>
      <c r="AF272" s="12">
        <f>AVERAGE(All_India_Index_Upto_April23__1___13[[#This Row],[Household goods and services]],All_India_Index_Upto_April23__1___13[[#This Row],[Housing]])</f>
        <v>145.58548387096783</v>
      </c>
      <c r="AG272" s="12">
        <f>AVERAGE(All_India_Index_Upto_April23__1___13[[#This Row],[Miscellaneous]],All_India_Index_Upto_April23__1___13[[#This Row],[Personal care and effects]],All_India_Index_Upto_April23__1___13[[#This Row],[Education]],All_India_Index_Upto_April23__1___13[[#This Row],[Recreation and amusement]])</f>
        <v>155.375</v>
      </c>
    </row>
    <row r="273" spans="1:33" hidden="1" x14ac:dyDescent="0.3">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s="12">
        <f>AVERAGE(All_India_Index_Upto_April23__1___13[[#This Row],[Cereals and products]:[Pan, tobacco and intoxicants]])</f>
        <v>158.00714285714284</v>
      </c>
      <c r="AF273" s="12">
        <f>AVERAGE(All_India_Index_Upto_April23__1___13[[#This Row],[Household goods and services]],All_India_Index_Upto_April23__1___13[[#This Row],[Housing]])</f>
        <v>150</v>
      </c>
      <c r="AG273" s="12">
        <f>AVERAGE(All_India_Index_Upto_April23__1___13[[#This Row],[Miscellaneous]],All_India_Index_Upto_April23__1___13[[#This Row],[Personal care and effects]],All_India_Index_Upto_April23__1___13[[#This Row],[Education]],All_India_Index_Upto_April23__1___13[[#This Row],[Recreation and amusement]])</f>
        <v>149.17500000000001</v>
      </c>
    </row>
    <row r="274" spans="1:33" hidden="1" x14ac:dyDescent="0.3">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s="12">
        <f>AVERAGE(All_India_Index_Upto_April23__1___13[[#This Row],[Cereals and products]:[Pan, tobacco and intoxicants]])</f>
        <v>155.55714285714285</v>
      </c>
      <c r="AF274" s="12">
        <f>AVERAGE(All_India_Index_Upto_April23__1___13[[#This Row],[Household goods and services]],All_India_Index_Upto_April23__1___13[[#This Row],[Housing]])</f>
        <v>151.94999999999999</v>
      </c>
      <c r="AG274" s="12">
        <f>AVERAGE(All_India_Index_Upto_April23__1___13[[#This Row],[Miscellaneous]],All_India_Index_Upto_April23__1___13[[#This Row],[Personal care and effects]],All_India_Index_Upto_April23__1___13[[#This Row],[Education]],All_India_Index_Upto_April23__1___13[[#This Row],[Recreation and amusement]])</f>
        <v>151.94999999999999</v>
      </c>
    </row>
    <row r="275" spans="1:33" hidden="1" x14ac:dyDescent="0.3">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s="12">
        <f>'Handle Missing Value Sheet only'!$F$5</f>
        <v>139.27096774193564</v>
      </c>
      <c r="V275">
        <v>146.4</v>
      </c>
      <c r="W275">
        <v>151.6</v>
      </c>
      <c r="X275">
        <v>159.1</v>
      </c>
      <c r="Y275">
        <v>144.6</v>
      </c>
      <c r="Z275">
        <v>152.80000000000001</v>
      </c>
      <c r="AA275">
        <v>161.1</v>
      </c>
      <c r="AB275">
        <v>157.4</v>
      </c>
      <c r="AC275">
        <v>153.69999999999999</v>
      </c>
      <c r="AD275">
        <v>155.4</v>
      </c>
      <c r="AE275" s="12">
        <f>AVERAGE(All_India_Index_Upto_April23__1___13[[#This Row],[Cereals and products]:[Pan, tobacco and intoxicants]])</f>
        <v>155.02142857142854</v>
      </c>
      <c r="AF275" s="12">
        <f>AVERAGE(All_India_Index_Upto_April23__1___13[[#This Row],[Household goods and services]],All_India_Index_Upto_April23__1___13[[#This Row],[Housing]])</f>
        <v>145.4354838709678</v>
      </c>
      <c r="AG275" s="12">
        <f>AVERAGE(All_India_Index_Upto_April23__1___13[[#This Row],[Miscellaneous]],All_India_Index_Upto_April23__1___13[[#This Row],[Personal care and effects]],All_India_Index_Upto_April23__1___13[[#This Row],[Education]],All_India_Index_Upto_April23__1___13[[#This Row],[Recreation and amusement]])</f>
        <v>156.25</v>
      </c>
    </row>
    <row r="276" spans="1:33" hidden="1" x14ac:dyDescent="0.3">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s="12">
        <f>AVERAGE(All_India_Index_Upto_April23__1___13[[#This Row],[Cereals and products]:[Pan, tobacco and intoxicants]])</f>
        <v>159.30714285714288</v>
      </c>
      <c r="AF276" s="12">
        <f>AVERAGE(All_India_Index_Upto_April23__1___13[[#This Row],[Household goods and services]],All_India_Index_Upto_April23__1___13[[#This Row],[Housing]])</f>
        <v>150.85000000000002</v>
      </c>
      <c r="AG276" s="12">
        <f>AVERAGE(All_India_Index_Upto_April23__1___13[[#This Row],[Miscellaneous]],All_India_Index_Upto_April23__1___13[[#This Row],[Personal care and effects]],All_India_Index_Upto_April23__1___13[[#This Row],[Education]],All_India_Index_Upto_April23__1___13[[#This Row],[Recreation and amusement]])</f>
        <v>150.625</v>
      </c>
    </row>
    <row r="277" spans="1:33" hidden="1" x14ac:dyDescent="0.3">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s="12">
        <f>AVERAGE(All_India_Index_Upto_April23__1___13[[#This Row],[Cereals and products]:[Pan, tobacco and intoxicants]])</f>
        <v>156.52857142857144</v>
      </c>
      <c r="AF277" s="12">
        <f>AVERAGE(All_India_Index_Upto_April23__1___13[[#This Row],[Household goods and services]],All_India_Index_Upto_April23__1___13[[#This Row],[Housing]])</f>
        <v>152.5</v>
      </c>
      <c r="AG277" s="12">
        <f>AVERAGE(All_India_Index_Upto_April23__1___13[[#This Row],[Miscellaneous]],All_India_Index_Upto_April23__1___13[[#This Row],[Personal care and effects]],All_India_Index_Upto_April23__1___13[[#This Row],[Education]],All_India_Index_Upto_April23__1___13[[#This Row],[Recreation and amusement]])</f>
        <v>153.125</v>
      </c>
    </row>
    <row r="278" spans="1:33" hidden="1" x14ac:dyDescent="0.3">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s="12">
        <f>'Handle Missing Value Sheet only'!$F$5</f>
        <v>139.27096774193564</v>
      </c>
      <c r="V278">
        <v>146.80000000000001</v>
      </c>
      <c r="W278">
        <v>152</v>
      </c>
      <c r="X278">
        <v>159.5</v>
      </c>
      <c r="Y278">
        <v>146.4</v>
      </c>
      <c r="Z278">
        <v>152.4</v>
      </c>
      <c r="AA278">
        <v>162.5</v>
      </c>
      <c r="AB278">
        <v>156.19999999999999</v>
      </c>
      <c r="AC278">
        <v>154.30000000000001</v>
      </c>
      <c r="AD278">
        <v>157.5</v>
      </c>
      <c r="AE278" s="12">
        <f>AVERAGE(All_India_Index_Upto_April23__1___13[[#This Row],[Cereals and products]:[Pan, tobacco and intoxicants]])</f>
        <v>158.1142857142857</v>
      </c>
      <c r="AF278" s="12">
        <f>AVERAGE(All_India_Index_Upto_April23__1___13[[#This Row],[Household goods and services]],All_India_Index_Upto_April23__1___13[[#This Row],[Housing]])</f>
        <v>145.63548387096782</v>
      </c>
      <c r="AG278" s="12">
        <f>AVERAGE(All_India_Index_Upto_April23__1___13[[#This Row],[Miscellaneous]],All_India_Index_Upto_April23__1___13[[#This Row],[Personal care and effects]],All_India_Index_Upto_April23__1___13[[#This Row],[Education]],All_India_Index_Upto_April23__1___13[[#This Row],[Recreation and amusement]])</f>
        <v>156.35</v>
      </c>
    </row>
    <row r="279" spans="1:33" hidden="1" x14ac:dyDescent="0.3">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s="12">
        <f>AVERAGE(All_India_Index_Upto_April23__1___13[[#This Row],[Cereals and products]:[Pan, tobacco and intoxicants]])</f>
        <v>162.06428571428569</v>
      </c>
      <c r="AF279" s="12">
        <f>AVERAGE(All_India_Index_Upto_April23__1___13[[#This Row],[Household goods and services]],All_India_Index_Upto_April23__1___13[[#This Row],[Housing]])</f>
        <v>150.80000000000001</v>
      </c>
      <c r="AG279" s="12">
        <f>AVERAGE(All_India_Index_Upto_April23__1___13[[#This Row],[Miscellaneous]],All_India_Index_Upto_April23__1___13[[#This Row],[Personal care and effects]],All_India_Index_Upto_April23__1___13[[#This Row],[Education]],All_India_Index_Upto_April23__1___13[[#This Row],[Recreation and amusement]])</f>
        <v>150.5</v>
      </c>
    </row>
    <row r="280" spans="1:33" hidden="1" x14ac:dyDescent="0.3">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s="12">
        <f>AVERAGE(All_India_Index_Upto_April23__1___13[[#This Row],[Cereals and products]:[Pan, tobacco and intoxicants]])</f>
        <v>159.49285714285719</v>
      </c>
      <c r="AF280" s="12">
        <f>AVERAGE(All_India_Index_Upto_April23__1___13[[#This Row],[Household goods and services]],All_India_Index_Upto_April23__1___13[[#This Row],[Housing]])</f>
        <v>152.6</v>
      </c>
      <c r="AG280" s="12">
        <f>AVERAGE(All_India_Index_Upto_April23__1___13[[#This Row],[Miscellaneous]],All_India_Index_Upto_April23__1___13[[#This Row],[Personal care and effects]],All_India_Index_Upto_April23__1___13[[#This Row],[Education]],All_India_Index_Upto_April23__1___13[[#This Row],[Recreation and amusement]])</f>
        <v>153.1</v>
      </c>
    </row>
    <row r="281" spans="1:33" hidden="1"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s="12">
        <f>'Handle Missing Value Sheet only'!$F$5</f>
        <v>139.27096774193564</v>
      </c>
      <c r="V281">
        <v>147.5</v>
      </c>
      <c r="W281">
        <v>152.80000000000001</v>
      </c>
      <c r="X281">
        <v>160.4</v>
      </c>
      <c r="Y281">
        <v>146.1</v>
      </c>
      <c r="Z281">
        <v>153.6</v>
      </c>
      <c r="AA281">
        <v>161.6</v>
      </c>
      <c r="AB281">
        <v>156.19999999999999</v>
      </c>
      <c r="AC281">
        <v>154.5</v>
      </c>
      <c r="AD281">
        <v>159.80000000000001</v>
      </c>
      <c r="AE281" s="12">
        <f>AVERAGE(All_India_Index_Upto_April23__1___13[[#This Row],[Cereals and products]:[Pan, tobacco and intoxicants]])</f>
        <v>161.84285714285716</v>
      </c>
      <c r="AF281" s="12">
        <f>AVERAGE(All_India_Index_Upto_April23__1___13[[#This Row],[Household goods and services]],All_India_Index_Upto_April23__1___13[[#This Row],[Housing]])</f>
        <v>146.03548387096782</v>
      </c>
      <c r="AG281" s="12">
        <f>AVERAGE(All_India_Index_Upto_April23__1___13[[#This Row],[Miscellaneous]],All_India_Index_Upto_April23__1___13[[#This Row],[Personal care and effects]],All_India_Index_Upto_April23__1___13[[#This Row],[Education]],All_India_Index_Upto_April23__1___13[[#This Row],[Recreation and amusement]])</f>
        <v>156.47499999999999</v>
      </c>
    </row>
    <row r="282" spans="1:33" hidden="1" x14ac:dyDescent="0.3">
      <c r="A282" t="s">
        <v>32</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s="12">
        <f>AVERAGE(All_India_Index_Upto_April23__1___13[[#This Row],[Cereals and products]:[Pan, tobacco and intoxicants]])</f>
        <v>164.96428571428572</v>
      </c>
      <c r="AF282" s="12">
        <f>AVERAGE(All_India_Index_Upto_April23__1___13[[#This Row],[Household goods and services]],All_India_Index_Upto_April23__1___13[[#This Row],[Housing]])</f>
        <v>151.55000000000001</v>
      </c>
      <c r="AG282" s="12">
        <f>AVERAGE(All_India_Index_Upto_April23__1___13[[#This Row],[Miscellaneous]],All_India_Index_Upto_April23__1___13[[#This Row],[Personal care and effects]],All_India_Index_Upto_April23__1___13[[#This Row],[Education]],All_India_Index_Upto_April23__1___13[[#This Row],[Recreation and amusement]])</f>
        <v>151.32499999999999</v>
      </c>
    </row>
    <row r="283" spans="1:33" hidden="1" x14ac:dyDescent="0.3">
      <c r="A283" t="s">
        <v>33</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s="12">
        <f>AVERAGE(All_India_Index_Upto_April23__1___13[[#This Row],[Cereals and products]:[Pan, tobacco and intoxicants]])</f>
        <v>162.8857142857143</v>
      </c>
      <c r="AF283" s="12">
        <f>AVERAGE(All_India_Index_Upto_April23__1___13[[#This Row],[Household goods and services]],All_India_Index_Upto_April23__1___13[[#This Row],[Housing]])</f>
        <v>153.6</v>
      </c>
      <c r="AG283" s="12">
        <f>AVERAGE(All_India_Index_Upto_April23__1___13[[#This Row],[Miscellaneous]],All_India_Index_Upto_April23__1___13[[#This Row],[Personal care and effects]],All_India_Index_Upto_April23__1___13[[#This Row],[Education]],All_India_Index_Upto_April23__1___13[[#This Row],[Recreation and amusement]])</f>
        <v>153.65</v>
      </c>
    </row>
    <row r="284" spans="1:33" hidden="1"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s="12">
        <f>'Handle Missing Value Sheet only'!$F$5</f>
        <v>139.27096774193564</v>
      </c>
      <c r="V284">
        <v>148.69999999999999</v>
      </c>
      <c r="W284">
        <v>153.4</v>
      </c>
      <c r="X284">
        <v>161.6</v>
      </c>
      <c r="Y284">
        <v>146.4</v>
      </c>
      <c r="Z284">
        <v>153.9</v>
      </c>
      <c r="AA284">
        <v>162.9</v>
      </c>
      <c r="AB284">
        <v>156.6</v>
      </c>
      <c r="AC284">
        <v>155.19999999999999</v>
      </c>
      <c r="AD284">
        <v>160.69999999999999</v>
      </c>
      <c r="AE284" s="12">
        <f>AVERAGE(All_India_Index_Upto_April23__1___13[[#This Row],[Cereals and products]:[Pan, tobacco and intoxicants]])</f>
        <v>163.15</v>
      </c>
      <c r="AF284" s="12">
        <f>AVERAGE(All_India_Index_Upto_April23__1___13[[#This Row],[Household goods and services]],All_India_Index_Upto_April23__1___13[[#This Row],[Housing]])</f>
        <v>146.33548387096783</v>
      </c>
      <c r="AG284" s="12">
        <f>AVERAGE(All_India_Index_Upto_April23__1___13[[#This Row],[Miscellaneous]],All_India_Index_Upto_April23__1___13[[#This Row],[Personal care and effects]],All_India_Index_Upto_April23__1___13[[#This Row],[Education]],All_India_Index_Upto_April23__1___13[[#This Row],[Recreation and amusement]])</f>
        <v>157.14999999999998</v>
      </c>
    </row>
    <row r="285" spans="1:33" hidden="1" x14ac:dyDescent="0.3">
      <c r="A285" t="s">
        <v>32</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s="12">
        <f>AVERAGE(All_India_Index_Upto_April23__1___13[[#This Row],[Cereals and products]:[Pan, tobacco and intoxicants]])</f>
        <v>165.4</v>
      </c>
      <c r="AF285" s="12">
        <f>AVERAGE(All_India_Index_Upto_April23__1___13[[#This Row],[Household goods and services]],All_India_Index_Upto_April23__1___13[[#This Row],[Housing]])</f>
        <v>151.94999999999999</v>
      </c>
      <c r="AG285" s="12">
        <f>AVERAGE(All_India_Index_Upto_April23__1___13[[#This Row],[Miscellaneous]],All_India_Index_Upto_April23__1___13[[#This Row],[Personal care and effects]],All_India_Index_Upto_April23__1___13[[#This Row],[Education]],All_India_Index_Upto_April23__1___13[[#This Row],[Recreation and amusement]])</f>
        <v>151.5</v>
      </c>
    </row>
    <row r="286" spans="1:33" hidden="1" x14ac:dyDescent="0.3">
      <c r="A286" t="s">
        <v>33</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s="12">
        <f>AVERAGE(All_India_Index_Upto_April23__1___13[[#This Row],[Cereals and products]:[Pan, tobacco and intoxicants]])</f>
        <v>163.89285714285714</v>
      </c>
      <c r="AF286" s="12">
        <f>AVERAGE(All_India_Index_Upto_April23__1___13[[#This Row],[Household goods and services]],All_India_Index_Upto_April23__1___13[[#This Row],[Housing]])</f>
        <v>154.05000000000001</v>
      </c>
      <c r="AG286" s="12">
        <f>AVERAGE(All_India_Index_Upto_April23__1___13[[#This Row],[Miscellaneous]],All_India_Index_Upto_April23__1___13[[#This Row],[Personal care and effects]],All_India_Index_Upto_April23__1___13[[#This Row],[Education]],All_India_Index_Upto_April23__1___13[[#This Row],[Recreation and amusement]])</f>
        <v>154.04999999999998</v>
      </c>
    </row>
    <row r="287" spans="1:33" hidden="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s="12">
        <f>'Handle Missing Value Sheet only'!$F$5</f>
        <v>139.27096774193564</v>
      </c>
      <c r="V287">
        <v>150.9</v>
      </c>
      <c r="W287">
        <v>153.9</v>
      </c>
      <c r="X287">
        <v>162.5</v>
      </c>
      <c r="Y287">
        <v>147.5</v>
      </c>
      <c r="Z287">
        <v>155.1</v>
      </c>
      <c r="AA287">
        <v>163.5</v>
      </c>
      <c r="AB287">
        <v>156.19999999999999</v>
      </c>
      <c r="AC287">
        <v>155.9</v>
      </c>
      <c r="AD287">
        <v>158.5</v>
      </c>
      <c r="AE287" s="12">
        <f>AVERAGE(All_India_Index_Upto_April23__1___13[[#This Row],[Cereals and products]:[Pan, tobacco and intoxicants]])</f>
        <v>160.73571428571427</v>
      </c>
      <c r="AF287" s="12">
        <f>AVERAGE(All_India_Index_Upto_April23__1___13[[#This Row],[Household goods and services]],All_India_Index_Upto_April23__1___13[[#This Row],[Housing]])</f>
        <v>146.58548387096783</v>
      </c>
      <c r="AG287" s="12">
        <f>AVERAGE(All_India_Index_Upto_April23__1___13[[#This Row],[Miscellaneous]],All_India_Index_Upto_April23__1___13[[#This Row],[Personal care and effects]],All_India_Index_Upto_April23__1___13[[#This Row],[Education]],All_India_Index_Upto_April23__1___13[[#This Row],[Recreation and amusement]])</f>
        <v>157.67500000000001</v>
      </c>
    </row>
    <row r="288" spans="1:33" hidden="1" x14ac:dyDescent="0.3">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s="12">
        <f>AVERAGE(All_India_Index_Upto_April23__1___13[[#This Row],[Cereals and products]:[Pan, tobacco and intoxicants]])</f>
        <v>163.48571428571429</v>
      </c>
      <c r="AF288" s="12">
        <f>AVERAGE(All_India_Index_Upto_April23__1___13[[#This Row],[Household goods and services]],All_India_Index_Upto_April23__1___13[[#This Row],[Housing]])</f>
        <v>151.69999999999999</v>
      </c>
      <c r="AG288" s="12">
        <f>AVERAGE(All_India_Index_Upto_April23__1___13[[#This Row],[Miscellaneous]],All_India_Index_Upto_April23__1___13[[#This Row],[Personal care and effects]],All_India_Index_Upto_April23__1___13[[#This Row],[Education]],All_India_Index_Upto_April23__1___13[[#This Row],[Recreation and amusement]])</f>
        <v>151.69999999999999</v>
      </c>
    </row>
    <row r="289" spans="1:33" hidden="1" x14ac:dyDescent="0.3">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s="12">
        <f>AVERAGE(All_India_Index_Upto_April23__1___13[[#This Row],[Cereals and products]:[Pan, tobacco and intoxicants]])</f>
        <v>161.64285714285714</v>
      </c>
      <c r="AF289" s="12">
        <f>AVERAGE(All_India_Index_Upto_April23__1___13[[#This Row],[Household goods and services]],All_India_Index_Upto_April23__1___13[[#This Row],[Housing]])</f>
        <v>153.85</v>
      </c>
      <c r="AG289" s="12">
        <f>AVERAGE(All_India_Index_Upto_April23__1___13[[#This Row],[Miscellaneous]],All_India_Index_Upto_April23__1___13[[#This Row],[Personal care and effects]],All_India_Index_Upto_April23__1___13[[#This Row],[Education]],All_India_Index_Upto_April23__1___13[[#This Row],[Recreation and amusement]])</f>
        <v>154.375</v>
      </c>
    </row>
    <row r="290" spans="1:33" hidden="1" x14ac:dyDescent="0.3">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s="12">
        <f>'Handle Missing Value Sheet only'!$F$5</f>
        <v>139.27096774193564</v>
      </c>
      <c r="V290">
        <v>154.4</v>
      </c>
      <c r="W290">
        <v>154.80000000000001</v>
      </c>
      <c r="X290">
        <v>164.3</v>
      </c>
      <c r="Y290">
        <v>150.19999999999999</v>
      </c>
      <c r="Z290">
        <v>157</v>
      </c>
      <c r="AA290">
        <v>163.6</v>
      </c>
      <c r="AB290">
        <v>155.19999999999999</v>
      </c>
      <c r="AC290">
        <v>157.19999999999999</v>
      </c>
      <c r="AD290">
        <v>156.69999999999999</v>
      </c>
      <c r="AE290" s="12">
        <f>AVERAGE(All_India_Index_Upto_April23__1___13[[#This Row],[Cereals and products]:[Pan, tobacco and intoxicants]])</f>
        <v>157.98571428571429</v>
      </c>
      <c r="AF290" s="12">
        <f>AVERAGE(All_India_Index_Upto_April23__1___13[[#This Row],[Household goods and services]],All_India_Index_Upto_April23__1___13[[#This Row],[Housing]])</f>
        <v>147.03548387096782</v>
      </c>
      <c r="AG290" s="12">
        <f>AVERAGE(All_India_Index_Upto_April23__1___13[[#This Row],[Miscellaneous]],All_India_Index_Upto_April23__1___13[[#This Row],[Personal care and effects]],All_India_Index_Upto_April23__1___13[[#This Row],[Education]],All_India_Index_Upto_April23__1___13[[#This Row],[Recreation and amusement]])</f>
        <v>158.25</v>
      </c>
    </row>
    <row r="291" spans="1:33" hidden="1" x14ac:dyDescent="0.3">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s="12">
        <f>AVERAGE(All_India_Index_Upto_April23__1___13[[#This Row],[Cereals and products]:[Pan, tobacco and intoxicants]])</f>
        <v>161.37857142857143</v>
      </c>
      <c r="AF291" s="12">
        <f>AVERAGE(All_India_Index_Upto_April23__1___13[[#This Row],[Household goods and services]],All_India_Index_Upto_April23__1___13[[#This Row],[Housing]])</f>
        <v>153.15</v>
      </c>
      <c r="AG291" s="12">
        <f>AVERAGE(All_India_Index_Upto_April23__1___13[[#This Row],[Miscellaneous]],All_India_Index_Upto_April23__1___13[[#This Row],[Personal care and effects]],All_India_Index_Upto_April23__1___13[[#This Row],[Education]],All_India_Index_Upto_April23__1___13[[#This Row],[Recreation and amusement]])</f>
        <v>152.47500000000002</v>
      </c>
    </row>
    <row r="292" spans="1:33" hidden="1" x14ac:dyDescent="0.3">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s="12">
        <f>AVERAGE(All_India_Index_Upto_April23__1___13[[#This Row],[Cereals and products]:[Pan, tobacco and intoxicants]])</f>
        <v>159.11428571428573</v>
      </c>
      <c r="AF292" s="12">
        <f>AVERAGE(All_India_Index_Upto_April23__1___13[[#This Row],[Household goods and services]],All_India_Index_Upto_April23__1___13[[#This Row],[Housing]])</f>
        <v>155.35000000000002</v>
      </c>
      <c r="AG292" s="12">
        <f>AVERAGE(All_India_Index_Upto_April23__1___13[[#This Row],[Miscellaneous]],All_India_Index_Upto_April23__1___13[[#This Row],[Personal care and effects]],All_India_Index_Upto_April23__1___13[[#This Row],[Education]],All_India_Index_Upto_April23__1___13[[#This Row],[Recreation and amusement]])</f>
        <v>155.05000000000001</v>
      </c>
    </row>
    <row r="293" spans="1:33" hidden="1" x14ac:dyDescent="0.3">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s="12">
        <f>'Handle Missing Value Sheet only'!$F$5</f>
        <v>139.27096774193564</v>
      </c>
      <c r="V293">
        <v>156</v>
      </c>
      <c r="W293">
        <v>154.80000000000001</v>
      </c>
      <c r="X293">
        <v>164.6</v>
      </c>
      <c r="Y293">
        <v>151.30000000000001</v>
      </c>
      <c r="Z293">
        <v>157.80000000000001</v>
      </c>
      <c r="AA293">
        <v>163.80000000000001</v>
      </c>
      <c r="AB293">
        <v>153.1</v>
      </c>
      <c r="AC293">
        <v>157.30000000000001</v>
      </c>
      <c r="AD293">
        <v>156.69999999999999</v>
      </c>
      <c r="AE293" s="12">
        <f>AVERAGE(All_India_Index_Upto_April23__1___13[[#This Row],[Cereals and products]:[Pan, tobacco and intoxicants]])</f>
        <v>157.98571428571429</v>
      </c>
      <c r="AF293" s="12">
        <f>AVERAGE(All_India_Index_Upto_April23__1___13[[#This Row],[Household goods and services]],All_India_Index_Upto_April23__1___13[[#This Row],[Housing]])</f>
        <v>147.03548387096782</v>
      </c>
      <c r="AG293" s="12">
        <f>AVERAGE(All_India_Index_Upto_April23__1___13[[#This Row],[Miscellaneous]],All_India_Index_Upto_April23__1___13[[#This Row],[Personal care and effects]],All_India_Index_Upto_April23__1___13[[#This Row],[Education]],All_India_Index_Upto_April23__1___13[[#This Row],[Recreation and amusement]])</f>
        <v>158</v>
      </c>
    </row>
    <row r="294" spans="1:33" hidden="1" x14ac:dyDescent="0.3">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s="12">
        <f>AVERAGE(All_India_Index_Upto_April23__1___13[[#This Row],[Cereals and products]:[Pan, tobacco and intoxicants]])</f>
        <v>161.28571428571425</v>
      </c>
      <c r="AF294" s="12">
        <f>AVERAGE(All_India_Index_Upto_April23__1___13[[#This Row],[Household goods and services]],All_India_Index_Upto_April23__1___13[[#This Row],[Housing]])</f>
        <v>153.55000000000001</v>
      </c>
      <c r="AG294" s="12">
        <f>AVERAGE(All_India_Index_Upto_April23__1___13[[#This Row],[Miscellaneous]],All_India_Index_Upto_April23__1___13[[#This Row],[Personal care and effects]],All_India_Index_Upto_April23__1___13[[#This Row],[Education]],All_India_Index_Upto_April23__1___13[[#This Row],[Recreation and amusement]])</f>
        <v>152.77500000000001</v>
      </c>
    </row>
    <row r="295" spans="1:33" hidden="1" x14ac:dyDescent="0.3">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s="12">
        <f>AVERAGE(All_India_Index_Upto_April23__1___13[[#This Row],[Cereals and products]:[Pan, tobacco and intoxicants]])</f>
        <v>159.10714285714286</v>
      </c>
      <c r="AF295" s="12">
        <f>AVERAGE(All_India_Index_Upto_April23__1___13[[#This Row],[Household goods and services]],All_India_Index_Upto_April23__1___13[[#This Row],[Housing]])</f>
        <v>155.55000000000001</v>
      </c>
      <c r="AG295" s="12">
        <f>AVERAGE(All_India_Index_Upto_April23__1___13[[#This Row],[Miscellaneous]],All_India_Index_Upto_April23__1___13[[#This Row],[Personal care and effects]],All_India_Index_Upto_April23__1___13[[#This Row],[Education]],All_India_Index_Upto_April23__1___13[[#This Row],[Recreation and amusement]])</f>
        <v>155.1</v>
      </c>
    </row>
    <row r="296" spans="1:33" hidden="1" x14ac:dyDescent="0.3">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s="12">
        <f>'Handle Missing Value Sheet only'!$F$5</f>
        <v>139.27096774193564</v>
      </c>
      <c r="V296">
        <v>156</v>
      </c>
      <c r="W296">
        <v>155.5</v>
      </c>
      <c r="X296">
        <v>165.3</v>
      </c>
      <c r="Y296">
        <v>151.69999999999999</v>
      </c>
      <c r="Z296">
        <v>158.6</v>
      </c>
      <c r="AA296">
        <v>164.1</v>
      </c>
      <c r="AB296">
        <v>154.6</v>
      </c>
      <c r="AC296">
        <v>158</v>
      </c>
      <c r="AD296">
        <v>157.6</v>
      </c>
      <c r="AE296" s="12">
        <f>AVERAGE(All_India_Index_Upto_April23__1___13[[#This Row],[Cereals and products]:[Pan, tobacco and intoxicants]])</f>
        <v>159.73571428571429</v>
      </c>
      <c r="AF296" s="12">
        <f>AVERAGE(All_India_Index_Upto_April23__1___13[[#This Row],[Household goods and services]],All_India_Index_Upto_April23__1___13[[#This Row],[Housing]])</f>
        <v>147.38548387096782</v>
      </c>
      <c r="AG296" s="12">
        <f>AVERAGE(All_India_Index_Upto_April23__1___13[[#This Row],[Miscellaneous]],All_India_Index_Upto_April23__1___13[[#This Row],[Personal care and effects]],All_India_Index_Upto_April23__1___13[[#This Row],[Education]],All_India_Index_Upto_April23__1___13[[#This Row],[Recreation and amusement]])</f>
        <v>158.82500000000002</v>
      </c>
    </row>
    <row r="297" spans="1:33" hidden="1" x14ac:dyDescent="0.3">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s="12">
        <f>AVERAGE(All_India_Index_Upto_April23__1___13[[#This Row],[Cereals and products]:[Pan, tobacco and intoxicants]])</f>
        <v>163.14285714285714</v>
      </c>
      <c r="AF297" s="12">
        <f>AVERAGE(All_India_Index_Upto_April23__1___13[[#This Row],[Household goods and services]],All_India_Index_Upto_April23__1___13[[#This Row],[Housing]])</f>
        <v>154.5</v>
      </c>
      <c r="AG297" s="12">
        <f>AVERAGE(All_India_Index_Upto_April23__1___13[[#This Row],[Miscellaneous]],All_India_Index_Upto_April23__1___13[[#This Row],[Personal care and effects]],All_India_Index_Upto_April23__1___13[[#This Row],[Education]],All_India_Index_Upto_April23__1___13[[#This Row],[Recreation and amusement]])</f>
        <v>153.45000000000002</v>
      </c>
    </row>
    <row r="298" spans="1:33" hidden="1" x14ac:dyDescent="0.3">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s="12">
        <f>AVERAGE(All_India_Index_Upto_April23__1___13[[#This Row],[Cereals and products]:[Pan, tobacco and intoxicants]])</f>
        <v>160.92142857142858</v>
      </c>
      <c r="AF298" s="12">
        <f>AVERAGE(All_India_Index_Upto_April23__1___13[[#This Row],[Household goods and services]],All_India_Index_Upto_April23__1___13[[#This Row],[Housing]])</f>
        <v>156.60000000000002</v>
      </c>
      <c r="AG298" s="12">
        <f>AVERAGE(All_India_Index_Upto_April23__1___13[[#This Row],[Miscellaneous]],All_India_Index_Upto_April23__1___13[[#This Row],[Personal care and effects]],All_India_Index_Upto_April23__1___13[[#This Row],[Education]],All_India_Index_Upto_April23__1___13[[#This Row],[Recreation and amusement]])</f>
        <v>155.82499999999999</v>
      </c>
    </row>
    <row r="299" spans="1:33" hidden="1" x14ac:dyDescent="0.3">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s="12">
        <f>'Handle Missing Value Sheet only'!$F$5</f>
        <v>139.27096774193564</v>
      </c>
      <c r="V299">
        <v>161.69999999999999</v>
      </c>
      <c r="W299">
        <v>158.80000000000001</v>
      </c>
      <c r="X299">
        <v>169.1</v>
      </c>
      <c r="Y299">
        <v>153.19999999999999</v>
      </c>
      <c r="Z299">
        <v>160</v>
      </c>
      <c r="AA299">
        <v>167.6</v>
      </c>
      <c r="AB299">
        <v>159.30000000000001</v>
      </c>
      <c r="AC299">
        <v>161.1</v>
      </c>
      <c r="AD299">
        <v>161.1</v>
      </c>
      <c r="AE299" s="12">
        <f>AVERAGE(All_India_Index_Upto_April23__1___13[[#This Row],[Cereals and products]:[Pan, tobacco and intoxicants]])</f>
        <v>163.20714285714283</v>
      </c>
      <c r="AF299" s="12">
        <f>AVERAGE(All_India_Index_Upto_April23__1___13[[#This Row],[Household goods and services]],All_India_Index_Upto_April23__1___13[[#This Row],[Housing]])</f>
        <v>149.03548387096782</v>
      </c>
      <c r="AG299" s="12">
        <f>AVERAGE(All_India_Index_Upto_April23__1___13[[#This Row],[Miscellaneous]],All_India_Index_Upto_April23__1___13[[#This Row],[Personal care and effects]],All_India_Index_Upto_April23__1___13[[#This Row],[Education]],All_India_Index_Upto_April23__1___13[[#This Row],[Recreation and amusement]])</f>
        <v>162</v>
      </c>
    </row>
    <row r="300" spans="1:33" hidden="1" x14ac:dyDescent="0.3">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s="12">
        <f>AVERAGE(All_India_Index_Upto_April23__1___13[[#This Row],[Cereals and products]:[Pan, tobacco and intoxicants]])</f>
        <v>165.92142857142858</v>
      </c>
      <c r="AF300" s="12">
        <f>AVERAGE(All_India_Index_Upto_April23__1___13[[#This Row],[Household goods and services]],All_India_Index_Upto_April23__1___13[[#This Row],[Housing]])</f>
        <v>155.85</v>
      </c>
      <c r="AG300" s="12">
        <f>AVERAGE(All_India_Index_Upto_April23__1___13[[#This Row],[Miscellaneous]],All_India_Index_Upto_April23__1___13[[#This Row],[Personal care and effects]],All_India_Index_Upto_April23__1___13[[#This Row],[Education]],All_India_Index_Upto_April23__1___13[[#This Row],[Recreation and amusement]])</f>
        <v>154.75</v>
      </c>
    </row>
    <row r="301" spans="1:33" hidden="1" x14ac:dyDescent="0.3">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s="12">
        <f>AVERAGE(All_India_Index_Upto_April23__1___13[[#This Row],[Cereals and products]:[Pan, tobacco and intoxicants]])</f>
        <v>164.11428571428573</v>
      </c>
      <c r="AF301" s="12">
        <f>AVERAGE(All_India_Index_Upto_April23__1___13[[#This Row],[Household goods and services]],All_India_Index_Upto_April23__1___13[[#This Row],[Housing]])</f>
        <v>158.14999999999998</v>
      </c>
      <c r="AG301" s="12">
        <f>AVERAGE(All_India_Index_Upto_April23__1___13[[#This Row],[Miscellaneous]],All_India_Index_Upto_April23__1___13[[#This Row],[Personal care and effects]],All_India_Index_Upto_April23__1___13[[#This Row],[Education]],All_India_Index_Upto_April23__1___13[[#This Row],[Recreation and amusement]])</f>
        <v>158.1</v>
      </c>
    </row>
    <row r="302" spans="1:33" hidden="1" x14ac:dyDescent="0.3">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s="12">
        <f>'Handle Missing Value Sheet only'!$F$5</f>
        <v>139.27096774193564</v>
      </c>
      <c r="V302">
        <v>162.1</v>
      </c>
      <c r="W302">
        <v>159.19999999999999</v>
      </c>
      <c r="X302">
        <v>169.7</v>
      </c>
      <c r="Y302">
        <v>154.19999999999999</v>
      </c>
      <c r="Z302">
        <v>160.4</v>
      </c>
      <c r="AA302">
        <v>166.8</v>
      </c>
      <c r="AB302">
        <v>159.4</v>
      </c>
      <c r="AC302">
        <v>161.5</v>
      </c>
      <c r="AD302">
        <v>162.1</v>
      </c>
      <c r="AE302" s="12">
        <f>AVERAGE(All_India_Index_Upto_April23__1___13[[#This Row],[Cereals and products]:[Pan, tobacco and intoxicants]])</f>
        <v>165.12142857142857</v>
      </c>
      <c r="AF302" s="12">
        <f>AVERAGE(All_India_Index_Upto_April23__1___13[[#This Row],[Household goods and services]],All_India_Index_Upto_April23__1___13[[#This Row],[Housing]])</f>
        <v>149.23548387096781</v>
      </c>
      <c r="AG302" s="12">
        <f>AVERAGE(All_India_Index_Upto_April23__1___13[[#This Row],[Miscellaneous]],All_India_Index_Upto_April23__1___13[[#This Row],[Personal care and effects]],All_India_Index_Upto_April23__1___13[[#This Row],[Education]],All_India_Index_Upto_April23__1___13[[#This Row],[Recreation and amusement]])</f>
        <v>162.02500000000001</v>
      </c>
    </row>
    <row r="303" spans="1:33" hidden="1" x14ac:dyDescent="0.3">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s="12">
        <f>AVERAGE(All_India_Index_Upto_April23__1___13[[#This Row],[Cereals and products]:[Pan, tobacco and intoxicants]])</f>
        <v>167.84285714285713</v>
      </c>
      <c r="AF303" s="12">
        <f>AVERAGE(All_India_Index_Upto_April23__1___13[[#This Row],[Household goods and services]],All_India_Index_Upto_April23__1___13[[#This Row],[Housing]])</f>
        <v>155.15</v>
      </c>
      <c r="AG303" s="12">
        <f>AVERAGE(All_India_Index_Upto_April23__1___13[[#This Row],[Miscellaneous]],All_India_Index_Upto_April23__1___13[[#This Row],[Personal care and effects]],All_India_Index_Upto_April23__1___13[[#This Row],[Education]],All_India_Index_Upto_April23__1___13[[#This Row],[Recreation and amusement]])</f>
        <v>155.05000000000001</v>
      </c>
    </row>
    <row r="304" spans="1:33" hidden="1" x14ac:dyDescent="0.3">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s="12">
        <f>AVERAGE(All_India_Index_Upto_April23__1___13[[#This Row],[Cereals and products]:[Pan, tobacco and intoxicants]])</f>
        <v>166.05</v>
      </c>
      <c r="AF304" s="12">
        <f>AVERAGE(All_India_Index_Upto_April23__1___13[[#This Row],[Household goods and services]],All_India_Index_Upto_April23__1___13[[#This Row],[Housing]])</f>
        <v>157.65</v>
      </c>
      <c r="AG304" s="12">
        <f>AVERAGE(All_India_Index_Upto_April23__1___13[[#This Row],[Miscellaneous]],All_India_Index_Upto_April23__1___13[[#This Row],[Personal care and effects]],All_India_Index_Upto_April23__1___13[[#This Row],[Education]],All_India_Index_Upto_April23__1___13[[#This Row],[Recreation and amusement]])</f>
        <v>158.25</v>
      </c>
    </row>
    <row r="305" spans="1:33" hidden="1" x14ac:dyDescent="0.3">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s="12">
        <f>'Handle Missing Value Sheet only'!$F$5</f>
        <v>139.27096774193564</v>
      </c>
      <c r="V305">
        <v>162.5</v>
      </c>
      <c r="W305">
        <v>160.30000000000001</v>
      </c>
      <c r="X305">
        <v>170.4</v>
      </c>
      <c r="Y305">
        <v>157.1</v>
      </c>
      <c r="Z305">
        <v>160.69999999999999</v>
      </c>
      <c r="AA305">
        <v>167.2</v>
      </c>
      <c r="AB305">
        <v>160.4</v>
      </c>
      <c r="AC305">
        <v>162.80000000000001</v>
      </c>
      <c r="AD305">
        <v>163.19999999999999</v>
      </c>
      <c r="AE305" s="12">
        <f>AVERAGE(All_India_Index_Upto_April23__1___13[[#This Row],[Cereals and products]:[Pan, tobacco and intoxicants]])</f>
        <v>165.8642857142857</v>
      </c>
      <c r="AF305" s="12">
        <f>AVERAGE(All_India_Index_Upto_April23__1___13[[#This Row],[Household goods and services]],All_India_Index_Upto_April23__1___13[[#This Row],[Housing]])</f>
        <v>149.78548387096782</v>
      </c>
      <c r="AG305" s="12">
        <f>AVERAGE(All_India_Index_Upto_April23__1___13[[#This Row],[Miscellaneous]],All_India_Index_Upto_April23__1___13[[#This Row],[Personal care and effects]],All_India_Index_Upto_April23__1___13[[#This Row],[Education]],All_India_Index_Upto_April23__1___13[[#This Row],[Recreation and amusement]])</f>
        <v>162.77500000000001</v>
      </c>
    </row>
    <row r="306" spans="1:33" hidden="1" x14ac:dyDescent="0.3">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s="12">
        <f>AVERAGE(All_India_Index_Upto_April23__1___13[[#This Row],[Cereals and products]:[Pan, tobacco and intoxicants]])</f>
        <v>169.09285714285716</v>
      </c>
      <c r="AF306" s="12">
        <f>AVERAGE(All_India_Index_Upto_April23__1___13[[#This Row],[Household goods and services]],All_India_Index_Upto_April23__1___13[[#This Row],[Housing]])</f>
        <v>156.1</v>
      </c>
      <c r="AG306" s="12">
        <f>AVERAGE(All_India_Index_Upto_April23__1___13[[#This Row],[Miscellaneous]],All_India_Index_Upto_April23__1___13[[#This Row],[Personal care and effects]],All_India_Index_Upto_April23__1___13[[#This Row],[Education]],All_India_Index_Upto_April23__1___13[[#This Row],[Recreation and amusement]])</f>
        <v>156.52500000000001</v>
      </c>
    </row>
    <row r="307" spans="1:33" hidden="1" x14ac:dyDescent="0.3">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s="12">
        <f>AVERAGE(All_India_Index_Upto_April23__1___13[[#This Row],[Cereals and products]:[Pan, tobacco and intoxicants]])</f>
        <v>167.01428571428571</v>
      </c>
      <c r="AF307" s="12">
        <f>AVERAGE(All_India_Index_Upto_April23__1___13[[#This Row],[Household goods and services]],All_India_Index_Upto_April23__1___13[[#This Row],[Housing]])</f>
        <v>158.65</v>
      </c>
      <c r="AG307" s="12">
        <f>AVERAGE(All_India_Index_Upto_April23__1___13[[#This Row],[Miscellaneous]],All_India_Index_Upto_April23__1___13[[#This Row],[Personal care and effects]],All_India_Index_Upto_April23__1___13[[#This Row],[Education]],All_India_Index_Upto_April23__1___13[[#This Row],[Recreation and amusement]])</f>
        <v>159.4</v>
      </c>
    </row>
    <row r="308" spans="1:33" hidden="1" x14ac:dyDescent="0.3">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s="12">
        <f>'Handle Missing Value Sheet only'!$F$5</f>
        <v>139.27096774193564</v>
      </c>
      <c r="V308">
        <v>163.1</v>
      </c>
      <c r="W308">
        <v>160.9</v>
      </c>
      <c r="X308">
        <v>171.1</v>
      </c>
      <c r="Y308">
        <v>157.69999999999999</v>
      </c>
      <c r="Z308">
        <v>161.1</v>
      </c>
      <c r="AA308">
        <v>167.5</v>
      </c>
      <c r="AB308">
        <v>160.30000000000001</v>
      </c>
      <c r="AC308">
        <v>163.30000000000001</v>
      </c>
      <c r="AD308">
        <v>163.6</v>
      </c>
      <c r="AE308" s="12">
        <f>AVERAGE(All_India_Index_Upto_April23__1___13[[#This Row],[Cereals and products]:[Pan, tobacco and intoxicants]])</f>
        <v>165.78571428571428</v>
      </c>
      <c r="AF308" s="12">
        <f>AVERAGE(All_India_Index_Upto_April23__1___13[[#This Row],[Household goods and services]],All_India_Index_Upto_April23__1___13[[#This Row],[Housing]])</f>
        <v>150.08548387096783</v>
      </c>
      <c r="AG308" s="12">
        <f>AVERAGE(All_India_Index_Upto_April23__1___13[[#This Row],[Miscellaneous]],All_India_Index_Upto_April23__1___13[[#This Row],[Personal care and effects]],All_India_Index_Upto_April23__1___13[[#This Row],[Education]],All_India_Index_Upto_April23__1___13[[#This Row],[Recreation and amusement]])</f>
        <v>163.05000000000001</v>
      </c>
    </row>
    <row r="309" spans="1:33" hidden="1" x14ac:dyDescent="0.3">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s="12">
        <f>AVERAGE(All_India_Index_Upto_April23__1___13[[#This Row],[Cereals and products]:[Pan, tobacco and intoxicants]])</f>
        <v>168.17142857142858</v>
      </c>
      <c r="AF309" s="12">
        <f>AVERAGE(All_India_Index_Upto_April23__1___13[[#This Row],[Household goods and services]],All_India_Index_Upto_April23__1___13[[#This Row],[Housing]])</f>
        <v>157.64999999999998</v>
      </c>
      <c r="AG309" s="12">
        <f>AVERAGE(All_India_Index_Upto_April23__1___13[[#This Row],[Miscellaneous]],All_India_Index_Upto_April23__1___13[[#This Row],[Personal care and effects]],All_India_Index_Upto_April23__1___13[[#This Row],[Education]],All_India_Index_Upto_April23__1___13[[#This Row],[Recreation and amusement]])</f>
        <v>157.42500000000001</v>
      </c>
    </row>
    <row r="310" spans="1:33" hidden="1" x14ac:dyDescent="0.3">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s="12">
        <f>AVERAGE(All_India_Index_Upto_April23__1___13[[#This Row],[Cereals and products]:[Pan, tobacco and intoxicants]])</f>
        <v>166.72142857142856</v>
      </c>
      <c r="AF310" s="12">
        <f>AVERAGE(All_India_Index_Upto_April23__1___13[[#This Row],[Household goods and services]],All_India_Index_Upto_April23__1___13[[#This Row],[Housing]])</f>
        <v>159.80000000000001</v>
      </c>
      <c r="AG310" s="12">
        <f>AVERAGE(All_India_Index_Upto_April23__1___13[[#This Row],[Miscellaneous]],All_India_Index_Upto_April23__1___13[[#This Row],[Personal care and effects]],All_India_Index_Upto_April23__1___13[[#This Row],[Education]],All_India_Index_Upto_April23__1___13[[#This Row],[Recreation and amusement]])</f>
        <v>160.35</v>
      </c>
    </row>
    <row r="311" spans="1:33" hidden="1" x14ac:dyDescent="0.3">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s="12">
        <f>'Handle Missing Value Sheet only'!$F$5</f>
        <v>139.27096774193564</v>
      </c>
      <c r="V311">
        <v>163.69999999999999</v>
      </c>
      <c r="W311">
        <v>161.30000000000001</v>
      </c>
      <c r="X311">
        <v>171.9</v>
      </c>
      <c r="Y311">
        <v>157.80000000000001</v>
      </c>
      <c r="Z311">
        <v>162.69999999999999</v>
      </c>
      <c r="AA311">
        <v>168.5</v>
      </c>
      <c r="AB311">
        <v>160.19999999999999</v>
      </c>
      <c r="AC311">
        <v>163.80000000000001</v>
      </c>
      <c r="AD311">
        <v>164</v>
      </c>
      <c r="AE311" s="12">
        <f>AVERAGE(All_India_Index_Upto_April23__1___13[[#This Row],[Cereals and products]:[Pan, tobacco and intoxicants]])</f>
        <v>166.00714285714284</v>
      </c>
      <c r="AF311" s="12">
        <f>AVERAGE(All_India_Index_Upto_April23__1___13[[#This Row],[Household goods and services]],All_India_Index_Upto_April23__1___13[[#This Row],[Housing]])</f>
        <v>150.28548387096782</v>
      </c>
      <c r="AG311" s="12">
        <f>AVERAGE(All_India_Index_Upto_April23__1___13[[#This Row],[Miscellaneous]],All_India_Index_Upto_April23__1___13[[#This Row],[Personal care and effects]],All_India_Index_Upto_April23__1___13[[#This Row],[Education]],All_India_Index_Upto_April23__1___13[[#This Row],[Recreation and amusement]])</f>
        <v>163.80000000000001</v>
      </c>
    </row>
    <row r="312" spans="1:33" hidden="1" x14ac:dyDescent="0.3">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s="12">
        <f>AVERAGE(All_India_Index_Upto_April23__1___13[[#This Row],[Cereals and products]:[Pan, tobacco and intoxicants]])</f>
        <v>168.17142857142858</v>
      </c>
      <c r="AF312" s="12">
        <f>AVERAGE(All_India_Index_Upto_April23__1___13[[#This Row],[Household goods and services]],All_India_Index_Upto_April23__1___13[[#This Row],[Housing]])</f>
        <v>157.69999999999999</v>
      </c>
      <c r="AG312" s="12">
        <f>AVERAGE(All_India_Index_Upto_April23__1___13[[#This Row],[Miscellaneous]],All_India_Index_Upto_April23__1___13[[#This Row],[Personal care and effects]],All_India_Index_Upto_April23__1___13[[#This Row],[Education]],All_India_Index_Upto_April23__1___13[[#This Row],[Recreation and amusement]])</f>
        <v>157.45000000000002</v>
      </c>
    </row>
    <row r="313" spans="1:33" hidden="1" x14ac:dyDescent="0.3">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s="12">
        <f>AVERAGE(All_India_Index_Upto_April23__1___13[[#This Row],[Cereals and products]:[Pan, tobacco and intoxicants]])</f>
        <v>166.72142857142856</v>
      </c>
      <c r="AF313" s="12">
        <f>AVERAGE(All_India_Index_Upto_April23__1___13[[#This Row],[Household goods and services]],All_India_Index_Upto_April23__1___13[[#This Row],[Housing]])</f>
        <v>159.80000000000001</v>
      </c>
      <c r="AG313" s="12">
        <f>AVERAGE(All_India_Index_Upto_April23__1___13[[#This Row],[Miscellaneous]],All_India_Index_Upto_April23__1___13[[#This Row],[Personal care and effects]],All_India_Index_Upto_April23__1___13[[#This Row],[Education]],All_India_Index_Upto_April23__1___13[[#This Row],[Recreation and amusement]])</f>
        <v>160.35</v>
      </c>
    </row>
    <row r="314" spans="1:33" hidden="1" x14ac:dyDescent="0.3">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s="12">
        <f>'Handle Missing Value Sheet only'!$F$5</f>
        <v>139.27096774193564</v>
      </c>
      <c r="V314">
        <v>165.5</v>
      </c>
      <c r="W314">
        <v>162</v>
      </c>
      <c r="X314">
        <v>172.5</v>
      </c>
      <c r="Y314">
        <v>159.5</v>
      </c>
      <c r="Z314">
        <v>163.19999999999999</v>
      </c>
      <c r="AA314">
        <v>169</v>
      </c>
      <c r="AB314">
        <v>161.1</v>
      </c>
      <c r="AC314">
        <v>164.7</v>
      </c>
      <c r="AD314">
        <v>166.3</v>
      </c>
      <c r="AE314" s="12">
        <f>AVERAGE(All_India_Index_Upto_April23__1___13[[#This Row],[Cereals and products]:[Pan, tobacco and intoxicants]])</f>
        <v>168.2428571428571</v>
      </c>
      <c r="AF314" s="12">
        <f>AVERAGE(All_India_Index_Upto_April23__1___13[[#This Row],[Household goods and services]],All_India_Index_Upto_April23__1___13[[#This Row],[Housing]])</f>
        <v>150.63548387096782</v>
      </c>
      <c r="AG314" s="12">
        <f>AVERAGE(All_India_Index_Upto_April23__1___13[[#This Row],[Miscellaneous]],All_India_Index_Upto_April23__1___13[[#This Row],[Personal care and effects]],All_India_Index_Upto_April23__1___13[[#This Row],[Education]],All_India_Index_Upto_April23__1___13[[#This Row],[Recreation and amusement]])</f>
        <v>164.5</v>
      </c>
    </row>
    <row r="315" spans="1:33" hidden="1" x14ac:dyDescent="0.3">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s="12">
        <f>AVERAGE(All_India_Index_Upto_April23__1___13[[#This Row],[Cereals and products]:[Pan, tobacco and intoxicants]])</f>
        <v>171.10000000000005</v>
      </c>
      <c r="AF315" s="12">
        <f>AVERAGE(All_India_Index_Upto_April23__1___13[[#This Row],[Household goods and services]],All_India_Index_Upto_April23__1___13[[#This Row],[Housing]])</f>
        <v>158.94999999999999</v>
      </c>
      <c r="AG315" s="12">
        <f>AVERAGE(All_India_Index_Upto_April23__1___13[[#This Row],[Miscellaneous]],All_India_Index_Upto_April23__1___13[[#This Row],[Personal care and effects]],All_India_Index_Upto_April23__1___13[[#This Row],[Education]],All_India_Index_Upto_April23__1___13[[#This Row],[Recreation and amusement]])</f>
        <v>158.17500000000001</v>
      </c>
    </row>
    <row r="316" spans="1:33" hidden="1" x14ac:dyDescent="0.3">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s="12">
        <f>AVERAGE(All_India_Index_Upto_April23__1___13[[#This Row],[Cereals and products]:[Pan, tobacco and intoxicants]])</f>
        <v>169.15714285714284</v>
      </c>
      <c r="AF316" s="12">
        <f>AVERAGE(All_India_Index_Upto_April23__1___13[[#This Row],[Household goods and services]],All_India_Index_Upto_April23__1___13[[#This Row],[Housing]])</f>
        <v>161</v>
      </c>
      <c r="AG316" s="12">
        <f>AVERAGE(All_India_Index_Upto_April23__1___13[[#This Row],[Miscellaneous]],All_India_Index_Upto_April23__1___13[[#This Row],[Personal care and effects]],All_India_Index_Upto_April23__1___13[[#This Row],[Education]],All_India_Index_Upto_April23__1___13[[#This Row],[Recreation and amusement]])</f>
        <v>161.07500000000002</v>
      </c>
    </row>
    <row r="317" spans="1:33" hidden="1"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s="12">
        <f>'Handle Missing Value Sheet only'!$F$5</f>
        <v>139.27096774193564</v>
      </c>
      <c r="V317">
        <v>165.3</v>
      </c>
      <c r="W317">
        <v>162.9</v>
      </c>
      <c r="X317">
        <v>173.4</v>
      </c>
      <c r="Y317">
        <v>158.9</v>
      </c>
      <c r="Z317">
        <v>163.80000000000001</v>
      </c>
      <c r="AA317">
        <v>169.3</v>
      </c>
      <c r="AB317">
        <v>162.4</v>
      </c>
      <c r="AC317">
        <v>165.2</v>
      </c>
      <c r="AD317">
        <v>167.6</v>
      </c>
      <c r="AE317" s="12">
        <f>AVERAGE(All_India_Index_Upto_April23__1___13[[#This Row],[Cereals and products]:[Pan, tobacco and intoxicants]])</f>
        <v>169.52857142857144</v>
      </c>
      <c r="AF317" s="12">
        <f>AVERAGE(All_India_Index_Upto_April23__1___13[[#This Row],[Household goods and services]],All_India_Index_Upto_April23__1___13[[#This Row],[Housing]])</f>
        <v>151.08548387096783</v>
      </c>
      <c r="AG317" s="12">
        <f>AVERAGE(All_India_Index_Upto_April23__1___13[[#This Row],[Miscellaneous]],All_India_Index_Upto_April23__1___13[[#This Row],[Personal care and effects]],All_India_Index_Upto_April23__1___13[[#This Row],[Education]],All_India_Index_Upto_April23__1___13[[#This Row],[Recreation and amusement]])</f>
        <v>165.17500000000001</v>
      </c>
    </row>
    <row r="318" spans="1:33" hidden="1" x14ac:dyDescent="0.3">
      <c r="A318" t="s">
        <v>32</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s="12">
        <f>AVERAGE(All_India_Index_Upto_April23__1___13[[#This Row],[Cereals and products]:[Pan, tobacco and intoxicants]])</f>
        <v>172.4928571428571</v>
      </c>
      <c r="AF318" s="12">
        <f>AVERAGE(All_India_Index_Upto_April23__1___13[[#This Row],[Household goods and services]],All_India_Index_Upto_April23__1___13[[#This Row],[Housing]])</f>
        <v>159.69999999999999</v>
      </c>
      <c r="AG318" s="12">
        <f>AVERAGE(All_India_Index_Upto_April23__1___13[[#This Row],[Miscellaneous]],All_India_Index_Upto_April23__1___13[[#This Row],[Personal care and effects]],All_India_Index_Upto_April23__1___13[[#This Row],[Education]],All_India_Index_Upto_April23__1___13[[#This Row],[Recreation and amusement]])</f>
        <v>159.15</v>
      </c>
    </row>
    <row r="319" spans="1:33" hidden="1" x14ac:dyDescent="0.3">
      <c r="A319" t="s">
        <v>33</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s="12">
        <f>AVERAGE(All_India_Index_Upto_April23__1___13[[#This Row],[Cereals and products]:[Pan, tobacco and intoxicants]])</f>
        <v>170.5</v>
      </c>
      <c r="AF319" s="12">
        <f>AVERAGE(All_India_Index_Upto_April23__1___13[[#This Row],[Household goods and services]],All_India_Index_Upto_April23__1___13[[#This Row],[Housing]])</f>
        <v>161.75</v>
      </c>
      <c r="AG319" s="12">
        <f>AVERAGE(All_India_Index_Upto_April23__1___13[[#This Row],[Miscellaneous]],All_India_Index_Upto_April23__1___13[[#This Row],[Personal care and effects]],All_India_Index_Upto_April23__1___13[[#This Row],[Education]],All_India_Index_Upto_April23__1___13[[#This Row],[Recreation and amusement]])</f>
        <v>161.92500000000001</v>
      </c>
    </row>
    <row r="320" spans="1:33" hidden="1"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s="12">
        <f>'Handle Missing Value Sheet only'!$F$5</f>
        <v>139.27096774193564</v>
      </c>
      <c r="V320">
        <v>165.6</v>
      </c>
      <c r="W320">
        <v>163.9</v>
      </c>
      <c r="X320">
        <v>174</v>
      </c>
      <c r="Y320">
        <v>160.1</v>
      </c>
      <c r="Z320">
        <v>164.5</v>
      </c>
      <c r="AA320">
        <v>169.7</v>
      </c>
      <c r="AB320">
        <v>162.80000000000001</v>
      </c>
      <c r="AC320">
        <v>166</v>
      </c>
      <c r="AD320">
        <v>167</v>
      </c>
      <c r="AE320" s="12">
        <f>AVERAGE(All_India_Index_Upto_April23__1___13[[#This Row],[Cereals and products]:[Pan, tobacco and intoxicants]])</f>
        <v>168.5</v>
      </c>
      <c r="AF320" s="12">
        <f>AVERAGE(All_India_Index_Upto_April23__1___13[[#This Row],[Household goods and services]],All_India_Index_Upto_April23__1___13[[#This Row],[Housing]])</f>
        <v>151.58548387096783</v>
      </c>
      <c r="AG320" s="12">
        <f>AVERAGE(All_India_Index_Upto_April23__1___13[[#This Row],[Miscellaneous]],All_India_Index_Upto_April23__1___13[[#This Row],[Personal care and effects]],All_India_Index_Upto_April23__1___13[[#This Row],[Education]],All_India_Index_Upto_April23__1___13[[#This Row],[Recreation and amusement]])</f>
        <v>165.75</v>
      </c>
    </row>
    <row r="321" spans="1:33" hidden="1" x14ac:dyDescent="0.3">
      <c r="A321" t="s">
        <v>32</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s="12">
        <f>AVERAGE(All_India_Index_Upto_April23__1___13[[#This Row],[Cereals and products]:[Pan, tobacco and intoxicants]])</f>
        <v>171.65000000000003</v>
      </c>
      <c r="AF321" s="12">
        <f>AVERAGE(All_India_Index_Upto_April23__1___13[[#This Row],[Household goods and services]],All_India_Index_Upto_April23__1___13[[#This Row],[Housing]])</f>
        <v>159.69999999999999</v>
      </c>
      <c r="AG321" s="12">
        <f>AVERAGE(All_India_Index_Upto_April23__1___13[[#This Row],[Miscellaneous]],All_India_Index_Upto_April23__1___13[[#This Row],[Personal care and effects]],All_India_Index_Upto_April23__1___13[[#This Row],[Education]],All_India_Index_Upto_April23__1___13[[#This Row],[Recreation and amusement]])</f>
        <v>159.60000000000002</v>
      </c>
    </row>
    <row r="322" spans="1:33" hidden="1" x14ac:dyDescent="0.3">
      <c r="A322" t="s">
        <v>33</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s="12">
        <f>AVERAGE(All_India_Index_Upto_April23__1___13[[#This Row],[Cereals and products]:[Pan, tobacco and intoxicants]])</f>
        <v>169.52142857142857</v>
      </c>
      <c r="AF322" s="12">
        <f>AVERAGE(All_India_Index_Upto_April23__1___13[[#This Row],[Household goods and services]],All_India_Index_Upto_April23__1___13[[#This Row],[Housing]])</f>
        <v>161.80000000000001</v>
      </c>
      <c r="AG322" s="12">
        <f>AVERAGE(All_India_Index_Upto_April23__1___13[[#This Row],[Miscellaneous]],All_India_Index_Upto_April23__1___13[[#This Row],[Personal care and effects]],All_India_Index_Upto_April23__1___13[[#This Row],[Education]],All_India_Index_Upto_April23__1___13[[#This Row],[Recreation and amusement]])</f>
        <v>162.4</v>
      </c>
    </row>
    <row r="323" spans="1:33"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s="12">
        <f>'Handle Missing Value Sheet only'!$F$5</f>
        <v>139.27096774193564</v>
      </c>
      <c r="V323">
        <v>165.8</v>
      </c>
      <c r="W323">
        <v>164.9</v>
      </c>
      <c r="X323">
        <v>174.7</v>
      </c>
      <c r="Y323">
        <v>160.80000000000001</v>
      </c>
      <c r="Z323">
        <v>164.9</v>
      </c>
      <c r="AA323">
        <v>169.9</v>
      </c>
      <c r="AB323">
        <v>163.19999999999999</v>
      </c>
      <c r="AC323">
        <v>166.6</v>
      </c>
      <c r="AD323">
        <v>166.4</v>
      </c>
      <c r="AE323" s="12">
        <f>AVERAGE(All_India_Index_Upto_April23__1___13[[#This Row],[Cereals and products]:[Pan, tobacco and intoxicants]])</f>
        <v>167.40714285714284</v>
      </c>
      <c r="AF323" s="12">
        <f>AVERAGE(All_India_Index_Upto_April23__1___13[[#This Row],[Household goods and services]],All_India_Index_Upto_April23__1___13[[#This Row],[Housing]])</f>
        <v>152.08548387096783</v>
      </c>
      <c r="AG323" s="12">
        <f>AVERAGE(All_India_Index_Upto_April23__1___13[[#This Row],[Miscellaneous]],All_India_Index_Upto_April23__1___13[[#This Row],[Personal care and effects]],All_India_Index_Upto_April23__1___13[[#This Row],[Education]],All_India_Index_Upto_April23__1___13[[#This Row],[Recreation and amusement]])</f>
        <v>166.14999999999998</v>
      </c>
    </row>
    <row r="324" spans="1:33" x14ac:dyDescent="0.3">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s="12">
        <f>AVERAGE(All_India_Index_Upto_April23__1___13[[#This Row],[Cereals and products]:[Pan, tobacco and intoxicants]])</f>
        <v>170.22142857142856</v>
      </c>
      <c r="AF324" s="12">
        <f>AVERAGE(All_India_Index_Upto_April23__1___13[[#This Row],[Household goods and services]],All_India_Index_Upto_April23__1___13[[#This Row],[Housing]])</f>
        <v>160.65</v>
      </c>
      <c r="AG324" s="12">
        <f>AVERAGE(All_India_Index_Upto_April23__1___13[[#This Row],[Miscellaneous]],All_India_Index_Upto_April23__1___13[[#This Row],[Personal care and effects]],All_India_Index_Upto_April23__1___13[[#This Row],[Education]],All_India_Index_Upto_April23__1___13[[#This Row],[Recreation and amusement]])</f>
        <v>160.19999999999999</v>
      </c>
    </row>
    <row r="325" spans="1:33" x14ac:dyDescent="0.3">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s="12">
        <f>AVERAGE(All_India_Index_Upto_April23__1___13[[#This Row],[Cereals and products]:[Pan, tobacco and intoxicants]])</f>
        <v>168.31428571428569</v>
      </c>
      <c r="AF325" s="12">
        <f>AVERAGE(All_India_Index_Upto_April23__1___13[[#This Row],[Household goods and services]],All_India_Index_Upto_April23__1___13[[#This Row],[Housing]])</f>
        <v>162.80000000000001</v>
      </c>
      <c r="AG325" s="12">
        <f>AVERAGE(All_India_Index_Upto_April23__1___13[[#This Row],[Miscellaneous]],All_India_Index_Upto_April23__1___13[[#This Row],[Personal care and effects]],All_India_Index_Upto_April23__1___13[[#This Row],[Education]],All_India_Index_Upto_April23__1___13[[#This Row],[Recreation and amusement]])</f>
        <v>162.89999999999998</v>
      </c>
    </row>
    <row r="326" spans="1:33" x14ac:dyDescent="0.3">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s="12">
        <f>'Handle Missing Value Sheet only'!$F$5</f>
        <v>139.27096774193564</v>
      </c>
      <c r="V326">
        <v>167.4</v>
      </c>
      <c r="W326">
        <v>165.7</v>
      </c>
      <c r="X326">
        <v>175.3</v>
      </c>
      <c r="Y326">
        <v>161.19999999999999</v>
      </c>
      <c r="Z326">
        <v>165.5</v>
      </c>
      <c r="AA326">
        <v>170.3</v>
      </c>
      <c r="AB326">
        <v>164.5</v>
      </c>
      <c r="AC326">
        <v>167.3</v>
      </c>
      <c r="AD326">
        <v>166.7</v>
      </c>
      <c r="AE326" s="12">
        <f>AVERAGE(All_India_Index_Upto_April23__1___13[[#This Row],[Cereals and products]:[Pan, tobacco and intoxicants]])</f>
        <v>167.27857142857144</v>
      </c>
      <c r="AF326" s="12">
        <f>AVERAGE(All_India_Index_Upto_April23__1___13[[#This Row],[Household goods and services]],All_India_Index_Upto_April23__1___13[[#This Row],[Housing]])</f>
        <v>152.48548387096781</v>
      </c>
      <c r="AG326" s="12">
        <f>AVERAGE(All_India_Index_Upto_April23__1___13[[#This Row],[Miscellaneous]],All_India_Index_Upto_April23__1___13[[#This Row],[Personal care and effects]],All_India_Index_Upto_April23__1___13[[#This Row],[Education]],All_India_Index_Upto_April23__1___13[[#This Row],[Recreation and amusement]])</f>
        <v>166.9</v>
      </c>
    </row>
    <row r="327" spans="1:33" x14ac:dyDescent="0.3">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s="12">
        <f>AVERAGE(All_India_Index_Upto_April23__1___13[[#This Row],[Cereals and products]:[Pan, tobacco and intoxicants]])</f>
        <v>170</v>
      </c>
      <c r="AF327" s="12">
        <f>AVERAGE(All_India_Index_Upto_April23__1___13[[#This Row],[Household goods and services]],All_India_Index_Upto_April23__1___13[[#This Row],[Housing]])</f>
        <v>161.44999999999999</v>
      </c>
      <c r="AG327" s="12">
        <f>AVERAGE(All_India_Index_Upto_April23__1___13[[#This Row],[Miscellaneous]],All_India_Index_Upto_April23__1___13[[#This Row],[Personal care and effects]],All_India_Index_Upto_April23__1___13[[#This Row],[Education]],All_India_Index_Upto_April23__1___13[[#This Row],[Recreation and amusement]])</f>
        <v>161.27500000000001</v>
      </c>
    </row>
    <row r="328" spans="1:33" x14ac:dyDescent="0.3">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s="12">
        <f>AVERAGE(All_India_Index_Upto_April23__1___13[[#This Row],[Cereals and products]:[Pan, tobacco and intoxicants]])</f>
        <v>168.14285714285717</v>
      </c>
      <c r="AF328" s="12">
        <f>AVERAGE(All_India_Index_Upto_April23__1___13[[#This Row],[Household goods and services]],All_India_Index_Upto_April23__1___13[[#This Row],[Housing]])</f>
        <v>163.65</v>
      </c>
      <c r="AG328" s="12">
        <f>AVERAGE(All_India_Index_Upto_April23__1___13[[#This Row],[Miscellaneous]],All_India_Index_Upto_April23__1___13[[#This Row],[Personal care and effects]],All_India_Index_Upto_April23__1___13[[#This Row],[Education]],All_India_Index_Upto_April23__1___13[[#This Row],[Recreation and amusement]])</f>
        <v>163.85</v>
      </c>
    </row>
    <row r="329" spans="1:33" x14ac:dyDescent="0.3">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s="12">
        <f>'Handle Missing Value Sheet only'!$F$5</f>
        <v>139.27096774193564</v>
      </c>
      <c r="V329">
        <v>168.9</v>
      </c>
      <c r="W329">
        <v>166.5</v>
      </c>
      <c r="X329">
        <v>176</v>
      </c>
      <c r="Y329">
        <v>162</v>
      </c>
      <c r="Z329">
        <v>166.6</v>
      </c>
      <c r="AA329">
        <v>170.6</v>
      </c>
      <c r="AB329">
        <v>167.4</v>
      </c>
      <c r="AC329">
        <v>168.3</v>
      </c>
      <c r="AD329">
        <v>168.7</v>
      </c>
      <c r="AE329" s="12">
        <f>AVERAGE(All_India_Index_Upto_April23__1___13[[#This Row],[Cereals and products]:[Pan, tobacco and intoxicants]])</f>
        <v>169.38571428571433</v>
      </c>
      <c r="AF329" s="12">
        <f>AVERAGE(All_India_Index_Upto_April23__1___13[[#This Row],[Household goods and services]],All_India_Index_Upto_April23__1___13[[#This Row],[Housing]])</f>
        <v>152.88548387096782</v>
      </c>
      <c r="AG329" s="12">
        <f>AVERAGE(All_India_Index_Upto_April23__1___13[[#This Row],[Miscellaneous]],All_India_Index_Upto_April23__1___13[[#This Row],[Personal care and effects]],All_India_Index_Upto_April23__1___13[[#This Row],[Education]],All_India_Index_Upto_April23__1___13[[#This Row],[Recreation and amusement]])</f>
        <v>168.22500000000002</v>
      </c>
    </row>
    <row r="330" spans="1:33" x14ac:dyDescent="0.3">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s="12">
        <f>AVERAGE(All_India_Index_Upto_April23__1___13[[#This Row],[Cereals and products]:[Pan, tobacco and intoxicants]])</f>
        <v>170.98571428571429</v>
      </c>
      <c r="AF330" s="12">
        <f>AVERAGE(All_India_Index_Upto_April23__1___13[[#This Row],[Household goods and services]],All_India_Index_Upto_April23__1___13[[#This Row],[Housing]])</f>
        <v>161.94999999999999</v>
      </c>
      <c r="AG330" s="12">
        <f>AVERAGE(All_India_Index_Upto_April23__1___13[[#This Row],[Miscellaneous]],All_India_Index_Upto_April23__1___13[[#This Row],[Personal care and effects]],All_India_Index_Upto_April23__1___13[[#This Row],[Education]],All_India_Index_Upto_April23__1___13[[#This Row],[Recreation and amusement]])</f>
        <v>162.72499999999999</v>
      </c>
    </row>
    <row r="331" spans="1:33" x14ac:dyDescent="0.3">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s="12">
        <f>AVERAGE(All_India_Index_Upto_April23__1___13[[#This Row],[Cereals and products]:[Pan, tobacco and intoxicants]])</f>
        <v>169.85</v>
      </c>
      <c r="AF331" s="12">
        <f>AVERAGE(All_India_Index_Upto_April23__1___13[[#This Row],[Household goods and services]],All_India_Index_Upto_April23__1___13[[#This Row],[Housing]])</f>
        <v>164.05</v>
      </c>
      <c r="AG331" s="12">
        <f>AVERAGE(All_India_Index_Upto_April23__1___13[[#This Row],[Miscellaneous]],All_India_Index_Upto_April23__1___13[[#This Row],[Personal care and effects]],All_India_Index_Upto_April23__1___13[[#This Row],[Education]],All_India_Index_Upto_April23__1___13[[#This Row],[Recreation and amusement]])</f>
        <v>165.27499999999998</v>
      </c>
    </row>
    <row r="332" spans="1:33" x14ac:dyDescent="0.3">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s="12">
        <f>'Handle Missing Value Sheet only'!$F$5</f>
        <v>139.27096774193564</v>
      </c>
      <c r="V332">
        <v>173.3</v>
      </c>
      <c r="W332">
        <v>167.7</v>
      </c>
      <c r="X332">
        <v>177</v>
      </c>
      <c r="Y332">
        <v>166.2</v>
      </c>
      <c r="Z332">
        <v>167.2</v>
      </c>
      <c r="AA332">
        <v>170.9</v>
      </c>
      <c r="AB332">
        <v>169</v>
      </c>
      <c r="AC332">
        <v>170.2</v>
      </c>
      <c r="AD332">
        <v>170.8</v>
      </c>
      <c r="AE332" s="12">
        <f>AVERAGE(All_India_Index_Upto_April23__1___13[[#This Row],[Cereals and products]:[Pan, tobacco and intoxicants]])</f>
        <v>171.3857142857143</v>
      </c>
      <c r="AF332" s="12">
        <f>AVERAGE(All_India_Index_Upto_April23__1___13[[#This Row],[Household goods and services]],All_India_Index_Upto_April23__1___13[[#This Row],[Housing]])</f>
        <v>153.48548387096781</v>
      </c>
      <c r="AG332" s="12">
        <f>AVERAGE(All_India_Index_Upto_April23__1___13[[#This Row],[Miscellaneous]],All_India_Index_Upto_April23__1___13[[#This Row],[Personal care and effects]],All_India_Index_Upto_April23__1___13[[#This Row],[Education]],All_India_Index_Upto_April23__1___13[[#This Row],[Recreation and amusement]])</f>
        <v>169.32499999999999</v>
      </c>
    </row>
    <row r="333" spans="1:33" x14ac:dyDescent="0.3">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s="12">
        <f>AVERAGE(All_India_Index_Upto_April23__1___13[[#This Row],[Cereals and products]:[Pan, tobacco and intoxicants]])</f>
        <v>173.39285714285714</v>
      </c>
      <c r="AF333" s="12">
        <f>AVERAGE(All_India_Index_Upto_April23__1___13[[#This Row],[Household goods and services]],All_India_Index_Upto_April23__1___13[[#This Row],[Housing]])</f>
        <v>163.4</v>
      </c>
      <c r="AG333" s="12">
        <f>AVERAGE(All_India_Index_Upto_April23__1___13[[#This Row],[Miscellaneous]],All_India_Index_Upto_April23__1___13[[#This Row],[Personal care and effects]],All_India_Index_Upto_April23__1___13[[#This Row],[Education]],All_India_Index_Upto_April23__1___13[[#This Row],[Recreation and amusement]])</f>
        <v>164.42500000000001</v>
      </c>
    </row>
    <row r="334" spans="1:33" x14ac:dyDescent="0.3">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s="12">
        <f>AVERAGE(All_India_Index_Upto_April23__1___13[[#This Row],[Cereals and products]:[Pan, tobacco and intoxicants]])</f>
        <v>172.01428571428573</v>
      </c>
      <c r="AF334" s="12">
        <f>AVERAGE(All_India_Index_Upto_April23__1___13[[#This Row],[Household goods and services]],All_India_Index_Upto_April23__1___13[[#This Row],[Housing]])</f>
        <v>165.5</v>
      </c>
      <c r="AG334" s="12">
        <f>AVERAGE(All_India_Index_Upto_April23__1___13[[#This Row],[Miscellaneous]],All_India_Index_Upto_April23__1___13[[#This Row],[Personal care and effects]],All_India_Index_Upto_April23__1___13[[#This Row],[Education]],All_India_Index_Upto_April23__1___13[[#This Row],[Recreation and amusement]])</f>
        <v>166.72499999999999</v>
      </c>
    </row>
    <row r="335" spans="1:33" x14ac:dyDescent="0.3">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s="12">
        <f>'Handle Missing Value Sheet only'!$F$5</f>
        <v>139.27096774193564</v>
      </c>
      <c r="V335">
        <v>175.3</v>
      </c>
      <c r="W335">
        <v>168.9</v>
      </c>
      <c r="X335">
        <v>177.7</v>
      </c>
      <c r="Y335">
        <v>167.1</v>
      </c>
      <c r="Z335">
        <v>167.6</v>
      </c>
      <c r="AA335">
        <v>171.8</v>
      </c>
      <c r="AB335">
        <v>168.5</v>
      </c>
      <c r="AC335">
        <v>170.9</v>
      </c>
      <c r="AD335">
        <v>172.5</v>
      </c>
      <c r="AE335" s="12">
        <f>AVERAGE(All_India_Index_Upto_April23__1___13[[#This Row],[Cereals and products]:[Pan, tobacco and intoxicants]])</f>
        <v>172.83571428571432</v>
      </c>
      <c r="AF335" s="12">
        <f>AVERAGE(All_India_Index_Upto_April23__1___13[[#This Row],[Household goods and services]],All_India_Index_Upto_April23__1___13[[#This Row],[Housing]])</f>
        <v>154.08548387096783</v>
      </c>
      <c r="AG335" s="12">
        <f>AVERAGE(All_India_Index_Upto_April23__1___13[[#This Row],[Miscellaneous]],All_India_Index_Upto_April23__1___13[[#This Row],[Personal care and effects]],All_India_Index_Upto_April23__1___13[[#This Row],[Education]],All_India_Index_Upto_April23__1___13[[#This Row],[Recreation and amusement]])</f>
        <v>169.7</v>
      </c>
    </row>
    <row r="336" spans="1:33" x14ac:dyDescent="0.3">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s="12">
        <f>AVERAGE(All_India_Index_Upto_April23__1___13[[#This Row],[Cereals and products]:[Pan, tobacco and intoxicants]])</f>
        <v>175.69285714285715</v>
      </c>
      <c r="AF336" s="12">
        <f>AVERAGE(All_India_Index_Upto_April23__1___13[[#This Row],[Household goods and services]],All_India_Index_Upto_April23__1___13[[#This Row],[Housing]])</f>
        <v>164.3</v>
      </c>
      <c r="AG336" s="12">
        <f>AVERAGE(All_India_Index_Upto_April23__1___13[[#This Row],[Miscellaneous]],All_India_Index_Upto_April23__1___13[[#This Row],[Personal care and effects]],All_India_Index_Upto_April23__1___13[[#This Row],[Education]],All_India_Index_Upto_April23__1___13[[#This Row],[Recreation and amusement]])</f>
        <v>165.1</v>
      </c>
    </row>
    <row r="337" spans="1:33" x14ac:dyDescent="0.3">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s="12">
        <f>AVERAGE(All_India_Index_Upto_April23__1___13[[#This Row],[Cereals and products]:[Pan, tobacco and intoxicants]])</f>
        <v>173.78571428571431</v>
      </c>
      <c r="AF337" s="12">
        <f>AVERAGE(All_India_Index_Upto_April23__1___13[[#This Row],[Household goods and services]],All_India_Index_Upto_April23__1___13[[#This Row],[Housing]])</f>
        <v>166.35</v>
      </c>
      <c r="AG337" s="12">
        <f>AVERAGE(All_India_Index_Upto_April23__1___13[[#This Row],[Miscellaneous]],All_India_Index_Upto_April23__1___13[[#This Row],[Personal care and effects]],All_India_Index_Upto_April23__1___13[[#This Row],[Education]],All_India_Index_Upto_April23__1___13[[#This Row],[Recreation and amusement]])</f>
        <v>167.22499999999999</v>
      </c>
    </row>
    <row r="338" spans="1:33" x14ac:dyDescent="0.3">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s="12">
        <f>'Handle Missing Value Sheet only'!$F$5</f>
        <v>139.27096774193564</v>
      </c>
      <c r="V338">
        <v>176.7</v>
      </c>
      <c r="W338">
        <v>170.3</v>
      </c>
      <c r="X338">
        <v>178.2</v>
      </c>
      <c r="Y338">
        <v>165.5</v>
      </c>
      <c r="Z338">
        <v>168</v>
      </c>
      <c r="AA338">
        <v>172.6</v>
      </c>
      <c r="AB338">
        <v>169.5</v>
      </c>
      <c r="AC338">
        <v>171</v>
      </c>
      <c r="AD338">
        <v>173.6</v>
      </c>
      <c r="AE338" s="12">
        <f>AVERAGE(All_India_Index_Upto_April23__1___13[[#This Row],[Cereals and products]:[Pan, tobacco and intoxicants]])</f>
        <v>174.37142857142859</v>
      </c>
      <c r="AF338" s="12">
        <f>AVERAGE(All_India_Index_Upto_April23__1___13[[#This Row],[Household goods and services]],All_India_Index_Upto_April23__1___13[[#This Row],[Housing]])</f>
        <v>154.78548387096782</v>
      </c>
      <c r="AG338" s="12">
        <f>AVERAGE(All_India_Index_Upto_April23__1___13[[#This Row],[Miscellaneous]],All_India_Index_Upto_April23__1___13[[#This Row],[Personal care and effects]],All_India_Index_Upto_April23__1___13[[#This Row],[Education]],All_India_Index_Upto_April23__1___13[[#This Row],[Recreation and amusement]])</f>
        <v>170.27500000000001</v>
      </c>
    </row>
    <row r="339" spans="1:33" x14ac:dyDescent="0.3">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s="12">
        <f>AVERAGE(All_India_Index_Upto_April23__1___13[[#This Row],[Cereals and products]:[Pan, tobacco and intoxicants]])</f>
        <v>177.55714285714288</v>
      </c>
      <c r="AF339" s="12">
        <f>AVERAGE(All_India_Index_Upto_April23__1___13[[#This Row],[Household goods and services]],All_India_Index_Upto_April23__1___13[[#This Row],[Housing]])</f>
        <v>164.45</v>
      </c>
      <c r="AG339" s="12">
        <f>AVERAGE(All_India_Index_Upto_April23__1___13[[#This Row],[Miscellaneous]],All_India_Index_Upto_April23__1___13[[#This Row],[Personal care and effects]],All_India_Index_Upto_April23__1___13[[#This Row],[Education]],All_India_Index_Upto_April23__1___13[[#This Row],[Recreation and amusement]])</f>
        <v>165.9</v>
      </c>
    </row>
    <row r="340" spans="1:33" x14ac:dyDescent="0.3">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s="12">
        <f>AVERAGE(All_India_Index_Upto_April23__1___13[[#This Row],[Cereals and products]:[Pan, tobacco and intoxicants]])</f>
        <v>175.44285714285715</v>
      </c>
      <c r="AF340" s="12">
        <f>AVERAGE(All_India_Index_Upto_April23__1___13[[#This Row],[Household goods and services]],All_India_Index_Upto_April23__1___13[[#This Row],[Housing]])</f>
        <v>166.60000000000002</v>
      </c>
      <c r="AG340" s="12">
        <f>AVERAGE(All_India_Index_Upto_April23__1___13[[#This Row],[Miscellaneous]],All_India_Index_Upto_April23__1___13[[#This Row],[Personal care and effects]],All_India_Index_Upto_April23__1___13[[#This Row],[Education]],All_India_Index_Upto_April23__1___13[[#This Row],[Recreation and amusement]])</f>
        <v>167.92500000000001</v>
      </c>
    </row>
    <row r="341" spans="1:33" x14ac:dyDescent="0.3">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s="12">
        <f>'Handle Missing Value Sheet only'!$F$5</f>
        <v>139.27096774193564</v>
      </c>
      <c r="V341">
        <v>179.6</v>
      </c>
      <c r="W341">
        <v>171.3</v>
      </c>
      <c r="X341">
        <v>178.8</v>
      </c>
      <c r="Y341">
        <v>166.3</v>
      </c>
      <c r="Z341">
        <v>168.6</v>
      </c>
      <c r="AA341">
        <v>174.7</v>
      </c>
      <c r="AB341">
        <v>169.7</v>
      </c>
      <c r="AC341">
        <v>171.8</v>
      </c>
      <c r="AD341">
        <v>174.3</v>
      </c>
      <c r="AE341" s="12">
        <f>AVERAGE(All_India_Index_Upto_April23__1___13[[#This Row],[Cereals and products]:[Pan, tobacco and intoxicants]])</f>
        <v>174.69285714285712</v>
      </c>
      <c r="AF341" s="12">
        <f>AVERAGE(All_India_Index_Upto_April23__1___13[[#This Row],[Household goods and services]],All_India_Index_Upto_April23__1___13[[#This Row],[Housing]])</f>
        <v>155.28548387096782</v>
      </c>
      <c r="AG341" s="12">
        <f>AVERAGE(All_India_Index_Upto_April23__1___13[[#This Row],[Miscellaneous]],All_India_Index_Upto_April23__1___13[[#This Row],[Personal care and effects]],All_India_Index_Upto_April23__1___13[[#This Row],[Education]],All_India_Index_Upto_April23__1___13[[#This Row],[Recreation and amusement]])</f>
        <v>171.20000000000002</v>
      </c>
    </row>
    <row r="342" spans="1:33" x14ac:dyDescent="0.3">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s="12">
        <f>AVERAGE(All_India_Index_Upto_April23__1___13[[#This Row],[Cereals and products]:[Pan, tobacco and intoxicants]])</f>
        <v>177.87142857142857</v>
      </c>
      <c r="AF342" s="12">
        <f>AVERAGE(All_India_Index_Upto_April23__1___13[[#This Row],[Household goods and services]],All_India_Index_Upto_April23__1___13[[#This Row],[Housing]])</f>
        <v>165.45</v>
      </c>
      <c r="AG342" s="12">
        <f>AVERAGE(All_India_Index_Upto_April23__1___13[[#This Row],[Miscellaneous]],All_India_Index_Upto_April23__1___13[[#This Row],[Personal care and effects]],All_India_Index_Upto_April23__1___13[[#This Row],[Education]],All_India_Index_Upto_April23__1___13[[#This Row],[Recreation and amusement]])</f>
        <v>167.05</v>
      </c>
    </row>
    <row r="343" spans="1:33" x14ac:dyDescent="0.3">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s="12">
        <f>AVERAGE(All_India_Index_Upto_April23__1___13[[#This Row],[Cereals and products]:[Pan, tobacco and intoxicants]])</f>
        <v>175.77857142857144</v>
      </c>
      <c r="AF343" s="12">
        <f>AVERAGE(All_India_Index_Upto_April23__1___13[[#This Row],[Household goods and services]],All_India_Index_Upto_April23__1___13[[#This Row],[Housing]])</f>
        <v>167.60000000000002</v>
      </c>
      <c r="AG343" s="12">
        <f>AVERAGE(All_India_Index_Upto_April23__1___13[[#This Row],[Miscellaneous]],All_India_Index_Upto_April23__1___13[[#This Row],[Personal care and effects]],All_India_Index_Upto_April23__1___13[[#This Row],[Education]],All_India_Index_Upto_April23__1___13[[#This Row],[Recreation and amusement]])</f>
        <v>168.95</v>
      </c>
    </row>
    <row r="344" spans="1:33" x14ac:dyDescent="0.3">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s="12">
        <f>'Handle Missing Value Sheet only'!$F$5</f>
        <v>139.27096774193564</v>
      </c>
      <c r="V344">
        <v>179.1</v>
      </c>
      <c r="W344">
        <v>172.3</v>
      </c>
      <c r="X344">
        <v>179.4</v>
      </c>
      <c r="Y344">
        <v>166.6</v>
      </c>
      <c r="Z344">
        <v>169.3</v>
      </c>
      <c r="AA344">
        <v>175.7</v>
      </c>
      <c r="AB344">
        <v>171.1</v>
      </c>
      <c r="AC344">
        <v>172.6</v>
      </c>
      <c r="AD344">
        <v>175.3</v>
      </c>
      <c r="AE344" s="12">
        <f>AVERAGE(All_India_Index_Upto_April23__1___13[[#This Row],[Cereals and products]:[Pan, tobacco and intoxicants]])</f>
        <v>174.96428571428569</v>
      </c>
      <c r="AF344" s="12">
        <f>AVERAGE(All_India_Index_Upto_April23__1___13[[#This Row],[Household goods and services]],All_India_Index_Upto_April23__1___13[[#This Row],[Housing]])</f>
        <v>155.78548387096782</v>
      </c>
      <c r="AG344" s="12">
        <f>AVERAGE(All_India_Index_Upto_April23__1___13[[#This Row],[Miscellaneous]],All_India_Index_Upto_April23__1___13[[#This Row],[Personal care and effects]],All_India_Index_Upto_April23__1___13[[#This Row],[Education]],All_India_Index_Upto_April23__1___13[[#This Row],[Recreation and amusement]])</f>
        <v>172.17500000000001</v>
      </c>
    </row>
    <row r="345" spans="1:33" x14ac:dyDescent="0.3">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s="12">
        <f>AVERAGE(All_India_Index_Upto_April23__1___13[[#This Row],[Cereals and products]:[Pan, tobacco and intoxicants]])</f>
        <v>178.02857142857141</v>
      </c>
      <c r="AF345" s="12">
        <f>AVERAGE(All_India_Index_Upto_April23__1___13[[#This Row],[Household goods and services]],All_India_Index_Upto_April23__1___13[[#This Row],[Housing]])</f>
        <v>166.6</v>
      </c>
      <c r="AG345" s="12">
        <f>AVERAGE(All_India_Index_Upto_April23__1___13[[#This Row],[Miscellaneous]],All_India_Index_Upto_April23__1___13[[#This Row],[Personal care and effects]],All_India_Index_Upto_April23__1___13[[#This Row],[Education]],All_India_Index_Upto_April23__1___13[[#This Row],[Recreation and amusement]])</f>
        <v>167.95000000000002</v>
      </c>
    </row>
    <row r="346" spans="1:33" x14ac:dyDescent="0.3">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s="12">
        <f>AVERAGE(All_India_Index_Upto_April23__1___13[[#This Row],[Cereals and products]:[Pan, tobacco and intoxicants]])</f>
        <v>176.01428571428573</v>
      </c>
      <c r="AF346" s="12">
        <f>AVERAGE(All_India_Index_Upto_April23__1___13[[#This Row],[Household goods and services]],All_India_Index_Upto_April23__1___13[[#This Row],[Housing]])</f>
        <v>168.75</v>
      </c>
      <c r="AG346" s="12">
        <f>AVERAGE(All_India_Index_Upto_April23__1___13[[#This Row],[Miscellaneous]],All_India_Index_Upto_April23__1___13[[#This Row],[Personal care and effects]],All_India_Index_Upto_April23__1___13[[#This Row],[Education]],All_India_Index_Upto_April23__1___13[[#This Row],[Recreation and amusement]])</f>
        <v>169.87499999999997</v>
      </c>
    </row>
    <row r="347" spans="1:33" x14ac:dyDescent="0.3">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s="12">
        <f>'Handle Missing Value Sheet only'!$F$5</f>
        <v>139.27096774193564</v>
      </c>
      <c r="V347">
        <v>179.7</v>
      </c>
      <c r="W347">
        <v>173.6</v>
      </c>
      <c r="X347">
        <v>180.2</v>
      </c>
      <c r="Y347">
        <v>166.9</v>
      </c>
      <c r="Z347">
        <v>170</v>
      </c>
      <c r="AA347">
        <v>176.2</v>
      </c>
      <c r="AB347">
        <v>170.8</v>
      </c>
      <c r="AC347">
        <v>173.1</v>
      </c>
      <c r="AD347">
        <v>176.4</v>
      </c>
      <c r="AE347" s="12">
        <f>AVERAGE(All_India_Index_Upto_April23__1___13[[#This Row],[Cereals and products]:[Pan, tobacco and intoxicants]])</f>
        <v>175.87857142857143</v>
      </c>
      <c r="AF347" s="12">
        <f>AVERAGE(All_India_Index_Upto_April23__1___13[[#This Row],[Household goods and services]],All_India_Index_Upto_April23__1___13[[#This Row],[Housing]])</f>
        <v>156.4354838709678</v>
      </c>
      <c r="AG347" s="12">
        <f>AVERAGE(All_India_Index_Upto_April23__1___13[[#This Row],[Miscellaneous]],All_India_Index_Upto_April23__1___13[[#This Row],[Personal care and effects]],All_India_Index_Upto_April23__1___13[[#This Row],[Education]],All_India_Index_Upto_April23__1___13[[#This Row],[Recreation and amusement]])</f>
        <v>172.52499999999998</v>
      </c>
    </row>
    <row r="348" spans="1:33" x14ac:dyDescent="0.3">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s="12">
        <f>AVERAGE(All_India_Index_Upto_April23__1___13[[#This Row],[Cereals and products]:[Pan, tobacco and intoxicants]])</f>
        <v>179.00714285714284</v>
      </c>
      <c r="AF348" s="12">
        <f>AVERAGE(All_India_Index_Upto_April23__1___13[[#This Row],[Household goods and services]],All_India_Index_Upto_April23__1___13[[#This Row],[Housing]])</f>
        <v>167.25</v>
      </c>
      <c r="AG348" s="12">
        <f>AVERAGE(All_India_Index_Upto_April23__1___13[[#This Row],[Miscellaneous]],All_India_Index_Upto_April23__1___13[[#This Row],[Personal care and effects]],All_India_Index_Upto_April23__1___13[[#This Row],[Education]],All_India_Index_Upto_April23__1___13[[#This Row],[Recreation and amusement]])</f>
        <v>168.47500000000002</v>
      </c>
    </row>
    <row r="349" spans="1:33" x14ac:dyDescent="0.3">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s="12">
        <f>AVERAGE(All_India_Index_Upto_April23__1___13[[#This Row],[Cereals and products]:[Pan, tobacco and intoxicants]])</f>
        <v>176.91428571428574</v>
      </c>
      <c r="AF349" s="12">
        <f>AVERAGE(All_India_Index_Upto_April23__1___13[[#This Row],[Household goods and services]],All_India_Index_Upto_April23__1___13[[#This Row],[Housing]])</f>
        <v>169.5</v>
      </c>
      <c r="AG349" s="12">
        <f>AVERAGE(All_India_Index_Upto_April23__1___13[[#This Row],[Miscellaneous]],All_India_Index_Upto_April23__1___13[[#This Row],[Personal care and effects]],All_India_Index_Upto_April23__1___13[[#This Row],[Education]],All_India_Index_Upto_April23__1___13[[#This Row],[Recreation and amusement]])</f>
        <v>170.32500000000002</v>
      </c>
    </row>
    <row r="350" spans="1:33" x14ac:dyDescent="0.3">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s="12">
        <f>'Handle Missing Value Sheet only'!$F$5</f>
        <v>139.27096774193564</v>
      </c>
      <c r="V350">
        <v>180.8</v>
      </c>
      <c r="W350">
        <v>174.4</v>
      </c>
      <c r="X350">
        <v>181.2</v>
      </c>
      <c r="Y350">
        <v>167.4</v>
      </c>
      <c r="Z350">
        <v>170.6</v>
      </c>
      <c r="AA350">
        <v>176.5</v>
      </c>
      <c r="AB350">
        <v>172</v>
      </c>
      <c r="AC350">
        <v>173.9</v>
      </c>
      <c r="AD350">
        <v>177.9</v>
      </c>
      <c r="AE350" s="12">
        <f>AVERAGE(All_India_Index_Upto_April23__1___13[[#This Row],[Cereals and products]:[Pan, tobacco and intoxicants]])</f>
        <v>177.1</v>
      </c>
      <c r="AF350" s="12">
        <f>AVERAGE(All_India_Index_Upto_April23__1___13[[#This Row],[Household goods and services]],All_India_Index_Upto_April23__1___13[[#This Row],[Housing]])</f>
        <v>156.83548387096783</v>
      </c>
      <c r="AG350" s="12">
        <f>AVERAGE(All_India_Index_Upto_April23__1___13[[#This Row],[Miscellaneous]],All_India_Index_Upto_April23__1___13[[#This Row],[Personal care and effects]],All_India_Index_Upto_April23__1___13[[#This Row],[Education]],All_India_Index_Upto_April23__1___13[[#This Row],[Recreation and amusement]])</f>
        <v>173.25</v>
      </c>
    </row>
    <row r="351" spans="1:33" x14ac:dyDescent="0.3">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s="12">
        <f>AVERAGE(All_India_Index_Upto_April23__1___13[[#This Row],[Cereals and products]:[Pan, tobacco and intoxicants]])</f>
        <v>180.17142857142858</v>
      </c>
      <c r="AF351" s="12">
        <f>AVERAGE(All_India_Index_Upto_April23__1___13[[#This Row],[Household goods and services]],All_India_Index_Upto_April23__1___13[[#This Row],[Housing]])</f>
        <v>168.6</v>
      </c>
      <c r="AG351" s="12">
        <f>AVERAGE(All_India_Index_Upto_April23__1___13[[#This Row],[Miscellaneous]],All_India_Index_Upto_April23__1___13[[#This Row],[Personal care and effects]],All_India_Index_Upto_April23__1___13[[#This Row],[Education]],All_India_Index_Upto_April23__1___13[[#This Row],[Recreation and amusement]])</f>
        <v>169.15</v>
      </c>
    </row>
    <row r="352" spans="1:33" x14ac:dyDescent="0.3">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s="12">
        <f>AVERAGE(All_India_Index_Upto_April23__1___13[[#This Row],[Cereals and products]:[Pan, tobacco and intoxicants]])</f>
        <v>178.11428571428573</v>
      </c>
      <c r="AF352" s="12">
        <f>AVERAGE(All_India_Index_Upto_April23__1___13[[#This Row],[Household goods and services]],All_India_Index_Upto_April23__1___13[[#This Row],[Housing]])</f>
        <v>170.8</v>
      </c>
      <c r="AG352" s="12">
        <f>AVERAGE(All_India_Index_Upto_April23__1___13[[#This Row],[Miscellaneous]],All_India_Index_Upto_April23__1___13[[#This Row],[Personal care and effects]],All_India_Index_Upto_April23__1___13[[#This Row],[Education]],All_India_Index_Upto_April23__1___13[[#This Row],[Recreation and amusement]])</f>
        <v>171.05</v>
      </c>
    </row>
    <row r="353" spans="1:33"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s="12">
        <f>'Handle Missing Value Sheet only'!$F$5</f>
        <v>139.27096774193564</v>
      </c>
      <c r="V353">
        <v>181.9</v>
      </c>
      <c r="W353">
        <v>175.5</v>
      </c>
      <c r="X353">
        <v>182.3</v>
      </c>
      <c r="Y353">
        <v>167.5</v>
      </c>
      <c r="Z353">
        <v>170.8</v>
      </c>
      <c r="AA353">
        <v>176.9</v>
      </c>
      <c r="AB353">
        <v>173.4</v>
      </c>
      <c r="AC353">
        <v>174.6</v>
      </c>
      <c r="AD353">
        <v>177.8</v>
      </c>
      <c r="AE353" s="12">
        <f>AVERAGE(All_India_Index_Upto_April23__1___13[[#This Row],[Cereals and products]:[Pan, tobacco and intoxicants]])</f>
        <v>177.37142857142857</v>
      </c>
      <c r="AF353" s="12">
        <f>AVERAGE(All_India_Index_Upto_April23__1___13[[#This Row],[Household goods and services]],All_India_Index_Upto_April23__1___13[[#This Row],[Housing]])</f>
        <v>157.38548387096782</v>
      </c>
      <c r="AG353" s="12">
        <f>AVERAGE(All_India_Index_Upto_April23__1___13[[#This Row],[Miscellaneous]],All_India_Index_Upto_April23__1___13[[#This Row],[Personal care and effects]],All_India_Index_Upto_April23__1___13[[#This Row],[Education]],All_India_Index_Upto_April23__1___13[[#This Row],[Recreation and amusement]])</f>
        <v>173.92500000000001</v>
      </c>
    </row>
    <row r="354" spans="1:33" x14ac:dyDescent="0.3">
      <c r="A354" t="s">
        <v>32</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s="12">
        <f>AVERAGE(All_India_Index_Upto_April23__1___13[[#This Row],[Cereals and products]:[Pan, tobacco and intoxicants]])</f>
        <v>179.64285714285714</v>
      </c>
      <c r="AF354" s="12">
        <f>AVERAGE(All_India_Index_Upto_April23__1___13[[#This Row],[Household goods and services]],All_India_Index_Upto_April23__1___13[[#This Row],[Housing]])</f>
        <v>169.35000000000002</v>
      </c>
      <c r="AG354" s="12">
        <f>AVERAGE(All_India_Index_Upto_April23__1___13[[#This Row],[Miscellaneous]],All_India_Index_Upto_April23__1___13[[#This Row],[Personal care and effects]],All_India_Index_Upto_April23__1___13[[#This Row],[Education]],All_India_Index_Upto_April23__1___13[[#This Row],[Recreation and amusement]])</f>
        <v>169.85000000000002</v>
      </c>
    </row>
    <row r="355" spans="1:33" x14ac:dyDescent="0.3">
      <c r="A355" t="s">
        <v>33</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s="12">
        <f>AVERAGE(All_India_Index_Upto_April23__1___13[[#This Row],[Cereals and products]:[Pan, tobacco and intoxicants]])</f>
        <v>178.12142857142859</v>
      </c>
      <c r="AF355" s="12">
        <f>AVERAGE(All_India_Index_Upto_April23__1___13[[#This Row],[Household goods and services]],All_India_Index_Upto_April23__1___13[[#This Row],[Housing]])</f>
        <v>171.60000000000002</v>
      </c>
      <c r="AG355" s="12">
        <f>AVERAGE(All_India_Index_Upto_April23__1___13[[#This Row],[Miscellaneous]],All_India_Index_Upto_April23__1___13[[#This Row],[Personal care and effects]],All_India_Index_Upto_April23__1___13[[#This Row],[Education]],All_India_Index_Upto_April23__1___13[[#This Row],[Recreation and amusement]])</f>
        <v>171.72499999999999</v>
      </c>
    </row>
    <row r="356" spans="1:33"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s="12">
        <f>'Handle Missing Value Sheet only'!$F$5</f>
        <v>139.27096774193564</v>
      </c>
      <c r="V356">
        <v>182.8</v>
      </c>
      <c r="W356">
        <v>176.4</v>
      </c>
      <c r="X356">
        <v>183.5</v>
      </c>
      <c r="Y356">
        <v>167.8</v>
      </c>
      <c r="Z356">
        <v>171.2</v>
      </c>
      <c r="AA356">
        <v>177.3</v>
      </c>
      <c r="AB356">
        <v>175.7</v>
      </c>
      <c r="AC356">
        <v>175.5</v>
      </c>
      <c r="AD356">
        <v>177.1</v>
      </c>
      <c r="AE356" s="12">
        <f>AVERAGE(All_India_Index_Upto_April23__1___13[[#This Row],[Cereals and products]:[Pan, tobacco and intoxicants]])</f>
        <v>176.64285714285714</v>
      </c>
      <c r="AF356" s="12">
        <f>AVERAGE(All_India_Index_Upto_April23__1___13[[#This Row],[Household goods and services]],All_India_Index_Upto_April23__1___13[[#This Row],[Housing]])</f>
        <v>157.83548387096783</v>
      </c>
      <c r="AG356" s="12">
        <f>AVERAGE(All_India_Index_Upto_April23__1___13[[#This Row],[Miscellaneous]],All_India_Index_Upto_April23__1___13[[#This Row],[Personal care and effects]],All_India_Index_Upto_April23__1___13[[#This Row],[Education]],All_India_Index_Upto_April23__1___13[[#This Row],[Recreation and amusement]])</f>
        <v>174.92500000000001</v>
      </c>
    </row>
    <row r="357" spans="1:33" x14ac:dyDescent="0.3">
      <c r="A357" t="s">
        <v>32</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s="12">
        <f>AVERAGE(All_India_Index_Upto_April23__1___13[[#This Row],[Cereals and products]:[Pan, tobacco and intoxicants]])</f>
        <v>178.34999999999997</v>
      </c>
      <c r="AF357" s="12">
        <f>AVERAGE(All_India_Index_Upto_April23__1___13[[#This Row],[Household goods and services]],All_India_Index_Upto_April23__1___13[[#This Row],[Housing]])</f>
        <v>169</v>
      </c>
      <c r="AG357" s="12">
        <f>AVERAGE(All_India_Index_Upto_April23__1___13[[#This Row],[Miscellaneous]],All_India_Index_Upto_April23__1___13[[#This Row],[Personal care and effects]],All_India_Index_Upto_April23__1___13[[#This Row],[Education]],All_India_Index_Upto_April23__1___13[[#This Row],[Recreation and amusement]])</f>
        <v>170.77500000000001</v>
      </c>
    </row>
    <row r="358" spans="1:33" x14ac:dyDescent="0.3">
      <c r="A358" t="s">
        <v>33</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s="12">
        <f>AVERAGE(All_India_Index_Upto_April23__1___13[[#This Row],[Cereals and products]:[Pan, tobacco and intoxicants]])</f>
        <v>177.19285714285715</v>
      </c>
      <c r="AF358" s="12">
        <f>AVERAGE(All_India_Index_Upto_April23__1___13[[#This Row],[Household goods and services]],All_India_Index_Upto_April23__1___13[[#This Row],[Housing]])</f>
        <v>171.39999999999998</v>
      </c>
      <c r="AG358" s="12">
        <f>AVERAGE(All_India_Index_Upto_April23__1___13[[#This Row],[Miscellaneous]],All_India_Index_Upto_April23__1___13[[#This Row],[Personal care and effects]],All_India_Index_Upto_April23__1___13[[#This Row],[Education]],All_India_Index_Upto_April23__1___13[[#This Row],[Recreation and amusement]])</f>
        <v>172.7</v>
      </c>
    </row>
    <row r="359" spans="1:33"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s="12">
        <f>'Handle Missing Value Sheet only'!$F$5</f>
        <v>139.27096774193564</v>
      </c>
      <c r="V359">
        <v>183.2</v>
      </c>
      <c r="W359">
        <v>177.2</v>
      </c>
      <c r="X359">
        <v>184.7</v>
      </c>
      <c r="Y359">
        <v>168.2</v>
      </c>
      <c r="Z359">
        <v>171.8</v>
      </c>
      <c r="AA359">
        <v>177.8</v>
      </c>
      <c r="AB359">
        <v>178.4</v>
      </c>
      <c r="AC359">
        <v>176.5</v>
      </c>
      <c r="AD359">
        <v>177.8</v>
      </c>
      <c r="AE359" s="12">
        <f>AVERAGE(All_India_Index_Upto_April23__1___13[[#This Row],[Cereals and products]:[Pan, tobacco and intoxicants]])</f>
        <v>177.15000000000003</v>
      </c>
      <c r="AF359" s="12">
        <f>AVERAGE(All_India_Index_Upto_April23__1___13[[#This Row],[Household goods and services]],All_India_Index_Upto_April23__1___13[[#This Row],[Housing]])</f>
        <v>158.23548387096781</v>
      </c>
      <c r="AG359" s="12">
        <f>AVERAGE(All_India_Index_Upto_April23__1___13[[#This Row],[Miscellaneous]],All_India_Index_Upto_April23__1___13[[#This Row],[Personal care and effects]],All_India_Index_Upto_April23__1___13[[#This Row],[Education]],All_India_Index_Upto_April23__1___13[[#This Row],[Recreation and amusement]])</f>
        <v>176.125</v>
      </c>
    </row>
    <row r="360" spans="1:33" x14ac:dyDescent="0.3">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s="12">
        <f>AVERAGE(All_India_Index_Upto_April23__1___13[[#This Row],[Cereals and products]:[Pan, tobacco and intoxicants]])</f>
        <v>179.41428571428574</v>
      </c>
      <c r="AF360" s="12">
        <f>AVERAGE(All_India_Index_Upto_April23__1___13[[#This Row],[Household goods and services]],All_India_Index_Upto_April23__1___13[[#This Row],[Housing]])</f>
        <v>170.05</v>
      </c>
      <c r="AG360" s="12">
        <f>AVERAGE(All_India_Index_Upto_April23__1___13[[#This Row],[Miscellaneous]],All_India_Index_Upto_April23__1___13[[#This Row],[Personal care and effects]],All_India_Index_Upto_April23__1___13[[#This Row],[Education]],All_India_Index_Upto_April23__1___13[[#This Row],[Recreation and amusement]])</f>
        <v>171.82499999999999</v>
      </c>
    </row>
    <row r="361" spans="1:33" x14ac:dyDescent="0.3">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s="12">
        <f>AVERAGE(All_India_Index_Upto_April23__1___13[[#This Row],[Cereals and products]:[Pan, tobacco and intoxicants]])</f>
        <v>177.92142857142855</v>
      </c>
      <c r="AF361" s="12">
        <f>AVERAGE(All_India_Index_Upto_April23__1___13[[#This Row],[Household goods and services]],All_India_Index_Upto_April23__1___13[[#This Row],[Housing]])</f>
        <v>172.5</v>
      </c>
      <c r="AG361" s="12">
        <f>AVERAGE(All_India_Index_Upto_April23__1___13[[#This Row],[Miscellaneous]],All_India_Index_Upto_April23__1___13[[#This Row],[Personal care and effects]],All_India_Index_Upto_April23__1___13[[#This Row],[Education]],All_India_Index_Upto_April23__1___13[[#This Row],[Recreation and amusement]])</f>
        <v>173.8</v>
      </c>
    </row>
    <row r="362" spans="1:33" x14ac:dyDescent="0.3">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s="12">
        <f>'Handle Missing Value Sheet only'!$F$5</f>
        <v>139.27096774193564</v>
      </c>
      <c r="V362">
        <v>181.6</v>
      </c>
      <c r="W362">
        <v>178.6</v>
      </c>
      <c r="X362">
        <v>186.6</v>
      </c>
      <c r="Y362">
        <v>169</v>
      </c>
      <c r="Z362">
        <v>172.8</v>
      </c>
      <c r="AA362">
        <v>178.5</v>
      </c>
      <c r="AB362">
        <v>180.7</v>
      </c>
      <c r="AC362">
        <v>177.9</v>
      </c>
      <c r="AD362">
        <v>178</v>
      </c>
      <c r="AE362" s="12">
        <f>AVERAGE(All_India_Index_Upto_April23__1___13[[#This Row],[Cereals and products]:[Pan, tobacco and intoxicants]])</f>
        <v>176</v>
      </c>
      <c r="AF362" s="12">
        <f>AVERAGE(All_India_Index_Upto_April23__1___13[[#This Row],[Household goods and services]],All_India_Index_Upto_April23__1___13[[#This Row],[Housing]])</f>
        <v>158.9354838709678</v>
      </c>
      <c r="AG362" s="12">
        <f>AVERAGE(All_India_Index_Upto_April23__1___13[[#This Row],[Miscellaneous]],All_India_Index_Upto_April23__1___13[[#This Row],[Personal care and effects]],All_India_Index_Upto_April23__1___13[[#This Row],[Education]],All_India_Index_Upto_April23__1___13[[#This Row],[Recreation and amusement]])</f>
        <v>177.47500000000002</v>
      </c>
    </row>
    <row r="363" spans="1:33" x14ac:dyDescent="0.3">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s="12">
        <f>AVERAGE(All_India_Index_Upto_April23__1___13[[#This Row],[Cereals and products]:[Pan, tobacco and intoxicants]])</f>
        <v>178.9928571428571</v>
      </c>
      <c r="AF363" s="12">
        <f>AVERAGE(All_India_Index_Upto_April23__1___13[[#This Row],[Household goods and services]],All_India_Index_Upto_April23__1___13[[#This Row],[Housing]])</f>
        <v>171.35</v>
      </c>
      <c r="AG363" s="12">
        <f>AVERAGE(All_India_Index_Upto_April23__1___13[[#This Row],[Miscellaneous]],All_India_Index_Upto_April23__1___13[[#This Row],[Personal care and effects]],All_India_Index_Upto_April23__1___13[[#This Row],[Education]],All_India_Index_Upto_April23__1___13[[#This Row],[Recreation and amusement]])</f>
        <v>173.07499999999999</v>
      </c>
    </row>
    <row r="364" spans="1:33" x14ac:dyDescent="0.3">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s="12">
        <f>AVERAGE(All_India_Index_Upto_April23__1___13[[#This Row],[Cereals and products]:[Pan, tobacco and intoxicants]])</f>
        <v>177.04285714285714</v>
      </c>
      <c r="AF364" s="12">
        <f>AVERAGE(All_India_Index_Upto_April23__1___13[[#This Row],[Household goods and services]],All_India_Index_Upto_April23__1___13[[#This Row],[Housing]])</f>
        <v>173.85</v>
      </c>
      <c r="AG364" s="12">
        <f>AVERAGE(All_India_Index_Upto_April23__1___13[[#This Row],[Miscellaneous]],All_India_Index_Upto_April23__1___13[[#This Row],[Personal care and effects]],All_India_Index_Upto_April23__1___13[[#This Row],[Education]],All_India_Index_Upto_April23__1___13[[#This Row],[Recreation and amusement]])</f>
        <v>175.10000000000002</v>
      </c>
    </row>
    <row r="365" spans="1:33" x14ac:dyDescent="0.3">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s="12">
        <f>'Handle Missing Value Sheet only'!$F$5</f>
        <v>139.27096774193564</v>
      </c>
      <c r="V365">
        <v>181.4</v>
      </c>
      <c r="W365">
        <v>178.6</v>
      </c>
      <c r="X365">
        <v>186.6</v>
      </c>
      <c r="Y365">
        <v>169</v>
      </c>
      <c r="Z365">
        <v>172.8</v>
      </c>
      <c r="AA365">
        <v>178.5</v>
      </c>
      <c r="AB365">
        <v>180.7</v>
      </c>
      <c r="AC365">
        <v>177.9</v>
      </c>
      <c r="AD365">
        <v>178</v>
      </c>
      <c r="AE365" s="12">
        <f>AVERAGE(All_India_Index_Upto_April23__1___13[[#This Row],[Cereals and products]:[Pan, tobacco and intoxicants]])</f>
        <v>176.01428571428573</v>
      </c>
      <c r="AF365" s="12">
        <f>AVERAGE(All_India_Index_Upto_April23__1___13[[#This Row],[Household goods and services]],All_India_Index_Upto_April23__1___13[[#This Row],[Housing]])</f>
        <v>158.9354838709678</v>
      </c>
      <c r="AG365" s="12">
        <f>AVERAGE(All_India_Index_Upto_April23__1___13[[#This Row],[Miscellaneous]],All_India_Index_Upto_April23__1___13[[#This Row],[Personal care and effects]],All_India_Index_Upto_April23__1___13[[#This Row],[Education]],All_India_Index_Upto_April23__1___13[[#This Row],[Recreation and amusement]])</f>
        <v>177.47500000000002</v>
      </c>
    </row>
    <row r="366" spans="1:33" x14ac:dyDescent="0.3">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s="12">
        <f>AVERAGE(All_India_Index_Upto_April23__1___13[[#This Row],[Cereals and products]:[Pan, tobacco and intoxicants]])</f>
        <v>179.00714285714284</v>
      </c>
      <c r="AF366" s="12">
        <f>AVERAGE(All_India_Index_Upto_April23__1___13[[#This Row],[Household goods and services]],All_India_Index_Upto_April23__1___13[[#This Row],[Housing]])</f>
        <v>171.35</v>
      </c>
      <c r="AG366" s="12">
        <f>AVERAGE(All_India_Index_Upto_April23__1___13[[#This Row],[Miscellaneous]],All_India_Index_Upto_April23__1___13[[#This Row],[Personal care and effects]],All_India_Index_Upto_April23__1___13[[#This Row],[Education]],All_India_Index_Upto_April23__1___13[[#This Row],[Recreation and amusement]])</f>
        <v>173.1</v>
      </c>
    </row>
    <row r="367" spans="1:33" x14ac:dyDescent="0.3">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s="12">
        <f>AVERAGE(All_India_Index_Upto_April23__1___13[[#This Row],[Cereals and products]:[Pan, tobacco and intoxicants]])</f>
        <v>177.04999999999998</v>
      </c>
      <c r="AF367" s="12">
        <f>AVERAGE(All_India_Index_Upto_April23__1___13[[#This Row],[Household goods and services]],All_India_Index_Upto_April23__1___13[[#This Row],[Housing]])</f>
        <v>173.85</v>
      </c>
      <c r="AG367" s="12">
        <f>AVERAGE(All_India_Index_Upto_April23__1___13[[#This Row],[Miscellaneous]],All_India_Index_Upto_April23__1___13[[#This Row],[Personal care and effects]],All_India_Index_Upto_April23__1___13[[#This Row],[Education]],All_India_Index_Upto_April23__1___13[[#This Row],[Recreation and amusement]])</f>
        <v>175.10000000000002</v>
      </c>
    </row>
    <row r="368" spans="1:33" x14ac:dyDescent="0.3">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s="12">
        <f>'Handle Missing Value Sheet only'!$F$5</f>
        <v>139.27096774193564</v>
      </c>
      <c r="V368">
        <v>181.5</v>
      </c>
      <c r="W368">
        <v>179.1</v>
      </c>
      <c r="X368">
        <v>187.2</v>
      </c>
      <c r="Y368">
        <v>169.4</v>
      </c>
      <c r="Z368">
        <v>173.2</v>
      </c>
      <c r="AA368">
        <v>179.4</v>
      </c>
      <c r="AB368">
        <v>183.8</v>
      </c>
      <c r="AC368">
        <v>178.9</v>
      </c>
      <c r="AD368">
        <v>178.8</v>
      </c>
      <c r="AE368" s="12">
        <f>AVERAGE(All_India_Index_Upto_April23__1___13[[#This Row],[Cereals and products]:[Pan, tobacco and intoxicants]])</f>
        <v>176.69285714285712</v>
      </c>
      <c r="AF368" s="12">
        <f>AVERAGE(All_India_Index_Upto_April23__1___13[[#This Row],[Household goods and services]],All_India_Index_Upto_April23__1___13[[#This Row],[Housing]])</f>
        <v>159.1854838709678</v>
      </c>
      <c r="AG368" s="12">
        <f>AVERAGE(All_India_Index_Upto_April23__1___13[[#This Row],[Miscellaneous]],All_India_Index_Upto_April23__1___13[[#This Row],[Personal care and effects]],All_India_Index_Upto_April23__1___13[[#This Row],[Education]],All_India_Index_Upto_April23__1___13[[#This Row],[Recreation and amusement]])</f>
        <v>178.82499999999999</v>
      </c>
    </row>
    <row r="369" spans="1:33" x14ac:dyDescent="0.3">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s="12">
        <f>AVERAGE(All_India_Index_Upto_April23__1___13[[#This Row],[Cereals and products]:[Pan, tobacco and intoxicants]])</f>
        <v>180.08571428571432</v>
      </c>
      <c r="AF369" s="12">
        <f>AVERAGE(All_India_Index_Upto_April23__1___13[[#This Row],[Household goods and services]],All_India_Index_Upto_April23__1___13[[#This Row],[Housing]])</f>
        <v>172.39999999999998</v>
      </c>
      <c r="AG369" s="12">
        <f>AVERAGE(All_India_Index_Upto_April23__1___13[[#This Row],[Miscellaneous]],All_India_Index_Upto_April23__1___13[[#This Row],[Personal care and effects]],All_India_Index_Upto_April23__1___13[[#This Row],[Education]],All_India_Index_Upto_April23__1___13[[#This Row],[Recreation and amusement]])</f>
        <v>174.57499999999999</v>
      </c>
    </row>
    <row r="370" spans="1:33" x14ac:dyDescent="0.3">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s="12">
        <f>AVERAGE(All_India_Index_Upto_April23__1___13[[#This Row],[Cereals and products]:[Pan, tobacco and intoxicants]])</f>
        <v>177.87142857142859</v>
      </c>
      <c r="AF370" s="12">
        <f>AVERAGE(All_India_Index_Upto_April23__1___13[[#This Row],[Household goods and services]],All_India_Index_Upto_April23__1___13[[#This Row],[Housing]])</f>
        <v>174.89999999999998</v>
      </c>
      <c r="AG370" s="12">
        <f>AVERAGE(All_India_Index_Upto_April23__1___13[[#This Row],[Miscellaneous]],All_India_Index_Upto_April23__1___13[[#This Row],[Personal care and effects]],All_India_Index_Upto_April23__1___13[[#This Row],[Education]],All_India_Index_Upto_April23__1___13[[#This Row],[Recreation and amusement]])</f>
        <v>176.52499999999998</v>
      </c>
    </row>
    <row r="371" spans="1:33" x14ac:dyDescent="0.3">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s="12">
        <f>'Handle Missing Value Sheet only'!$F$5</f>
        <v>139.27096774193564</v>
      </c>
      <c r="V371">
        <v>182.5</v>
      </c>
      <c r="W371">
        <v>179.8</v>
      </c>
      <c r="X371">
        <v>187.8</v>
      </c>
      <c r="Y371">
        <v>169.7</v>
      </c>
      <c r="Z371">
        <v>173.8</v>
      </c>
      <c r="AA371">
        <v>180.3</v>
      </c>
      <c r="AB371">
        <v>184.9</v>
      </c>
      <c r="AC371">
        <v>179.5</v>
      </c>
      <c r="AD371">
        <v>179.8</v>
      </c>
      <c r="AE371" s="12">
        <f>AVERAGE(All_India_Index_Upto_April23__1___13[[#This Row],[Cereals and products]:[Pan, tobacco and intoxicants]])</f>
        <v>177.90000000000006</v>
      </c>
      <c r="AF371" s="12">
        <f>AVERAGE(All_India_Index_Upto_April23__1___13[[#This Row],[Household goods and services]],All_India_Index_Upto_April23__1___13[[#This Row],[Housing]])</f>
        <v>159.53548387096782</v>
      </c>
      <c r="AG371" s="12">
        <f>AVERAGE(All_India_Index_Upto_April23__1___13[[#This Row],[Miscellaneous]],All_India_Index_Upto_April23__1___13[[#This Row],[Personal care and effects]],All_India_Index_Upto_April23__1___13[[#This Row],[Education]],All_India_Index_Upto_April23__1___13[[#This Row],[Recreation and amusement]])</f>
        <v>179.625</v>
      </c>
    </row>
    <row r="372" spans="1:33" x14ac:dyDescent="0.3">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s="12">
        <f>AVERAGE(All_India_Index_Upto_April23__1___13[[#This Row],[Cereals and products]:[Pan, tobacco and intoxicants]])</f>
        <v>181.37857142857141</v>
      </c>
      <c r="AF372" s="12">
        <f>AVERAGE(All_India_Index_Upto_April23__1___13[[#This Row],[Household goods and services]],All_India_Index_Upto_April23__1___13[[#This Row],[Housing]])</f>
        <v>172.85</v>
      </c>
      <c r="AG372" s="12">
        <f>AVERAGE(All_India_Index_Upto_April23__1___13[[#This Row],[Miscellaneous]],All_India_Index_Upto_April23__1___13[[#This Row],[Personal care and effects]],All_India_Index_Upto_April23__1___13[[#This Row],[Education]],All_India_Index_Upto_April23__1___13[[#This Row],[Recreation and amusement]])</f>
        <v>175.3</v>
      </c>
    </row>
    <row r="373" spans="1:33" x14ac:dyDescent="0.3">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s="12">
        <f>AVERAGE(All_India_Index_Upto_April23__1___13[[#This Row],[Cereals and products]:[Pan, tobacco and intoxicants]])</f>
        <v>179.1357142857143</v>
      </c>
      <c r="AF373" s="12">
        <f>AVERAGE(All_India_Index_Upto_April23__1___13[[#This Row],[Household goods and services]],All_India_Index_Upto_April23__1___13[[#This Row],[Housing]])</f>
        <v>175.39999999999998</v>
      </c>
      <c r="AG373" s="12">
        <f>AVERAGE(All_India_Index_Upto_April23__1___13[[#This Row],[Miscellaneous]],All_India_Index_Upto_April23__1___13[[#This Row],[Personal care and effects]],All_India_Index_Upto_April23__1___13[[#This Row],[Education]],All_India_Index_Upto_April23__1___13[[#This Row],[Recreation and amusement]])</f>
        <v>177.3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3A7D-D1C6-4657-9252-C850D2EABE2D}">
  <dimension ref="A1:A4"/>
  <sheetViews>
    <sheetView workbookViewId="0">
      <selection activeCell="A2" sqref="A2"/>
    </sheetView>
  </sheetViews>
  <sheetFormatPr defaultRowHeight="14.4" x14ac:dyDescent="0.3"/>
  <cols>
    <col min="1" max="1" width="107.44140625" customWidth="1"/>
  </cols>
  <sheetData>
    <row r="1" spans="1:1" ht="72" x14ac:dyDescent="0.3">
      <c r="A1" s="4" t="s">
        <v>47</v>
      </c>
    </row>
    <row r="2" spans="1:1" ht="43.2" x14ac:dyDescent="0.3">
      <c r="A2" s="5" t="s">
        <v>48</v>
      </c>
    </row>
    <row r="3" spans="1:1" ht="72" x14ac:dyDescent="0.3">
      <c r="A3" s="4" t="s">
        <v>49</v>
      </c>
    </row>
    <row r="4" spans="1:1" ht="43.2" x14ac:dyDescent="0.3">
      <c r="A4" s="5" t="s">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0F87-7784-46B1-97E1-D2B5F1D87A3E}">
  <dimension ref="A1:C25"/>
  <sheetViews>
    <sheetView topLeftCell="B13" workbookViewId="0">
      <selection activeCell="G21" sqref="G21"/>
    </sheetView>
  </sheetViews>
  <sheetFormatPr defaultRowHeight="14.4" x14ac:dyDescent="0.3"/>
  <cols>
    <col min="1" max="1" width="27.77734375" customWidth="1"/>
    <col min="2" max="2" width="61.109375" customWidth="1"/>
    <col min="3" max="3" width="20.44140625" customWidth="1"/>
  </cols>
  <sheetData>
    <row r="1" spans="1:3" x14ac:dyDescent="0.3">
      <c r="A1" s="6" t="s">
        <v>51</v>
      </c>
      <c r="B1" s="6" t="s">
        <v>62</v>
      </c>
      <c r="C1" s="6" t="s">
        <v>63</v>
      </c>
    </row>
    <row r="2" spans="1:3" x14ac:dyDescent="0.3">
      <c r="A2" s="6" t="s">
        <v>52</v>
      </c>
      <c r="B2" s="8" t="s">
        <v>53</v>
      </c>
      <c r="C2" s="7"/>
    </row>
    <row r="3" spans="1:3" x14ac:dyDescent="0.3">
      <c r="A3" s="7"/>
      <c r="B3" s="8" t="s">
        <v>3</v>
      </c>
      <c r="C3" s="7"/>
    </row>
    <row r="4" spans="1:3" x14ac:dyDescent="0.3">
      <c r="A4" s="7"/>
      <c r="B4" s="8" t="s">
        <v>4</v>
      </c>
      <c r="C4" s="7"/>
    </row>
    <row r="5" spans="1:3" x14ac:dyDescent="0.3">
      <c r="A5" s="7"/>
      <c r="B5" s="8" t="s">
        <v>5</v>
      </c>
      <c r="C5" s="7"/>
    </row>
    <row r="6" spans="1:3" x14ac:dyDescent="0.3">
      <c r="A6" s="7"/>
      <c r="B6" s="8" t="s">
        <v>6</v>
      </c>
      <c r="C6" s="7"/>
    </row>
    <row r="7" spans="1:3" x14ac:dyDescent="0.3">
      <c r="A7" s="7"/>
      <c r="B7" s="8" t="s">
        <v>7</v>
      </c>
      <c r="C7" s="7"/>
    </row>
    <row r="8" spans="1:3" x14ac:dyDescent="0.3">
      <c r="A8" s="7"/>
      <c r="B8" s="8" t="s">
        <v>8</v>
      </c>
      <c r="C8" s="7"/>
    </row>
    <row r="9" spans="1:3" x14ac:dyDescent="0.3">
      <c r="A9" s="7"/>
      <c r="B9" s="8" t="s">
        <v>9</v>
      </c>
      <c r="C9" s="7"/>
    </row>
    <row r="10" spans="1:3" x14ac:dyDescent="0.3">
      <c r="A10" s="7"/>
      <c r="B10" s="8" t="s">
        <v>10</v>
      </c>
      <c r="C10" s="7"/>
    </row>
    <row r="11" spans="1:3" ht="28.8" customHeight="1" x14ac:dyDescent="0.3">
      <c r="A11" s="7"/>
      <c r="B11" s="8" t="s">
        <v>11</v>
      </c>
      <c r="C11" s="7"/>
    </row>
    <row r="12" spans="1:3" x14ac:dyDescent="0.3">
      <c r="A12" s="7"/>
      <c r="B12" s="8" t="s">
        <v>12</v>
      </c>
      <c r="C12" s="7"/>
    </row>
    <row r="13" spans="1:3" ht="28.8" customHeight="1" x14ac:dyDescent="0.3">
      <c r="A13" s="7"/>
      <c r="B13" s="8" t="s">
        <v>13</v>
      </c>
      <c r="C13" s="7"/>
    </row>
    <row r="14" spans="1:3" ht="28.8" customHeight="1" x14ac:dyDescent="0.3">
      <c r="A14" s="7"/>
      <c r="B14" s="8" t="s">
        <v>14</v>
      </c>
      <c r="C14" s="7"/>
    </row>
    <row r="15" spans="1:3" x14ac:dyDescent="0.3">
      <c r="A15" s="7"/>
      <c r="B15" s="8" t="s">
        <v>15</v>
      </c>
      <c r="C15" s="7"/>
    </row>
    <row r="16" spans="1:3" ht="28.8" customHeight="1" x14ac:dyDescent="0.3">
      <c r="A16" s="7"/>
      <c r="B16" s="8" t="s">
        <v>16</v>
      </c>
      <c r="C16" s="7"/>
    </row>
    <row r="17" spans="1:3" x14ac:dyDescent="0.3">
      <c r="A17" s="6" t="s">
        <v>54</v>
      </c>
      <c r="B17" s="9" t="s">
        <v>53</v>
      </c>
      <c r="C17" s="7"/>
    </row>
    <row r="18" spans="1:3" x14ac:dyDescent="0.3">
      <c r="A18" s="7"/>
      <c r="B18" s="6" t="s">
        <v>22</v>
      </c>
      <c r="C18" s="7"/>
    </row>
    <row r="19" spans="1:3" x14ac:dyDescent="0.3">
      <c r="A19" s="7"/>
      <c r="B19" s="6" t="s">
        <v>20</v>
      </c>
      <c r="C19" s="6" t="s">
        <v>55</v>
      </c>
    </row>
    <row r="20" spans="1:3" x14ac:dyDescent="0.3">
      <c r="A20" s="6" t="s">
        <v>56</v>
      </c>
      <c r="B20" s="9" t="s">
        <v>57</v>
      </c>
      <c r="C20" s="7"/>
    </row>
    <row r="21" spans="1:3" x14ac:dyDescent="0.3">
      <c r="A21" s="6" t="s">
        <v>21</v>
      </c>
      <c r="B21" s="6" t="s">
        <v>58</v>
      </c>
      <c r="C21" s="7"/>
    </row>
    <row r="22" spans="1:3" x14ac:dyDescent="0.3">
      <c r="A22" s="6" t="s">
        <v>23</v>
      </c>
      <c r="B22" s="6" t="s">
        <v>59</v>
      </c>
      <c r="C22" s="7"/>
    </row>
    <row r="23" spans="1:3" x14ac:dyDescent="0.3">
      <c r="A23" s="6" t="s">
        <v>24</v>
      </c>
      <c r="B23" s="6" t="s">
        <v>60</v>
      </c>
      <c r="C23" s="7"/>
    </row>
    <row r="24" spans="1:3" x14ac:dyDescent="0.3">
      <c r="A24" s="6" t="s">
        <v>61</v>
      </c>
      <c r="B24" s="6" t="s">
        <v>64</v>
      </c>
      <c r="C24" s="7"/>
    </row>
    <row r="25" spans="1:3" x14ac:dyDescent="0.3">
      <c r="A25" s="6" t="s">
        <v>65</v>
      </c>
      <c r="B25" s="6" t="s">
        <v>66</v>
      </c>
      <c r="C25"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AC92-ABC4-480C-8A62-72D13EC1184F}">
  <dimension ref="A1:J373"/>
  <sheetViews>
    <sheetView workbookViewId="0">
      <selection activeCell="D22" sqref="D22"/>
    </sheetView>
  </sheetViews>
  <sheetFormatPr defaultRowHeight="14.4" x14ac:dyDescent="0.3"/>
  <cols>
    <col min="1" max="1" width="8.88671875" customWidth="1"/>
  </cols>
  <sheetData>
    <row r="1" spans="1:10" x14ac:dyDescent="0.3">
      <c r="A1" s="1" t="s">
        <v>20</v>
      </c>
    </row>
    <row r="2" spans="1:10" x14ac:dyDescent="0.3">
      <c r="A2" s="2">
        <v>139.30000000000001</v>
      </c>
    </row>
    <row r="3" spans="1:10" x14ac:dyDescent="0.3">
      <c r="A3" s="10">
        <v>100.3</v>
      </c>
    </row>
    <row r="4" spans="1:10" x14ac:dyDescent="0.3">
      <c r="A4" s="2">
        <v>100.3</v>
      </c>
    </row>
    <row r="5" spans="1:10" x14ac:dyDescent="0.3">
      <c r="A5" s="10">
        <v>139.30000000000001</v>
      </c>
      <c r="E5" t="s">
        <v>67</v>
      </c>
      <c r="F5" s="12">
        <f>AVERAGE(A2:A373)</f>
        <v>139.27096774193564</v>
      </c>
    </row>
    <row r="6" spans="1:10" x14ac:dyDescent="0.3">
      <c r="A6" s="2">
        <v>100.4</v>
      </c>
      <c r="E6" t="s">
        <v>68</v>
      </c>
      <c r="F6">
        <f>MEDIAN(A2:A373)</f>
        <v>139.30000000000001</v>
      </c>
      <c r="I6" t="s">
        <v>70</v>
      </c>
      <c r="J6" s="13">
        <f>F7/F5</f>
        <v>0.12345207839147077</v>
      </c>
    </row>
    <row r="7" spans="1:10" x14ac:dyDescent="0.3">
      <c r="A7" s="10">
        <v>100.4</v>
      </c>
      <c r="E7" t="s">
        <v>69</v>
      </c>
      <c r="F7" s="11">
        <f>STDEV(A2:A373)</f>
        <v>17.193290427333434</v>
      </c>
    </row>
    <row r="8" spans="1:10" x14ac:dyDescent="0.3">
      <c r="A8" s="2">
        <v>139.30000000000001</v>
      </c>
    </row>
    <row r="9" spans="1:10" x14ac:dyDescent="0.3">
      <c r="A9" s="10">
        <v>100.4</v>
      </c>
    </row>
    <row r="10" spans="1:10" x14ac:dyDescent="0.3">
      <c r="A10" s="2">
        <v>100.4</v>
      </c>
    </row>
    <row r="11" spans="1:10" x14ac:dyDescent="0.3">
      <c r="A11" s="10">
        <v>139.30000000000001</v>
      </c>
    </row>
    <row r="12" spans="1:10" x14ac:dyDescent="0.3">
      <c r="A12" s="2">
        <v>100.5</v>
      </c>
    </row>
    <row r="13" spans="1:10" x14ac:dyDescent="0.3">
      <c r="A13" s="10">
        <v>100.5</v>
      </c>
    </row>
    <row r="14" spans="1:10" x14ac:dyDescent="0.3">
      <c r="A14" s="2">
        <v>139.30000000000001</v>
      </c>
    </row>
    <row r="15" spans="1:10" x14ac:dyDescent="0.3">
      <c r="A15" s="10">
        <v>100.5</v>
      </c>
    </row>
    <row r="16" spans="1:10" x14ac:dyDescent="0.3">
      <c r="A16" s="2">
        <v>100.5</v>
      </c>
    </row>
    <row r="17" spans="1:1" x14ac:dyDescent="0.3">
      <c r="A17" s="10">
        <v>139.30000000000001</v>
      </c>
    </row>
    <row r="18" spans="1:1" x14ac:dyDescent="0.3">
      <c r="A18" s="2">
        <v>106.6</v>
      </c>
    </row>
    <row r="19" spans="1:1" x14ac:dyDescent="0.3">
      <c r="A19" s="10">
        <v>106.6</v>
      </c>
    </row>
    <row r="20" spans="1:1" x14ac:dyDescent="0.3">
      <c r="A20" s="2">
        <v>139.30000000000001</v>
      </c>
    </row>
    <row r="21" spans="1:1" x14ac:dyDescent="0.3">
      <c r="A21" s="10">
        <v>107.7</v>
      </c>
    </row>
    <row r="22" spans="1:1" x14ac:dyDescent="0.3">
      <c r="A22" s="2">
        <v>107.7</v>
      </c>
    </row>
    <row r="23" spans="1:1" x14ac:dyDescent="0.3">
      <c r="A23" s="10">
        <v>139.30000000000001</v>
      </c>
    </row>
    <row r="24" spans="1:1" x14ac:dyDescent="0.3">
      <c r="A24" s="2">
        <v>108.9</v>
      </c>
    </row>
    <row r="25" spans="1:1" x14ac:dyDescent="0.3">
      <c r="A25" s="10">
        <v>108.9</v>
      </c>
    </row>
    <row r="26" spans="1:1" x14ac:dyDescent="0.3">
      <c r="A26" s="2">
        <v>139.30000000000001</v>
      </c>
    </row>
    <row r="27" spans="1:1" x14ac:dyDescent="0.3">
      <c r="A27" s="10">
        <v>109.7</v>
      </c>
    </row>
    <row r="28" spans="1:1" x14ac:dyDescent="0.3">
      <c r="A28" s="2">
        <v>109.7</v>
      </c>
    </row>
    <row r="29" spans="1:1" x14ac:dyDescent="0.3">
      <c r="A29" s="10">
        <v>139.30000000000001</v>
      </c>
    </row>
    <row r="30" spans="1:1" x14ac:dyDescent="0.3">
      <c r="A30" s="2">
        <v>110.5</v>
      </c>
    </row>
    <row r="31" spans="1:1" x14ac:dyDescent="0.3">
      <c r="A31" s="10">
        <v>110.5</v>
      </c>
    </row>
    <row r="32" spans="1:1" x14ac:dyDescent="0.3">
      <c r="A32" s="2">
        <v>139.30000000000001</v>
      </c>
    </row>
    <row r="33" spans="1:1" x14ac:dyDescent="0.3">
      <c r="A33" s="10">
        <v>111.1</v>
      </c>
    </row>
    <row r="34" spans="1:1" x14ac:dyDescent="0.3">
      <c r="A34" s="2">
        <v>111.1</v>
      </c>
    </row>
    <row r="35" spans="1:1" x14ac:dyDescent="0.3">
      <c r="A35" s="10">
        <v>139.30000000000001</v>
      </c>
    </row>
    <row r="36" spans="1:1" x14ac:dyDescent="0.3">
      <c r="A36" s="2">
        <v>110.7</v>
      </c>
    </row>
    <row r="37" spans="1:1" x14ac:dyDescent="0.3">
      <c r="A37" s="10">
        <v>110.7</v>
      </c>
    </row>
    <row r="38" spans="1:1" x14ac:dyDescent="0.3">
      <c r="A38" s="2">
        <v>139.30000000000001</v>
      </c>
    </row>
    <row r="39" spans="1:1" x14ac:dyDescent="0.3">
      <c r="A39" s="10">
        <v>111.6</v>
      </c>
    </row>
    <row r="40" spans="1:1" x14ac:dyDescent="0.3">
      <c r="A40" s="2">
        <v>111.6</v>
      </c>
    </row>
    <row r="41" spans="1:1" x14ac:dyDescent="0.3">
      <c r="A41" s="10">
        <v>139.30000000000001</v>
      </c>
    </row>
    <row r="42" spans="1:1" x14ac:dyDescent="0.3">
      <c r="A42" s="2">
        <v>112.5</v>
      </c>
    </row>
    <row r="43" spans="1:1" x14ac:dyDescent="0.3">
      <c r="A43" s="10">
        <v>112.5</v>
      </c>
    </row>
    <row r="44" spans="1:1" x14ac:dyDescent="0.3">
      <c r="A44" s="2">
        <v>139.30000000000001</v>
      </c>
    </row>
    <row r="45" spans="1:1" x14ac:dyDescent="0.3">
      <c r="A45" s="10">
        <v>113.2</v>
      </c>
    </row>
    <row r="46" spans="1:1" x14ac:dyDescent="0.3">
      <c r="A46" s="2">
        <v>113.2</v>
      </c>
    </row>
    <row r="47" spans="1:1" x14ac:dyDescent="0.3">
      <c r="A47" s="10">
        <v>139.30000000000001</v>
      </c>
    </row>
    <row r="48" spans="1:1" x14ac:dyDescent="0.3">
      <c r="A48" s="2">
        <v>113.9</v>
      </c>
    </row>
    <row r="49" spans="1:1" x14ac:dyDescent="0.3">
      <c r="A49" s="10">
        <v>113.9</v>
      </c>
    </row>
    <row r="50" spans="1:1" x14ac:dyDescent="0.3">
      <c r="A50" s="2">
        <v>139.30000000000001</v>
      </c>
    </row>
    <row r="51" spans="1:1" x14ac:dyDescent="0.3">
      <c r="A51" s="10">
        <v>114.3</v>
      </c>
    </row>
    <row r="52" spans="1:1" x14ac:dyDescent="0.3">
      <c r="A52" s="2">
        <v>114.3</v>
      </c>
    </row>
    <row r="53" spans="1:1" x14ac:dyDescent="0.3">
      <c r="A53" s="10">
        <v>139.30000000000001</v>
      </c>
    </row>
    <row r="54" spans="1:1" x14ac:dyDescent="0.3">
      <c r="A54" s="2">
        <v>113.9</v>
      </c>
    </row>
    <row r="55" spans="1:1" x14ac:dyDescent="0.3">
      <c r="A55" s="10">
        <v>113.9</v>
      </c>
    </row>
    <row r="56" spans="1:1" x14ac:dyDescent="0.3">
      <c r="A56" s="2">
        <v>139.30000000000001</v>
      </c>
    </row>
    <row r="57" spans="1:1" x14ac:dyDescent="0.3">
      <c r="A57" s="10">
        <v>114.8</v>
      </c>
    </row>
    <row r="58" spans="1:1" x14ac:dyDescent="0.3">
      <c r="A58" s="2">
        <v>114.8</v>
      </c>
    </row>
    <row r="59" spans="1:1" x14ac:dyDescent="0.3">
      <c r="A59" s="10">
        <v>139.30000000000001</v>
      </c>
    </row>
    <row r="60" spans="1:1" x14ac:dyDescent="0.3">
      <c r="A60" s="2">
        <v>115.5</v>
      </c>
    </row>
    <row r="61" spans="1:1" x14ac:dyDescent="0.3">
      <c r="A61" s="10">
        <v>115.5</v>
      </c>
    </row>
    <row r="62" spans="1:1" x14ac:dyDescent="0.3">
      <c r="A62" s="2">
        <v>139.30000000000001</v>
      </c>
    </row>
    <row r="63" spans="1:1" x14ac:dyDescent="0.3">
      <c r="A63" s="10">
        <v>116.1</v>
      </c>
    </row>
    <row r="64" spans="1:1" x14ac:dyDescent="0.3">
      <c r="A64" s="2">
        <v>116.1</v>
      </c>
    </row>
    <row r="65" spans="1:1" x14ac:dyDescent="0.3">
      <c r="A65" s="10">
        <v>139.30000000000001</v>
      </c>
    </row>
    <row r="66" spans="1:1" x14ac:dyDescent="0.3">
      <c r="A66" s="2">
        <v>116.7</v>
      </c>
    </row>
    <row r="67" spans="1:1" x14ac:dyDescent="0.3">
      <c r="A67" s="10">
        <v>116.7</v>
      </c>
    </row>
    <row r="68" spans="1:1" x14ac:dyDescent="0.3">
      <c r="A68" s="2">
        <v>139.30000000000001</v>
      </c>
    </row>
    <row r="69" spans="1:1" x14ac:dyDescent="0.3">
      <c r="A69" s="10">
        <v>117.1</v>
      </c>
    </row>
    <row r="70" spans="1:1" x14ac:dyDescent="0.3">
      <c r="A70" s="2">
        <v>117.1</v>
      </c>
    </row>
    <row r="71" spans="1:1" x14ac:dyDescent="0.3">
      <c r="A71" s="10">
        <v>139.30000000000001</v>
      </c>
    </row>
    <row r="72" spans="1:1" x14ac:dyDescent="0.3">
      <c r="A72" s="2">
        <v>116.5</v>
      </c>
    </row>
    <row r="73" spans="1:1" x14ac:dyDescent="0.3">
      <c r="A73" s="10">
        <v>116.5</v>
      </c>
    </row>
    <row r="74" spans="1:1" x14ac:dyDescent="0.3">
      <c r="A74" s="2">
        <v>139.30000000000001</v>
      </c>
    </row>
    <row r="75" spans="1:1" x14ac:dyDescent="0.3">
      <c r="A75" s="10">
        <v>117.3</v>
      </c>
    </row>
    <row r="76" spans="1:1" x14ac:dyDescent="0.3">
      <c r="A76" s="2">
        <v>117.3</v>
      </c>
    </row>
    <row r="77" spans="1:1" x14ac:dyDescent="0.3">
      <c r="A77" s="10">
        <v>139.30000000000001</v>
      </c>
    </row>
    <row r="78" spans="1:1" x14ac:dyDescent="0.3">
      <c r="A78" s="2">
        <v>118.1</v>
      </c>
    </row>
    <row r="79" spans="1:1" x14ac:dyDescent="0.3">
      <c r="A79" s="10">
        <v>118.1</v>
      </c>
    </row>
    <row r="80" spans="1:1" x14ac:dyDescent="0.3">
      <c r="A80" s="2">
        <v>139.30000000000001</v>
      </c>
    </row>
    <row r="81" spans="1:1" x14ac:dyDescent="0.3">
      <c r="A81" s="10">
        <v>118.6</v>
      </c>
    </row>
    <row r="82" spans="1:1" x14ac:dyDescent="0.3">
      <c r="A82" s="2">
        <v>118.6</v>
      </c>
    </row>
    <row r="83" spans="1:1" x14ac:dyDescent="0.3">
      <c r="A83" s="10">
        <v>139.30000000000001</v>
      </c>
    </row>
    <row r="84" spans="1:1" x14ac:dyDescent="0.3">
      <c r="A84" s="2">
        <v>119.2</v>
      </c>
    </row>
    <row r="85" spans="1:1" x14ac:dyDescent="0.3">
      <c r="A85" s="10">
        <v>119.2</v>
      </c>
    </row>
    <row r="86" spans="1:1" x14ac:dyDescent="0.3">
      <c r="A86" s="2">
        <v>139.30000000000001</v>
      </c>
    </row>
    <row r="87" spans="1:1" x14ac:dyDescent="0.3">
      <c r="A87" s="10">
        <v>119.6</v>
      </c>
    </row>
    <row r="88" spans="1:1" x14ac:dyDescent="0.3">
      <c r="A88" s="2">
        <v>119.6</v>
      </c>
    </row>
    <row r="89" spans="1:1" x14ac:dyDescent="0.3">
      <c r="A89" s="10">
        <v>139.30000000000001</v>
      </c>
    </row>
    <row r="90" spans="1:1" x14ac:dyDescent="0.3">
      <c r="A90" s="2">
        <v>119</v>
      </c>
    </row>
    <row r="91" spans="1:1" x14ac:dyDescent="0.3">
      <c r="A91" s="10">
        <v>119</v>
      </c>
    </row>
    <row r="92" spans="1:1" x14ac:dyDescent="0.3">
      <c r="A92" s="2">
        <v>139.30000000000001</v>
      </c>
    </row>
    <row r="93" spans="1:1" x14ac:dyDescent="0.3">
      <c r="A93" s="10">
        <v>119.9</v>
      </c>
    </row>
    <row r="94" spans="1:1" x14ac:dyDescent="0.3">
      <c r="A94" s="2">
        <v>119.9</v>
      </c>
    </row>
    <row r="95" spans="1:1" x14ac:dyDescent="0.3">
      <c r="A95" s="10">
        <v>139.30000000000001</v>
      </c>
    </row>
    <row r="96" spans="1:1" x14ac:dyDescent="0.3">
      <c r="A96" s="2">
        <v>120.9</v>
      </c>
    </row>
    <row r="97" spans="1:1" x14ac:dyDescent="0.3">
      <c r="A97" s="10">
        <v>120.9</v>
      </c>
    </row>
    <row r="98" spans="1:1" x14ac:dyDescent="0.3">
      <c r="A98" s="2">
        <v>139.30000000000001</v>
      </c>
    </row>
    <row r="99" spans="1:1" x14ac:dyDescent="0.3">
      <c r="A99" s="10">
        <v>121.6</v>
      </c>
    </row>
    <row r="100" spans="1:1" x14ac:dyDescent="0.3">
      <c r="A100" s="2">
        <v>121.6</v>
      </c>
    </row>
    <row r="101" spans="1:1" x14ac:dyDescent="0.3">
      <c r="A101" s="10">
        <v>139.30000000000001</v>
      </c>
    </row>
    <row r="102" spans="1:1" x14ac:dyDescent="0.3">
      <c r="A102" s="2">
        <v>122.4</v>
      </c>
    </row>
    <row r="103" spans="1:1" x14ac:dyDescent="0.3">
      <c r="A103" s="10">
        <v>122.4</v>
      </c>
    </row>
    <row r="104" spans="1:1" x14ac:dyDescent="0.3">
      <c r="A104" s="2">
        <v>139.30000000000001</v>
      </c>
    </row>
    <row r="105" spans="1:1" x14ac:dyDescent="0.3">
      <c r="A105" s="10">
        <v>122.9</v>
      </c>
    </row>
    <row r="106" spans="1:1" x14ac:dyDescent="0.3">
      <c r="A106" s="2">
        <v>122.9</v>
      </c>
    </row>
    <row r="107" spans="1:1" x14ac:dyDescent="0.3">
      <c r="A107" s="10">
        <v>139.30000000000001</v>
      </c>
    </row>
    <row r="108" spans="1:1" x14ac:dyDescent="0.3">
      <c r="A108" s="2">
        <v>122.4</v>
      </c>
    </row>
    <row r="109" spans="1:1" x14ac:dyDescent="0.3">
      <c r="A109" s="10">
        <v>122.4</v>
      </c>
    </row>
    <row r="110" spans="1:1" x14ac:dyDescent="0.3">
      <c r="A110" s="2">
        <v>139.30000000000001</v>
      </c>
    </row>
    <row r="111" spans="1:1" x14ac:dyDescent="0.3">
      <c r="A111" s="10">
        <v>123.4</v>
      </c>
    </row>
    <row r="112" spans="1:1" x14ac:dyDescent="0.3">
      <c r="A112" s="2">
        <v>123.4</v>
      </c>
    </row>
    <row r="113" spans="1:1" x14ac:dyDescent="0.3">
      <c r="A113" s="10">
        <v>139.30000000000001</v>
      </c>
    </row>
    <row r="114" spans="1:1" x14ac:dyDescent="0.3">
      <c r="A114" s="2">
        <v>124.4</v>
      </c>
    </row>
    <row r="115" spans="1:1" x14ac:dyDescent="0.3">
      <c r="A115" s="10">
        <v>124.4</v>
      </c>
    </row>
    <row r="116" spans="1:1" x14ac:dyDescent="0.3">
      <c r="A116" s="2">
        <v>139.30000000000001</v>
      </c>
    </row>
    <row r="117" spans="1:1" x14ac:dyDescent="0.3">
      <c r="A117" s="10">
        <v>124.9</v>
      </c>
    </row>
    <row r="118" spans="1:1" x14ac:dyDescent="0.3">
      <c r="A118" s="2">
        <v>124.9</v>
      </c>
    </row>
    <row r="119" spans="1:1" x14ac:dyDescent="0.3">
      <c r="A119" s="10">
        <v>139.30000000000001</v>
      </c>
    </row>
    <row r="120" spans="1:1" x14ac:dyDescent="0.3">
      <c r="A120" s="2">
        <v>125.6</v>
      </c>
    </row>
    <row r="121" spans="1:1" x14ac:dyDescent="0.3">
      <c r="A121" s="10">
        <v>125.6</v>
      </c>
    </row>
    <row r="122" spans="1:1" x14ac:dyDescent="0.3">
      <c r="A122" s="2">
        <v>139.30000000000001</v>
      </c>
    </row>
    <row r="123" spans="1:1" x14ac:dyDescent="0.3">
      <c r="A123" s="10">
        <v>126</v>
      </c>
    </row>
    <row r="124" spans="1:1" x14ac:dyDescent="0.3">
      <c r="A124" s="2">
        <v>126</v>
      </c>
    </row>
    <row r="125" spans="1:1" x14ac:dyDescent="0.3">
      <c r="A125" s="10">
        <v>139.30000000000001</v>
      </c>
    </row>
    <row r="126" spans="1:1" x14ac:dyDescent="0.3">
      <c r="A126" s="2">
        <v>125.5</v>
      </c>
    </row>
    <row r="127" spans="1:1" x14ac:dyDescent="0.3">
      <c r="A127" s="10">
        <v>125.5</v>
      </c>
    </row>
    <row r="128" spans="1:1" x14ac:dyDescent="0.3">
      <c r="A128" s="2">
        <v>139.30000000000001</v>
      </c>
    </row>
    <row r="129" spans="1:1" x14ac:dyDescent="0.3">
      <c r="A129" s="10">
        <v>126.4</v>
      </c>
    </row>
    <row r="130" spans="1:1" x14ac:dyDescent="0.3">
      <c r="A130" s="2">
        <v>126.4</v>
      </c>
    </row>
    <row r="131" spans="1:1" x14ac:dyDescent="0.3">
      <c r="A131" s="10">
        <v>139.30000000000001</v>
      </c>
    </row>
    <row r="132" spans="1:1" x14ac:dyDescent="0.3">
      <c r="A132" s="2">
        <v>127.3</v>
      </c>
    </row>
    <row r="133" spans="1:1" x14ac:dyDescent="0.3">
      <c r="A133" s="10">
        <v>127.3</v>
      </c>
    </row>
    <row r="134" spans="1:1" x14ac:dyDescent="0.3">
      <c r="A134" s="2">
        <v>139.30000000000001</v>
      </c>
    </row>
    <row r="135" spans="1:1" x14ac:dyDescent="0.3">
      <c r="A135" s="10">
        <v>127.9</v>
      </c>
    </row>
    <row r="136" spans="1:1" x14ac:dyDescent="0.3">
      <c r="A136" s="2">
        <v>127.9</v>
      </c>
    </row>
    <row r="137" spans="1:1" x14ac:dyDescent="0.3">
      <c r="A137" s="10">
        <v>139.30000000000001</v>
      </c>
    </row>
    <row r="138" spans="1:1" x14ac:dyDescent="0.3">
      <c r="A138" s="2">
        <v>128.69999999999999</v>
      </c>
    </row>
    <row r="139" spans="1:1" x14ac:dyDescent="0.3">
      <c r="A139" s="10">
        <v>128.69999999999999</v>
      </c>
    </row>
    <row r="140" spans="1:1" x14ac:dyDescent="0.3">
      <c r="A140" s="2">
        <v>139.30000000000001</v>
      </c>
    </row>
    <row r="141" spans="1:1" x14ac:dyDescent="0.3">
      <c r="A141" s="10">
        <v>129.1</v>
      </c>
    </row>
    <row r="142" spans="1:1" x14ac:dyDescent="0.3">
      <c r="A142" s="2">
        <v>129.1</v>
      </c>
    </row>
    <row r="143" spans="1:1" x14ac:dyDescent="0.3">
      <c r="A143" s="10">
        <v>139.30000000000001</v>
      </c>
    </row>
    <row r="144" spans="1:1" x14ac:dyDescent="0.3">
      <c r="A144" s="2">
        <v>128.5</v>
      </c>
    </row>
    <row r="145" spans="1:1" x14ac:dyDescent="0.3">
      <c r="A145" s="10">
        <v>128.5</v>
      </c>
    </row>
    <row r="146" spans="1:1" x14ac:dyDescent="0.3">
      <c r="A146" s="2">
        <v>139.30000000000001</v>
      </c>
    </row>
    <row r="147" spans="1:1" x14ac:dyDescent="0.3">
      <c r="A147" s="10">
        <v>129.6</v>
      </c>
    </row>
    <row r="148" spans="1:1" x14ac:dyDescent="0.3">
      <c r="A148" s="2">
        <v>129.6</v>
      </c>
    </row>
    <row r="149" spans="1:1" x14ac:dyDescent="0.3">
      <c r="A149" s="10">
        <v>139.30000000000001</v>
      </c>
    </row>
    <row r="150" spans="1:1" x14ac:dyDescent="0.3">
      <c r="A150" s="2">
        <v>130.5</v>
      </c>
    </row>
    <row r="151" spans="1:1" x14ac:dyDescent="0.3">
      <c r="A151" s="10">
        <v>130.5</v>
      </c>
    </row>
    <row r="152" spans="1:1" x14ac:dyDescent="0.3">
      <c r="A152" s="2">
        <v>139.30000000000001</v>
      </c>
    </row>
    <row r="153" spans="1:1" x14ac:dyDescent="0.3">
      <c r="A153" s="10">
        <v>131.1</v>
      </c>
    </row>
    <row r="154" spans="1:1" x14ac:dyDescent="0.3">
      <c r="A154" s="2">
        <v>131.1</v>
      </c>
    </row>
    <row r="155" spans="1:1" x14ac:dyDescent="0.3">
      <c r="A155" s="10">
        <v>139.30000000000001</v>
      </c>
    </row>
    <row r="156" spans="1:1" x14ac:dyDescent="0.3">
      <c r="A156" s="2">
        <v>131.69999999999999</v>
      </c>
    </row>
    <row r="157" spans="1:1" x14ac:dyDescent="0.3">
      <c r="A157" s="10">
        <v>131.69999999999999</v>
      </c>
    </row>
    <row r="158" spans="1:1" x14ac:dyDescent="0.3">
      <c r="A158" s="2">
        <v>139.30000000000001</v>
      </c>
    </row>
    <row r="159" spans="1:1" x14ac:dyDescent="0.3">
      <c r="A159" s="10">
        <v>132.1</v>
      </c>
    </row>
    <row r="160" spans="1:1" x14ac:dyDescent="0.3">
      <c r="A160" s="2">
        <v>132.1</v>
      </c>
    </row>
    <row r="161" spans="1:1" x14ac:dyDescent="0.3">
      <c r="A161" s="10">
        <v>139.30000000000001</v>
      </c>
    </row>
    <row r="162" spans="1:1" x14ac:dyDescent="0.3">
      <c r="A162" s="2">
        <v>131.4</v>
      </c>
    </row>
    <row r="163" spans="1:1" x14ac:dyDescent="0.3">
      <c r="A163" s="10">
        <v>131.4</v>
      </c>
    </row>
    <row r="164" spans="1:1" x14ac:dyDescent="0.3">
      <c r="A164" s="2">
        <v>139.30000000000001</v>
      </c>
    </row>
    <row r="165" spans="1:1" x14ac:dyDescent="0.3">
      <c r="A165" s="10">
        <v>132.6</v>
      </c>
    </row>
    <row r="166" spans="1:1" x14ac:dyDescent="0.3">
      <c r="A166" s="2">
        <v>132.6</v>
      </c>
    </row>
    <row r="167" spans="1:1" x14ac:dyDescent="0.3">
      <c r="A167" s="10">
        <v>139.30000000000001</v>
      </c>
    </row>
    <row r="168" spans="1:1" x14ac:dyDescent="0.3">
      <c r="A168" s="2">
        <v>134.4</v>
      </c>
    </row>
    <row r="169" spans="1:1" x14ac:dyDescent="0.3">
      <c r="A169" s="10">
        <v>134.4</v>
      </c>
    </row>
    <row r="170" spans="1:1" x14ac:dyDescent="0.3">
      <c r="A170" s="2">
        <v>139.30000000000001</v>
      </c>
    </row>
    <row r="171" spans="1:1" x14ac:dyDescent="0.3">
      <c r="A171" s="10">
        <v>135.69999999999999</v>
      </c>
    </row>
    <row r="172" spans="1:1" x14ac:dyDescent="0.3">
      <c r="A172" s="2">
        <v>135.69999999999999</v>
      </c>
    </row>
    <row r="173" spans="1:1" x14ac:dyDescent="0.3">
      <c r="A173" s="10">
        <v>139.30000000000001</v>
      </c>
    </row>
    <row r="174" spans="1:1" x14ac:dyDescent="0.3">
      <c r="A174" s="2">
        <v>137.30000000000001</v>
      </c>
    </row>
    <row r="175" spans="1:1" x14ac:dyDescent="0.3">
      <c r="A175" s="10">
        <v>137.30000000000001</v>
      </c>
    </row>
    <row r="176" spans="1:1" x14ac:dyDescent="0.3">
      <c r="A176" s="2">
        <v>139.30000000000001</v>
      </c>
    </row>
    <row r="177" spans="1:1" x14ac:dyDescent="0.3">
      <c r="A177" s="10">
        <v>138.6</v>
      </c>
    </row>
    <row r="178" spans="1:1" x14ac:dyDescent="0.3">
      <c r="A178" s="2">
        <v>138.6</v>
      </c>
    </row>
    <row r="179" spans="1:1" x14ac:dyDescent="0.3">
      <c r="A179" s="10">
        <v>139.30000000000001</v>
      </c>
    </row>
    <row r="180" spans="1:1" x14ac:dyDescent="0.3">
      <c r="A180" s="2">
        <v>139.1</v>
      </c>
    </row>
    <row r="181" spans="1:1" x14ac:dyDescent="0.3">
      <c r="A181" s="10">
        <v>139.1</v>
      </c>
    </row>
    <row r="182" spans="1:1" x14ac:dyDescent="0.3">
      <c r="A182" s="2">
        <v>139.30000000000001</v>
      </c>
    </row>
    <row r="183" spans="1:1" x14ac:dyDescent="0.3">
      <c r="A183" s="10">
        <v>140.4</v>
      </c>
    </row>
    <row r="184" spans="1:1" x14ac:dyDescent="0.3">
      <c r="A184" s="2">
        <v>140.4</v>
      </c>
    </row>
    <row r="185" spans="1:1" x14ac:dyDescent="0.3">
      <c r="A185" s="10">
        <v>139.30000000000001</v>
      </c>
    </row>
    <row r="186" spans="1:1" x14ac:dyDescent="0.3">
      <c r="A186" s="2">
        <v>141.30000000000001</v>
      </c>
    </row>
    <row r="187" spans="1:1" x14ac:dyDescent="0.3">
      <c r="A187" s="10">
        <v>141.30000000000001</v>
      </c>
    </row>
    <row r="188" spans="1:1" x14ac:dyDescent="0.3">
      <c r="A188" s="2">
        <v>139.30000000000001</v>
      </c>
    </row>
    <row r="189" spans="1:1" x14ac:dyDescent="0.3">
      <c r="A189" s="10">
        <v>142</v>
      </c>
    </row>
    <row r="190" spans="1:1" x14ac:dyDescent="0.3">
      <c r="A190" s="2">
        <v>142</v>
      </c>
    </row>
    <row r="191" spans="1:1" x14ac:dyDescent="0.3">
      <c r="A191" s="10">
        <v>139.30000000000001</v>
      </c>
    </row>
    <row r="192" spans="1:1" x14ac:dyDescent="0.3">
      <c r="A192" s="2">
        <v>142.9</v>
      </c>
    </row>
    <row r="193" spans="1:1" x14ac:dyDescent="0.3">
      <c r="A193" s="10">
        <v>142.9</v>
      </c>
    </row>
    <row r="194" spans="1:1" x14ac:dyDescent="0.3">
      <c r="A194" s="2">
        <v>139.30000000000001</v>
      </c>
    </row>
    <row r="195" spans="1:1" x14ac:dyDescent="0.3">
      <c r="A195" s="10">
        <v>143.19999999999999</v>
      </c>
    </row>
    <row r="196" spans="1:1" x14ac:dyDescent="0.3">
      <c r="A196" s="2">
        <v>143.19999999999999</v>
      </c>
    </row>
    <row r="197" spans="1:1" x14ac:dyDescent="0.3">
      <c r="A197" s="10">
        <v>139.30000000000001</v>
      </c>
    </row>
    <row r="198" spans="1:1" x14ac:dyDescent="0.3">
      <c r="A198" s="2">
        <v>142.5</v>
      </c>
    </row>
    <row r="199" spans="1:1" x14ac:dyDescent="0.3">
      <c r="A199" s="10">
        <v>142.5</v>
      </c>
    </row>
    <row r="200" spans="1:1" x14ac:dyDescent="0.3">
      <c r="A200" s="2">
        <v>139.30000000000001</v>
      </c>
    </row>
    <row r="201" spans="1:1" x14ac:dyDescent="0.3">
      <c r="A201" s="10">
        <v>143.6</v>
      </c>
    </row>
    <row r="202" spans="1:1" x14ac:dyDescent="0.3">
      <c r="A202" s="2">
        <v>143.6</v>
      </c>
    </row>
    <row r="203" spans="1:1" x14ac:dyDescent="0.3">
      <c r="A203" s="10">
        <v>139.30000000000001</v>
      </c>
    </row>
    <row r="204" spans="1:1" x14ac:dyDescent="0.3">
      <c r="A204" s="2">
        <v>144.6</v>
      </c>
    </row>
    <row r="205" spans="1:1" x14ac:dyDescent="0.3">
      <c r="A205" s="10">
        <v>144.6</v>
      </c>
    </row>
    <row r="206" spans="1:1" x14ac:dyDescent="0.3">
      <c r="A206" s="2">
        <v>139.30000000000001</v>
      </c>
    </row>
    <row r="207" spans="1:1" x14ac:dyDescent="0.3">
      <c r="A207" s="10">
        <v>145.30000000000001</v>
      </c>
    </row>
    <row r="208" spans="1:1" x14ac:dyDescent="0.3">
      <c r="A208" s="2">
        <v>145.30000000000001</v>
      </c>
    </row>
    <row r="209" spans="1:1" x14ac:dyDescent="0.3">
      <c r="A209" s="10">
        <v>139.30000000000001</v>
      </c>
    </row>
    <row r="210" spans="1:1" x14ac:dyDescent="0.3">
      <c r="A210" s="2">
        <v>146.30000000000001</v>
      </c>
    </row>
    <row r="211" spans="1:1" x14ac:dyDescent="0.3">
      <c r="A211" s="10">
        <v>146.9</v>
      </c>
    </row>
    <row r="212" spans="1:1" x14ac:dyDescent="0.3">
      <c r="A212" s="2">
        <v>139.30000000000001</v>
      </c>
    </row>
    <row r="213" spans="1:1" x14ac:dyDescent="0.3">
      <c r="A213" s="10">
        <v>146.9</v>
      </c>
    </row>
    <row r="214" spans="1:1" x14ac:dyDescent="0.3">
      <c r="A214" s="2">
        <v>146.9</v>
      </c>
    </row>
    <row r="215" spans="1:1" x14ac:dyDescent="0.3">
      <c r="A215" s="10">
        <v>139.30000000000001</v>
      </c>
    </row>
    <row r="216" spans="1:1" x14ac:dyDescent="0.3">
      <c r="A216" s="2">
        <v>146.5</v>
      </c>
    </row>
    <row r="217" spans="1:1" x14ac:dyDescent="0.3">
      <c r="A217" s="10">
        <v>146.5</v>
      </c>
    </row>
    <row r="218" spans="1:1" x14ac:dyDescent="0.3">
      <c r="A218" s="2">
        <v>139.30000000000001</v>
      </c>
    </row>
    <row r="219" spans="1:1" x14ac:dyDescent="0.3">
      <c r="A219" s="10">
        <v>147.69999999999999</v>
      </c>
    </row>
    <row r="220" spans="1:1" x14ac:dyDescent="0.3">
      <c r="A220" s="2">
        <v>147.69999999999999</v>
      </c>
    </row>
    <row r="221" spans="1:1" x14ac:dyDescent="0.3">
      <c r="A221" s="10">
        <v>139.30000000000001</v>
      </c>
    </row>
    <row r="222" spans="1:1" x14ac:dyDescent="0.3">
      <c r="A222" s="2">
        <v>148.5</v>
      </c>
    </row>
    <row r="223" spans="1:1" x14ac:dyDescent="0.3">
      <c r="A223" s="10">
        <v>148.5</v>
      </c>
    </row>
    <row r="224" spans="1:1" x14ac:dyDescent="0.3">
      <c r="A224" s="2">
        <v>139.30000000000001</v>
      </c>
    </row>
    <row r="225" spans="1:1" x14ac:dyDescent="0.3">
      <c r="A225" s="10">
        <v>149</v>
      </c>
    </row>
    <row r="226" spans="1:1" x14ac:dyDescent="0.3">
      <c r="A226" s="2">
        <v>149</v>
      </c>
    </row>
    <row r="227" spans="1:1" x14ac:dyDescent="0.3">
      <c r="A227" s="10">
        <v>139.30000000000001</v>
      </c>
    </row>
    <row r="228" spans="1:1" x14ac:dyDescent="0.3">
      <c r="A228" s="2">
        <v>150.1</v>
      </c>
    </row>
    <row r="229" spans="1:1" x14ac:dyDescent="0.3">
      <c r="A229" s="10">
        <v>150.1</v>
      </c>
    </row>
    <row r="230" spans="1:1" x14ac:dyDescent="0.3">
      <c r="A230" s="2">
        <v>139.30000000000001</v>
      </c>
    </row>
    <row r="231" spans="1:1" x14ac:dyDescent="0.3">
      <c r="A231" s="10">
        <v>149.4</v>
      </c>
    </row>
    <row r="232" spans="1:1" x14ac:dyDescent="0.3">
      <c r="A232" s="2">
        <v>149.4</v>
      </c>
    </row>
    <row r="233" spans="1:1" x14ac:dyDescent="0.3">
      <c r="A233" s="10">
        <v>139.30000000000001</v>
      </c>
    </row>
    <row r="234" spans="1:1" x14ac:dyDescent="0.3">
      <c r="A234" s="2">
        <v>150.6</v>
      </c>
    </row>
    <row r="235" spans="1:1" x14ac:dyDescent="0.3">
      <c r="A235" s="10">
        <v>150.6</v>
      </c>
    </row>
    <row r="236" spans="1:1" x14ac:dyDescent="0.3">
      <c r="A236" s="2">
        <v>139.30000000000001</v>
      </c>
    </row>
    <row r="237" spans="1:1" x14ac:dyDescent="0.3">
      <c r="A237" s="10">
        <v>151.6</v>
      </c>
    </row>
    <row r="238" spans="1:1" x14ac:dyDescent="0.3">
      <c r="A238" s="2">
        <v>151.6</v>
      </c>
    </row>
    <row r="239" spans="1:1" x14ac:dyDescent="0.3">
      <c r="A239" s="10">
        <v>139.30000000000001</v>
      </c>
    </row>
    <row r="240" spans="1:1" x14ac:dyDescent="0.3">
      <c r="A240" s="2">
        <v>152.19999999999999</v>
      </c>
    </row>
    <row r="241" spans="1:1" x14ac:dyDescent="0.3">
      <c r="A241" s="10">
        <v>152.19999999999999</v>
      </c>
    </row>
    <row r="242" spans="1:1" x14ac:dyDescent="0.3">
      <c r="A242" s="2">
        <v>139.30000000000001</v>
      </c>
    </row>
    <row r="243" spans="1:1" x14ac:dyDescent="0.3">
      <c r="A243" s="10">
        <v>153</v>
      </c>
    </row>
    <row r="244" spans="1:1" x14ac:dyDescent="0.3">
      <c r="A244" s="2">
        <v>153</v>
      </c>
    </row>
    <row r="245" spans="1:1" x14ac:dyDescent="0.3">
      <c r="A245" s="10">
        <v>139.30000000000001</v>
      </c>
    </row>
    <row r="246" spans="1:1" x14ac:dyDescent="0.3">
      <c r="A246" s="2">
        <v>153.5</v>
      </c>
    </row>
    <row r="247" spans="1:1" x14ac:dyDescent="0.3">
      <c r="A247" s="10">
        <v>153.5</v>
      </c>
    </row>
    <row r="248" spans="1:1" x14ac:dyDescent="0.3">
      <c r="A248" s="2">
        <v>139.30000000000001</v>
      </c>
    </row>
    <row r="249" spans="1:1" x14ac:dyDescent="0.3">
      <c r="A249" s="10">
        <v>152.80000000000001</v>
      </c>
    </row>
    <row r="250" spans="1:1" x14ac:dyDescent="0.3">
      <c r="A250" s="2">
        <v>152.80000000000001</v>
      </c>
    </row>
    <row r="251" spans="1:1" x14ac:dyDescent="0.3">
      <c r="A251" s="10">
        <v>139.30000000000001</v>
      </c>
    </row>
    <row r="252" spans="1:1" x14ac:dyDescent="0.3">
      <c r="A252" s="2">
        <v>153.9</v>
      </c>
    </row>
    <row r="253" spans="1:1" x14ac:dyDescent="0.3">
      <c r="A253" s="10">
        <v>153.9</v>
      </c>
    </row>
    <row r="254" spans="1:1" x14ac:dyDescent="0.3">
      <c r="A254" s="2">
        <v>139.30000000000001</v>
      </c>
    </row>
    <row r="255" spans="1:1" x14ac:dyDescent="0.3">
      <c r="A255" s="10">
        <v>154.80000000000001</v>
      </c>
    </row>
    <row r="256" spans="1:1" x14ac:dyDescent="0.3">
      <c r="A256" s="2">
        <v>154.80000000000001</v>
      </c>
    </row>
    <row r="257" spans="1:1" x14ac:dyDescent="0.3">
      <c r="A257" s="10">
        <v>139.30000000000001</v>
      </c>
    </row>
    <row r="258" spans="1:1" x14ac:dyDescent="0.3">
      <c r="A258" s="2">
        <v>154.5</v>
      </c>
    </row>
    <row r="259" spans="1:1" x14ac:dyDescent="0.3">
      <c r="A259" s="10">
        <v>154.5</v>
      </c>
    </row>
    <row r="260" spans="1:1" x14ac:dyDescent="0.3">
      <c r="A260" s="2">
        <v>139.30000000000001</v>
      </c>
    </row>
    <row r="261" spans="1:1" x14ac:dyDescent="0.3">
      <c r="A261" s="10">
        <v>155.6</v>
      </c>
    </row>
    <row r="262" spans="1:1" x14ac:dyDescent="0.3">
      <c r="A262" s="2">
        <v>155.6</v>
      </c>
    </row>
    <row r="263" spans="1:1" x14ac:dyDescent="0.3">
      <c r="A263" s="10">
        <v>139.30000000000001</v>
      </c>
    </row>
    <row r="264" spans="1:1" x14ac:dyDescent="0.3">
      <c r="A264" s="2">
        <v>139.30000000000001</v>
      </c>
    </row>
    <row r="265" spans="1:1" x14ac:dyDescent="0.3">
      <c r="A265" s="10">
        <v>139.30000000000001</v>
      </c>
    </row>
    <row r="266" spans="1:1" x14ac:dyDescent="0.3">
      <c r="A266" s="2">
        <v>139.30000000000001</v>
      </c>
    </row>
    <row r="267" spans="1:1" x14ac:dyDescent="0.3">
      <c r="A267" s="10">
        <v>154.69999999999999</v>
      </c>
    </row>
    <row r="268" spans="1:1" x14ac:dyDescent="0.3">
      <c r="A268" s="2">
        <v>154.69999999999999</v>
      </c>
    </row>
    <row r="269" spans="1:1" x14ac:dyDescent="0.3">
      <c r="A269" s="10">
        <v>139.30000000000001</v>
      </c>
    </row>
    <row r="270" spans="1:1" x14ac:dyDescent="0.3">
      <c r="A270" s="2">
        <v>154.69999999999999</v>
      </c>
    </row>
    <row r="271" spans="1:1" x14ac:dyDescent="0.3">
      <c r="A271" s="10">
        <v>154.69999999999999</v>
      </c>
    </row>
    <row r="272" spans="1:1" x14ac:dyDescent="0.3">
      <c r="A272" s="2">
        <v>139.30000000000001</v>
      </c>
    </row>
    <row r="273" spans="1:1" x14ac:dyDescent="0.3">
      <c r="A273" s="10">
        <v>155.5</v>
      </c>
    </row>
    <row r="274" spans="1:1" x14ac:dyDescent="0.3">
      <c r="A274" s="2">
        <v>155.5</v>
      </c>
    </row>
    <row r="275" spans="1:1" x14ac:dyDescent="0.3">
      <c r="A275" s="10">
        <v>139.30000000000001</v>
      </c>
    </row>
    <row r="276" spans="1:1" x14ac:dyDescent="0.3">
      <c r="A276" s="2">
        <v>156.30000000000001</v>
      </c>
    </row>
    <row r="277" spans="1:1" x14ac:dyDescent="0.3">
      <c r="A277" s="10">
        <v>156.30000000000001</v>
      </c>
    </row>
    <row r="278" spans="1:1" x14ac:dyDescent="0.3">
      <c r="A278" s="2">
        <v>139.30000000000001</v>
      </c>
    </row>
    <row r="279" spans="1:1" x14ac:dyDescent="0.3">
      <c r="A279" s="10">
        <v>156.5</v>
      </c>
    </row>
    <row r="280" spans="1:1" x14ac:dyDescent="0.3">
      <c r="A280" s="2">
        <v>156.5</v>
      </c>
    </row>
    <row r="281" spans="1:1" x14ac:dyDescent="0.3">
      <c r="A281" s="10">
        <v>139.30000000000001</v>
      </c>
    </row>
    <row r="282" spans="1:1" x14ac:dyDescent="0.3">
      <c r="A282" s="2">
        <v>158</v>
      </c>
    </row>
    <row r="283" spans="1:1" x14ac:dyDescent="0.3">
      <c r="A283" s="10">
        <v>158</v>
      </c>
    </row>
    <row r="284" spans="1:1" x14ac:dyDescent="0.3">
      <c r="A284" s="2">
        <v>139.30000000000001</v>
      </c>
    </row>
    <row r="285" spans="1:1" x14ac:dyDescent="0.3">
      <c r="A285" s="10">
        <v>158.4</v>
      </c>
    </row>
    <row r="286" spans="1:1" x14ac:dyDescent="0.3">
      <c r="A286" s="2">
        <v>158.4</v>
      </c>
    </row>
    <row r="287" spans="1:1" x14ac:dyDescent="0.3">
      <c r="A287" s="10">
        <v>139.30000000000001</v>
      </c>
    </row>
    <row r="288" spans="1:1" x14ac:dyDescent="0.3">
      <c r="A288" s="2">
        <v>157.69999999999999</v>
      </c>
    </row>
    <row r="289" spans="1:1" x14ac:dyDescent="0.3">
      <c r="A289" s="10">
        <v>157.69999999999999</v>
      </c>
    </row>
    <row r="290" spans="1:1" x14ac:dyDescent="0.3">
      <c r="A290" s="2">
        <v>139.30000000000001</v>
      </c>
    </row>
    <row r="291" spans="1:1" x14ac:dyDescent="0.3">
      <c r="A291" s="10">
        <v>159.80000000000001</v>
      </c>
    </row>
    <row r="292" spans="1:1" x14ac:dyDescent="0.3">
      <c r="A292" s="2">
        <v>159.80000000000001</v>
      </c>
    </row>
    <row r="293" spans="1:1" x14ac:dyDescent="0.3">
      <c r="A293" s="10">
        <v>139.30000000000001</v>
      </c>
    </row>
    <row r="294" spans="1:1" x14ac:dyDescent="0.3">
      <c r="A294" s="2">
        <v>159.9</v>
      </c>
    </row>
    <row r="295" spans="1:1" x14ac:dyDescent="0.3">
      <c r="A295" s="10">
        <v>159.9</v>
      </c>
    </row>
    <row r="296" spans="1:1" x14ac:dyDescent="0.3">
      <c r="A296" s="2">
        <v>139.30000000000001</v>
      </c>
    </row>
    <row r="297" spans="1:1" x14ac:dyDescent="0.3">
      <c r="A297" s="10">
        <v>161.4</v>
      </c>
    </row>
    <row r="298" spans="1:1" x14ac:dyDescent="0.3">
      <c r="A298" s="2">
        <v>161.4</v>
      </c>
    </row>
    <row r="299" spans="1:1" x14ac:dyDescent="0.3">
      <c r="A299" s="10">
        <v>139.30000000000001</v>
      </c>
    </row>
    <row r="300" spans="1:1" x14ac:dyDescent="0.3">
      <c r="A300" s="2">
        <v>161.6</v>
      </c>
    </row>
    <row r="301" spans="1:1" x14ac:dyDescent="0.3">
      <c r="A301" s="10">
        <v>161.6</v>
      </c>
    </row>
    <row r="302" spans="1:1" x14ac:dyDescent="0.3">
      <c r="A302" s="2">
        <v>139.30000000000001</v>
      </c>
    </row>
    <row r="303" spans="1:1" x14ac:dyDescent="0.3">
      <c r="A303" s="10">
        <v>160.5</v>
      </c>
    </row>
    <row r="304" spans="1:1" x14ac:dyDescent="0.3">
      <c r="A304" s="2">
        <v>160.5</v>
      </c>
    </row>
    <row r="305" spans="1:1" x14ac:dyDescent="0.3">
      <c r="A305" s="10">
        <v>139.30000000000001</v>
      </c>
    </row>
    <row r="306" spans="1:1" x14ac:dyDescent="0.3">
      <c r="A306" s="2">
        <v>161.5</v>
      </c>
    </row>
    <row r="307" spans="1:1" x14ac:dyDescent="0.3">
      <c r="A307" s="10">
        <v>161.5</v>
      </c>
    </row>
    <row r="308" spans="1:1" x14ac:dyDescent="0.3">
      <c r="A308" s="2">
        <v>139.30000000000001</v>
      </c>
    </row>
    <row r="309" spans="1:1" x14ac:dyDescent="0.3">
      <c r="A309" s="10">
        <v>162.1</v>
      </c>
    </row>
    <row r="310" spans="1:1" x14ac:dyDescent="0.3">
      <c r="A310" s="2">
        <v>162.1</v>
      </c>
    </row>
    <row r="311" spans="1:1" x14ac:dyDescent="0.3">
      <c r="A311" s="10">
        <v>139.30000000000001</v>
      </c>
    </row>
    <row r="312" spans="1:1" x14ac:dyDescent="0.3">
      <c r="A312" s="2">
        <v>162.1</v>
      </c>
    </row>
    <row r="313" spans="1:1" x14ac:dyDescent="0.3">
      <c r="A313" s="10">
        <v>162.1</v>
      </c>
    </row>
    <row r="314" spans="1:1" x14ac:dyDescent="0.3">
      <c r="A314" s="2">
        <v>139.30000000000001</v>
      </c>
    </row>
    <row r="315" spans="1:1" x14ac:dyDescent="0.3">
      <c r="A315" s="10">
        <v>163.6</v>
      </c>
    </row>
    <row r="316" spans="1:1" x14ac:dyDescent="0.3">
      <c r="A316" s="2">
        <v>163.6</v>
      </c>
    </row>
    <row r="317" spans="1:1" x14ac:dyDescent="0.3">
      <c r="A317" s="10">
        <v>139.30000000000001</v>
      </c>
    </row>
    <row r="318" spans="1:1" x14ac:dyDescent="0.3">
      <c r="A318" s="2">
        <v>164.2</v>
      </c>
    </row>
    <row r="319" spans="1:1" x14ac:dyDescent="0.3">
      <c r="A319" s="10">
        <v>164.2</v>
      </c>
    </row>
    <row r="320" spans="1:1" x14ac:dyDescent="0.3">
      <c r="A320" s="2">
        <v>139.30000000000001</v>
      </c>
    </row>
    <row r="321" spans="1:1" x14ac:dyDescent="0.3">
      <c r="A321" s="10">
        <v>163.4</v>
      </c>
    </row>
    <row r="322" spans="1:1" x14ac:dyDescent="0.3">
      <c r="A322" s="2">
        <v>163.4</v>
      </c>
    </row>
    <row r="323" spans="1:1" x14ac:dyDescent="0.3">
      <c r="A323" s="10">
        <v>139.30000000000001</v>
      </c>
    </row>
    <row r="324" spans="1:1" x14ac:dyDescent="0.3">
      <c r="A324" s="2">
        <v>164.5</v>
      </c>
    </row>
    <row r="325" spans="1:1" x14ac:dyDescent="0.3">
      <c r="A325" s="10">
        <v>164.5</v>
      </c>
    </row>
    <row r="326" spans="1:1" x14ac:dyDescent="0.3">
      <c r="A326" s="2">
        <v>139.30000000000001</v>
      </c>
    </row>
    <row r="327" spans="1:1" x14ac:dyDescent="0.3">
      <c r="A327" s="10">
        <v>165.5</v>
      </c>
    </row>
    <row r="328" spans="1:1" x14ac:dyDescent="0.3">
      <c r="A328" s="2">
        <v>165.5</v>
      </c>
    </row>
    <row r="329" spans="1:1" x14ac:dyDescent="0.3">
      <c r="A329" s="10">
        <v>139.30000000000001</v>
      </c>
    </row>
    <row r="330" spans="1:1" x14ac:dyDescent="0.3">
      <c r="A330" s="2">
        <v>165.3</v>
      </c>
    </row>
    <row r="331" spans="1:1" x14ac:dyDescent="0.3">
      <c r="A331" s="10">
        <v>165.3</v>
      </c>
    </row>
    <row r="332" spans="1:1" x14ac:dyDescent="0.3">
      <c r="A332" s="2">
        <v>139.30000000000001</v>
      </c>
    </row>
    <row r="333" spans="1:1" x14ac:dyDescent="0.3">
      <c r="A333" s="10">
        <v>167</v>
      </c>
    </row>
    <row r="334" spans="1:1" x14ac:dyDescent="0.3">
      <c r="A334" s="2">
        <v>167</v>
      </c>
    </row>
    <row r="335" spans="1:1" x14ac:dyDescent="0.3">
      <c r="A335" s="10">
        <v>139.30000000000001</v>
      </c>
    </row>
    <row r="336" spans="1:1" x14ac:dyDescent="0.3">
      <c r="A336" s="2">
        <v>167.5</v>
      </c>
    </row>
    <row r="337" spans="1:1" x14ac:dyDescent="0.3">
      <c r="A337" s="10">
        <v>167.5</v>
      </c>
    </row>
    <row r="338" spans="1:1" x14ac:dyDescent="0.3">
      <c r="A338" s="2">
        <v>139.30000000000001</v>
      </c>
    </row>
    <row r="339" spans="1:1" x14ac:dyDescent="0.3">
      <c r="A339" s="10">
        <v>166.8</v>
      </c>
    </row>
    <row r="340" spans="1:1" x14ac:dyDescent="0.3">
      <c r="A340" s="2">
        <v>166.8</v>
      </c>
    </row>
    <row r="341" spans="1:1" x14ac:dyDescent="0.3">
      <c r="A341" s="10">
        <v>139.30000000000001</v>
      </c>
    </row>
    <row r="342" spans="1:1" x14ac:dyDescent="0.3">
      <c r="A342" s="2">
        <v>167.8</v>
      </c>
    </row>
    <row r="343" spans="1:1" x14ac:dyDescent="0.3">
      <c r="A343" s="10">
        <v>167.8</v>
      </c>
    </row>
    <row r="344" spans="1:1" x14ac:dyDescent="0.3">
      <c r="A344" s="2">
        <v>139.30000000000001</v>
      </c>
    </row>
    <row r="345" spans="1:1" x14ac:dyDescent="0.3">
      <c r="A345" s="10">
        <v>169</v>
      </c>
    </row>
    <row r="346" spans="1:1" x14ac:dyDescent="0.3">
      <c r="A346" s="2">
        <v>169</v>
      </c>
    </row>
    <row r="347" spans="1:1" x14ac:dyDescent="0.3">
      <c r="A347" s="10">
        <v>139.30000000000001</v>
      </c>
    </row>
    <row r="348" spans="1:1" x14ac:dyDescent="0.3">
      <c r="A348" s="2">
        <v>169.5</v>
      </c>
    </row>
    <row r="349" spans="1:1" x14ac:dyDescent="0.3">
      <c r="A349" s="10">
        <v>169.5</v>
      </c>
    </row>
    <row r="350" spans="1:1" x14ac:dyDescent="0.3">
      <c r="A350" s="2">
        <v>139.30000000000001</v>
      </c>
    </row>
    <row r="351" spans="1:1" x14ac:dyDescent="0.3">
      <c r="A351" s="10">
        <v>171.2</v>
      </c>
    </row>
    <row r="352" spans="1:1" x14ac:dyDescent="0.3">
      <c r="A352" s="2">
        <v>171.2</v>
      </c>
    </row>
    <row r="353" spans="1:1" x14ac:dyDescent="0.3">
      <c r="A353" s="10">
        <v>139.30000000000001</v>
      </c>
    </row>
    <row r="354" spans="1:1" x14ac:dyDescent="0.3">
      <c r="A354" s="2">
        <v>171.8</v>
      </c>
    </row>
    <row r="355" spans="1:1" x14ac:dyDescent="0.3">
      <c r="A355" s="10">
        <v>171.8</v>
      </c>
    </row>
    <row r="356" spans="1:1" x14ac:dyDescent="0.3">
      <c r="A356" s="2">
        <v>139.30000000000001</v>
      </c>
    </row>
    <row r="357" spans="1:1" x14ac:dyDescent="0.3">
      <c r="A357" s="10">
        <v>170.7</v>
      </c>
    </row>
    <row r="358" spans="1:1" x14ac:dyDescent="0.3">
      <c r="A358" s="2">
        <v>170.7</v>
      </c>
    </row>
    <row r="359" spans="1:1" x14ac:dyDescent="0.3">
      <c r="A359" s="10">
        <v>139.30000000000001</v>
      </c>
    </row>
    <row r="360" spans="1:1" x14ac:dyDescent="0.3">
      <c r="A360" s="2">
        <v>172.1</v>
      </c>
    </row>
    <row r="361" spans="1:1" x14ac:dyDescent="0.3">
      <c r="A361" s="10">
        <v>172.1</v>
      </c>
    </row>
    <row r="362" spans="1:1" x14ac:dyDescent="0.3">
      <c r="A362" s="2">
        <v>139.30000000000001</v>
      </c>
    </row>
    <row r="363" spans="1:1" x14ac:dyDescent="0.3">
      <c r="A363" s="10">
        <v>173.5</v>
      </c>
    </row>
    <row r="364" spans="1:1" x14ac:dyDescent="0.3">
      <c r="A364" s="2">
        <v>173.5</v>
      </c>
    </row>
    <row r="365" spans="1:1" x14ac:dyDescent="0.3">
      <c r="A365" s="10">
        <v>139.30000000000001</v>
      </c>
    </row>
    <row r="366" spans="1:1" x14ac:dyDescent="0.3">
      <c r="A366" s="2">
        <v>173.5</v>
      </c>
    </row>
    <row r="367" spans="1:1" x14ac:dyDescent="0.3">
      <c r="A367" s="10">
        <v>173.5</v>
      </c>
    </row>
    <row r="368" spans="1:1" x14ac:dyDescent="0.3">
      <c r="A368" s="2">
        <v>139.30000000000001</v>
      </c>
    </row>
    <row r="369" spans="1:1" x14ac:dyDescent="0.3">
      <c r="A369" s="10">
        <v>175.2</v>
      </c>
    </row>
    <row r="370" spans="1:1" x14ac:dyDescent="0.3">
      <c r="A370" s="2">
        <v>175.2</v>
      </c>
    </row>
    <row r="371" spans="1:1" x14ac:dyDescent="0.3">
      <c r="A371" s="10">
        <v>139.30000000000001</v>
      </c>
    </row>
    <row r="372" spans="1:1" x14ac:dyDescent="0.3">
      <c r="A372" s="2">
        <v>175.6</v>
      </c>
    </row>
    <row r="373" spans="1:1" x14ac:dyDescent="0.3">
      <c r="A373" s="10">
        <v>175.6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895975-CA83-41A9-B586-3EED25C638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Solution 2</vt:lpstr>
      <vt:lpstr>Consumer price index</vt:lpstr>
      <vt:lpstr>solution 4</vt:lpstr>
      <vt:lpstr>solution 3</vt:lpstr>
      <vt:lpstr>Solution 1</vt:lpstr>
      <vt:lpstr>Dashboard1</vt:lpstr>
      <vt:lpstr>solution 5</vt:lpstr>
      <vt:lpstr>Consumer price index 2</vt:lpstr>
      <vt:lpstr>Problem Statements </vt:lpstr>
      <vt:lpstr>Data Dictionary</vt:lpstr>
      <vt:lpstr>Handle Missing Value Sheet only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SAHU</dc:creator>
  <cp:lastModifiedBy>PARAS SAHU</cp:lastModifiedBy>
  <dcterms:created xsi:type="dcterms:W3CDTF">2025-11-02T08:18:25Z</dcterms:created>
  <dcterms:modified xsi:type="dcterms:W3CDTF">2025-11-04T07:32:57Z</dcterms:modified>
</cp:coreProperties>
</file>